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61d02239f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" sheetId="1" r:id="R90ec1993b0534fe4"/>
    <x:sheet xmlns:r="http://schemas.openxmlformats.org/officeDocument/2006/relationships" name="Payment Evidence" sheetId="2" r:id="Ref7fdc61f5814c5b"/>
    <x:sheet xmlns:r="http://schemas.openxmlformats.org/officeDocument/2006/relationships" name="Summary" sheetId="3" r:id="R4ca4bde4b94e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dd mmm yyyy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0B3D32"/>
      <x:name val="Carlito"/>
    </x:font>
    <x:font>
      <x:b/>
      <x:sz val="11"/>
      <x:color rgb="FF0B3D32"/>
      <x:name val="Carlito"/>
    </x:font>
    <x:font>
      <x:b/>
      <x:sz val="11"/>
      <x:color rgb="FF9A4E00"/>
      <x:name val="Carlito"/>
    </x:font>
    <x:font>
      <x:i/>
      <x:sz val="11"/>
      <x:color rgb="FF0B3D3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3D32"/>
      </x:patternFill>
    </x:fill>
    <x:fill>
      <x:patternFill patternType="solid">
        <x:fgColor rgb="FF176B50"/>
      </x:patternFill>
    </x:fill>
    <x:fill>
      <x:patternFill patternType="solid">
        <x:fgColor rgb="FFE98721"/>
      </x:patternFill>
    </x:fill>
    <x:fill>
      <x:patternFill patternType="solid">
        <x:fgColor rgb="FFE8F4EF"/>
      </x:patternFill>
    </x:fill>
    <x:fill>
      <x:patternFill patternType="solid">
        <x:fgColor rgb="FFFFF1DF"/>
      </x:patternFill>
    </x:fill>
    <x:fill>
      <x:patternFill patternType="solid">
        <x:fgColor rgb="FF176B50"/>
      </x:patternFill>
    </x:fill>
    <x:fill>
      <x:patternFill patternType="solid">
        <x:fgColor rgb="FFE98721"/>
      </x:patternFill>
    </x:fill>
    <x:fill>
      <x:patternFill patternType="solid">
        <x:fgColor rgb="FF176B50"/>
      </x:patternFill>
    </x:fill>
    <x:fill>
      <x:patternFill patternType="solid">
        <x:fgColor rgb="FFE8F4EF"/>
      </x:patternFill>
    </x:fill>
  </x:fills>
  <x:borders count="4">
    <x:border/>
    <x:border/>
    <x:border>
      <x:bottom style="thin">
        <x:color rgb="FFD7E3DD"/>
      </x:bottom>
    </x:border>
    <x:border>
      <x:bottom style="thin">
        <x:color rgb="FFD7E3DD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200" fontId="3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/>
    <x:xf numFmtId="0" fontId="3" fillId="10" borderId="0" xfId="0" applyNumberFormat="1" applyFont="1" applyFill="1" applyBorder="1"/>
    <x:xf numFmtId="200" fontId="3" fillId="10" borderId="0" xfId="0" applyNumberFormat="1" applyFont="1" applyFill="1" applyBorder="1"/>
    <x:xf numFmtId="0" fontId="0" fillId="1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9A4E00"/>
      </x:font>
      <x:fill>
        <x:patternFill>
          <x:bgColor rgb="FFFFF1DF"/>
        </x:patternFill>
      </x:fill>
    </x:dxf>
    <x:dxf>
      <x:font>
        <x:b/>
        <x:color rgb="FF0B3D32"/>
      </x:font>
      <x:fill>
        <x:patternFill>
          <x:bgColor rgb="FFE8F4EF"/>
        </x:patternFill>
      </x:fill>
    </x:dxf>
    <x:dxf>
      <x:font>
        <x:b/>
        <x:color rgb="FF0B3D32"/>
      </x:font>
      <x:fill>
        <x:patternFill>
          <x:bgColor rgb="FFE8F4EF"/>
        </x:patternFill>
      </x:fill>
    </x:dxf>
    <x:dxf>
      <x:font>
        <x:b/>
        <x:color rgb="FF0B3D32"/>
      </x:font>
      <x:fill>
        <x:patternFill>
          <x:bgColor rgb="FFE8F4EF"/>
        </x:patternFill>
      </x:fill>
    </x:dxf>
    <x:dxf>
      <x:font>
        <x:b/>
        <x:color rgb="FF9A4E00"/>
      </x:font>
      <x:fill>
        <x:patternFill>
          <x:bgColor rgb="FFFFF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97ec881374e3c" /><Relationship Type="http://schemas.openxmlformats.org/officeDocument/2006/relationships/theme" Target="/xl/theme/theme1.xml" Id="Red6d73d2f6bb4452" /><Relationship Type="http://schemas.openxmlformats.org/officeDocument/2006/relationships/sharedStrings" Target="/xl/sharedStrings.xml" Id="Rb21805274eb94118" /><Relationship Type="http://schemas.openxmlformats.org/officeDocument/2006/relationships/worksheet" Target="/xl/worksheets/sheet1.xml" Id="R90ec1993b0534fe4" /><Relationship Type="http://schemas.openxmlformats.org/officeDocument/2006/relationships/worksheet" Target="/xl/worksheets/sheet2.xml" Id="Ref7fdc61f5814c5b" /><Relationship Type="http://schemas.openxmlformats.org/officeDocument/2006/relationships/worksheet" Target="/xl/worksheets/sheet3.xml" Id="R4ca4bde4b94e441d" /></Relationships>
</file>

<file path=xl/tables/table1.xml><?xml version="1.0" encoding="utf-8"?>
<x:table xmlns:x="http://schemas.openxmlformats.org/spreadsheetml/2006/main" id="3" name="OviCoreServices" displayName="OviCoreServices" ref="A2:M15" headerRowCount="1">
  <x:tableColumns count="13">
    <x:tableColumn id="1" name="Service"/>
    <x:tableColumn id="2" name="Provider"/>
    <x:tableColumn id="3" name="OviCore use"/>
    <x:tableColumn id="4" name="Environment / asset"/>
    <x:tableColumn id="5" name="Billing cycle"/>
    <x:tableColumn id="6" name="Current charge"/>
    <x:tableColumn id="7" name="Monthly equivalent"/>
    <x:tableColumn id="8" name="Annual equivalent"/>
    <x:tableColumn id="9" name="Payment status"/>
    <x:tableColumn id="10" name="Cost confidence"/>
    <x:tableColumn id="11" name="Renewal / billing date"/>
    <x:tableColumn id="12" name="Notes"/>
    <x:tableColumn id="13" name="Currency"/>
  </x:tableColumns>
  <x:tableStyleInfo name="TableStyleMedium2" showRowStripes="1"/>
</x:table>
</file>

<file path=xl/tables/table2.xml><?xml version="1.0" encoding="utf-8"?>
<x:table xmlns:x="http://schemas.openxmlformats.org/spreadsheetml/2006/main" id="4" name="PaymentEvidence" displayName="PaymentEvidence" ref="A2:K10" headerRowCount="1">
  <x:tableColumns count="11">
    <x:tableColumn id="1" name="Date"/>
    <x:tableColumn id="2" name="Provider"/>
    <x:tableColumn id="3" name="Service / item"/>
    <x:tableColumn id="4" name="Invoice / order"/>
    <x:tableColumn id="5" name="Billing period"/>
    <x:tableColumn id="6" name="Amount"/>
    <x:tableColumn id="7" name="Paid status"/>
    <x:tableColumn id="8" name="Evidence"/>
    <x:tableColumn id="9" name="Gmail source"/>
    <x:tableColumn id="10" name="Notes"/>
    <x:tableColumn id="11" name="Curren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af3e8f73ff4a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2ba42b4513486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34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20" hidden="0" customWidth="1"/>
    <x:col min="10" max="10" width="20" hidden="0" customWidth="1"/>
    <x:col min="11" max="11" width="20" hidden="0" customWidth="1"/>
    <x:col min="12" max="12" width="42" hidden="0" customWidth="1"/>
    <x:col min="13" max="13" width="12" hidden="0" customWidth="1"/>
  </x:cols>
  <x:sheetData>
    <x:row r="1" ht="34" customHeight="1">
      <x:c r="A1" s="6" t="str">
        <x:v>OviCore Services &amp; Running Costs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>
      <x:c r="A2" s="13" t="str">
        <x:v>Service</x:v>
      </x:c>
      <x:c r="B2" s="13" t="str">
        <x:v>Provider</x:v>
      </x:c>
      <x:c r="C2" s="13" t="str">
        <x:v>OviCore use</x:v>
      </x:c>
      <x:c r="D2" s="13" t="str">
        <x:v>Environment / asset</x:v>
      </x:c>
      <x:c r="E2" s="13" t="str">
        <x:v>Billing cycle</x:v>
      </x:c>
      <x:c r="F2" s="13" t="str">
        <x:v>Current charge</x:v>
      </x:c>
      <x:c r="G2" s="13" t="str">
        <x:v>Monthly equivalent</x:v>
      </x:c>
      <x:c r="H2" s="13" t="str">
        <x:v>Annual equivalent</x:v>
      </x:c>
      <x:c r="I2" s="13" t="str">
        <x:v>Payment status</x:v>
      </x:c>
      <x:c r="J2" s="13" t="str">
        <x:v>Cost confidence</x:v>
      </x:c>
      <x:c r="K2" s="13" t="str">
        <x:v>Renewal / billing date</x:v>
      </x:c>
      <x:c r="L2" s="13" t="str">
        <x:v>Notes</x:v>
      </x:c>
      <x:c r="M2" s="55" t="str">
        <x:v>Currency</x:v>
      </x:c>
    </x:row>
    <x:row r="3">
      <x:c r="A3" s="20" t="str">
        <x:v>Frontend hosting</x:v>
      </x:c>
      <x:c r="B3" s="20" t="str">
        <x:v>Vercel</x:v>
      </x:c>
      <x:c r="C3" s="20" t="str">
        <x:v>Hosts the Next.js web application and deploys changes from GitHub.</x:v>
      </x:c>
      <x:c r="D3" s="20" t="str">
        <x:v>sandbox.ovicore.com.au / app.ovicore.com.au</x:v>
      </x:c>
      <x:c r="E3" s="20" t="str">
        <x:v>Unknown</x:v>
      </x:c>
      <x:c r="F3" s="22" t="n">
        <x:v>0</x:v>
      </x:c>
      <x:c r="G3" s="22" t="n">
        <x:f>IF(E3="Monthly",F3,IF(E3="Annual",F3/12,0))</x:f>
        <x:v>0</x:v>
      </x:c>
      <x:c r="H3" s="22" t="n">
        <x:f>IF(E3="Monthly",F3*12,IF(E3="Annual",F3,0))</x:f>
        <x:v>0</x:v>
      </x:c>
      <x:c r="I3" s="20" t="str">
        <x:v>No billing receipt found</x:v>
      </x:c>
      <x:c r="J3" s="20" t="str">
        <x:v>Unconfirmed</x:v>
      </x:c>
      <x:c r="K3" s="20" t="str"/>
      <x:c r="L3" s="20" t="str">
        <x:v>Active deployment emails found. Check Vercel Billing to confirm whether the team is on Hobby or Pro.</x:v>
      </x:c>
      <x:c r="M3" t="str">
        <x:v>Unknown</x:v>
      </x:c>
    </x:row>
    <x:row r="4">
      <x:c r="A4" s="20" t="str">
        <x:v>Backend API hosting</x:v>
      </x:c>
      <x:c r="B4" s="20" t="str">
        <x:v>Render</x:v>
      </x:c>
      <x:c r="C4" s="20" t="str">
        <x:v>Previously configured to run the FastAPI backend. Current production dependency is not confirmed because Railway now has the active Python API deployment.</x:v>
      </x:c>
      <x:c r="D4" s="20" t="str">
        <x:v>ovicore-next-api / ovicore-sandbox-api</x:v>
      </x:c>
      <x:c r="E4" s="20" t="str">
        <x:v>Unknown</x:v>
      </x:c>
      <x:c r="F4" s="22" t="n">
        <x:v>0</x:v>
      </x:c>
      <x:c r="G4" s="22" t="n">
        <x:v>0</x:v>
      </x:c>
      <x:c r="H4" s="22" t="n">
        <x:v>0</x:v>
      </x:c>
      <x:c r="I4" s="20" t="str">
        <x:v>No billing receipt found</x:v>
      </x:c>
      <x:c r="J4" s="43" t="str">
        <x:v>Use not confirmed</x:v>
      </x:c>
      <x:c r="K4" s="20" t="str"/>
      <x:c r="L4" s="20" t="str">
        <x:v>Railway screenshots show the active Python backend with DATABASE_URL and CORS_ORIGINS. Check Render logs and custom domains before keeping or cancelling Render.</x:v>
      </x:c>
      <x:c r="M4" t="str">
        <x:v>Unknown</x:v>
      </x:c>
    </x:row>
    <x:row r="5">
      <x:c r="A5" s="20" t="str">
        <x:v>Application database</x:v>
      </x:c>
      <x:c r="B5" s="20" t="str">
        <x:v>Render PostgreSQL</x:v>
      </x:c>
      <x:c r="C5" s="20" t="str">
        <x:v>Previously considered the application database host. The current live Python service on Railway has a DATABASE_URL, but the database provider behind that URL is still hidden.</x:v>
      </x:c>
      <x:c r="D5" s="20" t="str">
        <x:v>Database provider behind the active DATABASE_URL</x:v>
      </x:c>
      <x:c r="E5" s="20" t="str">
        <x:v>Unknown</x:v>
      </x:c>
      <x:c r="F5" s="22" t="n">
        <x:v>0</x:v>
      </x:c>
      <x:c r="G5" s="22" t="n">
        <x:v>0</x:v>
      </x:c>
      <x:c r="H5" s="22" t="n">
        <x:v>0</x:v>
      </x:c>
      <x:c r="I5" s="20" t="str">
        <x:v>No billing receipt found</x:v>
      </x:c>
      <x:c r="J5" s="43" t="str">
        <x:v>Provider not confirmed</x:v>
      </x:c>
      <x:c r="K5" s="20" t="str"/>
      <x:c r="L5" s="20" t="str">
        <x:v>Open the DATABASE_URL reference or project architecture without exposing the password to identify whether the database itself is Railway, Render PostgreSQL, Supabase or another provider.</x:v>
      </x:c>
      <x:c r="M5" t="str">
        <x:v>Unknown</x:v>
      </x:c>
    </x:row>
    <x:row r="6">
      <x:c r="A6" s="20" t="str">
        <x:v>Source code repository</x:v>
      </x:c>
      <x:c r="B6" s="20" t="str">
        <x:v>GitHub</x:v>
      </x:c>
      <x:c r="C6" s="20" t="str">
        <x:v>Stores the OviCore source code and triggers deployments to Vercel and Render.</x:v>
      </x:c>
      <x:c r="D6" s="20" t="str">
        <x:v>jjmaritz-cloud/ovicore-next</x:v>
      </x:c>
      <x:c r="E6" s="20" t="str">
        <x:v>Unknown</x:v>
      </x:c>
      <x:c r="F6" s="22" t="n">
        <x:v>0</x:v>
      </x:c>
      <x:c r="G6" s="22" t="n">
        <x:f>IF(E6="Monthly",F6,IF(E6="Annual",F6/12,0))</x:f>
        <x:v>0</x:v>
      </x:c>
      <x:c r="H6" s="22" t="n">
        <x:f>IF(E6="Monthly",F6*12,IF(E6="Annual",F6,0))</x:f>
        <x:v>0</x:v>
      </x:c>
      <x:c r="I6" s="20" t="str">
        <x:v>No billing receipt found</x:v>
      </x:c>
      <x:c r="J6" s="20" t="str">
        <x:v>Unconfirmed</x:v>
      </x:c>
      <x:c r="K6" s="20" t="str"/>
      <x:c r="L6" s="20" t="str">
        <x:v>Likely free unless a paid GitHub plan or add-on is enabled.</x:v>
      </x:c>
      <x:c r="M6" t="str">
        <x:v>Unknown</x:v>
      </x:c>
    </x:row>
    <x:row r="7">
      <x:c r="A7" s="20" t="str">
        <x:v>Web hosting</x:v>
      </x:c>
      <x:c r="B7" s="20" t="str">
        <x:v>VentraIP</x:v>
      </x:c>
      <x:c r="C7" s="20" t="str">
        <x:v>Provides cPanel web hosting attached to ovicore.com.au. May also support DNS, files or legacy website services.</x:v>
      </x:c>
      <x:c r="D7" s="20" t="str">
        <x:v>Select Hosting – ovicore.com.au (15GB / 2GB memory)</x:v>
      </x:c>
      <x:c r="E7" s="20" t="str">
        <x:v>Monthly</x:v>
      </x:c>
      <x:c r="F7" s="22" t="n">
        <x:v>23</x:v>
      </x:c>
      <x:c r="G7" s="22" t="n">
        <x:f>IF(E7="Monthly",F7,IF(E7="Annual",F7/12,0))</x:f>
        <x:v>23</x:v>
      </x:c>
      <x:c r="H7" s="22" t="n">
        <x:f>IF(E7="Monthly",F7*12,IF(E7="Annual",F7,0))</x:f>
        <x:v>276</x:v>
      </x:c>
      <x:c r="I7" s="20" t="str">
        <x:v>Paid</x:v>
      </x:c>
      <x:c r="J7" s="20" t="str">
        <x:v>Confirmed by invoice</x:v>
      </x:c>
      <x:c r="K7" s="20" t="str">
        <x:v>12th monthly</x:v>
      </x:c>
      <x:c r="L7" s="20" t="str">
        <x:v>Invoice 21024550; July 2026 payment confirmed.</x:v>
      </x:c>
      <x:c r="M7" t="str">
        <x:v>AUD</x:v>
      </x:c>
    </x:row>
    <x:row r="8">
      <x:c r="A8" s="20" t="str">
        <x:v>Business mailbox</x:v>
      </x:c>
      <x:c r="B8" s="20" t="str">
        <x:v>VentraIP</x:v>
      </x:c>
      <x:c r="C8" s="20" t="str">
        <x:v>Hosts the service@ovicore.com.au mailbox.</x:v>
      </x:c>
      <x:c r="D8" s="20" t="str">
        <x:v>Axigen Mailbox – service@ovicore.com.au (5GB)</x:v>
      </x:c>
      <x:c r="E8" s="20" t="str">
        <x:v>Monthly</x:v>
      </x:c>
      <x:c r="F8" s="22" t="n">
        <x:v>4.95</x:v>
      </x:c>
      <x:c r="G8" s="22" t="n">
        <x:f>IF(E8="Monthly",F8,IF(E8="Annual",F8/12,0))</x:f>
        <x:v>4.95</x:v>
      </x:c>
      <x:c r="H8" s="22" t="n">
        <x:f>IF(E8="Monthly",F8*12,IF(E8="Annual",F8,0))</x:f>
        <x:v>59.400000000000006</x:v>
      </x:c>
      <x:c r="I8" s="20" t="str">
        <x:v>Invoice due</x:v>
      </x:c>
      <x:c r="J8" s="20" t="str">
        <x:v>Confirmed by invoice</x:v>
      </x:c>
      <x:c r="K8" s="20" t="str">
        <x:v>21st monthly</x:v>
      </x:c>
      <x:c r="L8" s="20" t="str">
        <x:v>Invoice 21134650 showed $4.95 due for 21 Jul–21 Aug 2026.</x:v>
      </x:c>
      <x:c r="M8" t="str">
        <x:v>AUD</x:v>
      </x:c>
    </x:row>
    <x:row r="9">
      <x:c r="A9" s="20" t="str">
        <x:v>Primary domain</x:v>
      </x:c>
      <x:c r="B9" s="20" t="str">
        <x:v>VentraIP</x:v>
      </x:c>
      <x:c r="C9" s="20" t="str">
        <x:v>Provides the main OviCore internet address.</x:v>
      </x:c>
      <x:c r="D9" s="20" t="str">
        <x:v>ovicore.com.au</x:v>
      </x:c>
      <x:c r="E9" s="20" t="str">
        <x:v>Annual</x:v>
      </x:c>
      <x:c r="F9" s="22" t="n">
        <x:v>8.96</x:v>
      </x:c>
      <x:c r="G9" s="22" t="n">
        <x:f>IF(E9="Monthly",F9,IF(E9="Annual",F9/12,0))</x:f>
        <x:v>0.7466666666666667</x:v>
      </x:c>
      <x:c r="H9" s="22" t="n">
        <x:f>IF(E9="Monthly",F9*12,IF(E9="Annual",F9,0))</x:f>
        <x:v>8.96</x:v>
      </x:c>
      <x:c r="I9" s="20" t="str">
        <x:v>Paid</x:v>
      </x:c>
      <x:c r="J9" s="20" t="str">
        <x:v>Confirmed by receipt</x:v>
      </x:c>
      <x:c r="K9" s="20" t="str">
        <x:v>Approx. 27 Apr 2027</x:v>
      </x:c>
      <x:c r="L9" s="20" t="str">
        <x:v>Registered for one year on 27 Apr 2026.</x:v>
      </x:c>
      <x:c r="M9" t="str">
        <x:v>AUD</x:v>
      </x:c>
    </x:row>
    <x:row r="10">
      <x:c r="A10" s="20" t="str">
        <x:v>Secondary domain</x:v>
      </x:c>
      <x:c r="B10" s="20" t="str">
        <x:v>VentraIP</x:v>
      </x:c>
      <x:c r="C10" s="20" t="str">
        <x:v>Protects the OviCore name and may be used for redirects or future services.</x:v>
      </x:c>
      <x:c r="D10" s="20" t="str">
        <x:v>ovicore.au</x:v>
      </x:c>
      <x:c r="E10" s="20" t="str">
        <x:v>Annual</x:v>
      </x:c>
      <x:c r="F10" s="22" t="n">
        <x:v>8.96</x:v>
      </x:c>
      <x:c r="G10" s="22" t="n">
        <x:f>IF(E10="Monthly",F10,IF(E10="Annual",F10/12,0))</x:f>
        <x:v>0.7466666666666667</x:v>
      </x:c>
      <x:c r="H10" s="22" t="n">
        <x:f>IF(E10="Monthly",F10*12,IF(E10="Annual",F10,0))</x:f>
        <x:v>8.96</x:v>
      </x:c>
      <x:c r="I10" s="20" t="str">
        <x:v>Paid</x:v>
      </x:c>
      <x:c r="J10" s="20" t="str">
        <x:v>Confirmed by receipt</x:v>
      </x:c>
      <x:c r="K10" s="20" t="str">
        <x:v>Approx. 27 Apr 2027</x:v>
      </x:c>
      <x:c r="L10" s="20" t="str">
        <x:v>Registered for one year on 27 Apr 2026.</x:v>
      </x:c>
      <x:c r="M10" t="str">
        <x:v>AUD</x:v>
      </x:c>
    </x:row>
    <x:row r="11">
      <x:c r="A11" s="20" t="str">
        <x:v>Additional domain</x:v>
      </x:c>
      <x:c r="B11" s="20" t="str">
        <x:v>VentraIP</x:v>
      </x:c>
      <x:c r="C11" s="20" t="str">
        <x:v>Brand protection / possible future store or landing page.</x:v>
      </x:c>
      <x:c r="D11" s="20" t="str">
        <x:v>ovicore.store</x:v>
      </x:c>
      <x:c r="E11" s="20" t="str">
        <x:v>Annual</x:v>
      </x:c>
      <x:c r="F11" s="22" t="n">
        <x:v>0</x:v>
      </x:c>
      <x:c r="G11" s="22" t="n">
        <x:f>IF(E11="Monthly",F11,IF(E11="Annual",F11/12,0))</x:f>
        <x:v>0</x:v>
      </x:c>
      <x:c r="H11" s="22" t="n">
        <x:f>IF(E11="Monthly",F11*12,IF(E11="Annual",F11,0))</x:f>
        <x:v>0</x:v>
      </x:c>
      <x:c r="I11" s="20" t="str">
        <x:v>Paid</x:v>
      </x:c>
      <x:c r="J11" s="20" t="str">
        <x:v>Confirmed by receipt</x:v>
      </x:c>
      <x:c r="K11" s="20" t="str">
        <x:v>Approx. 27 Apr 2027</x:v>
      </x:c>
      <x:c r="L11" s="20" t="str">
        <x:v>Initial one-year registration was $0.00; renewal price may differ.</x:v>
      </x:c>
      <x:c r="M11" t="str">
        <x:v>AUD</x:v>
      </x:c>
    </x:row>
    <x:row r="12">
      <x:c r="A12" s="20" t="str">
        <x:v>AI development assistant</x:v>
      </x:c>
      <x:c r="B12" s="20" t="str">
        <x:v>OpenAI / ChatGPT Plus</x:v>
      </x:c>
      <x:c r="C12" s="20" t="str">
        <x:v>Used to design, code, troubleshoot and document OviCore. This is not currently confirmed as an in-app API cost.</x:v>
      </x:c>
      <x:c r="D12" s="20" t="str">
        <x:v>ChatGPT Plus via Google Play</x:v>
      </x:c>
      <x:c r="E12" s="20" t="str">
        <x:v>Monthly</x:v>
      </x:c>
      <x:c r="F12" s="22" t="n">
        <x:v>33.99</x:v>
      </x:c>
      <x:c r="G12" s="22" t="n">
        <x:f>IF(E12="Monthly",F12,IF(E12="Annual",F12/12,0))</x:f>
        <x:v>33.99</x:v>
      </x:c>
      <x:c r="H12" s="22" t="n">
        <x:f>IF(E12="Monthly",F12*12,IF(E12="Annual",F12,0))</x:f>
        <x:v>407.88</x:v>
      </x:c>
      <x:c r="I12" s="20" t="str">
        <x:v>Paid / auto-renewing</x:v>
      </x:c>
      <x:c r="J12" s="20" t="str">
        <x:v>Confirmed by receipt</x:v>
      </x:c>
      <x:c r="K12" s="20" t="str">
        <x:v>12th monthly</x:v>
      </x:c>
      <x:c r="L12" s="20" t="str">
        <x:v>Personal subscription used heavily for OviCore development. Keep separate from future OpenAI API usage.</x:v>
      </x:c>
      <x:c r="M12" t="str">
        <x:v>AUD</x:v>
      </x:c>
    </x:row>
    <x:row r="13">
      <x:c r="A13" s="20" t="str">
        <x:v>Cloud file storage</x:v>
      </x:c>
      <x:c r="B13" s="20" t="str">
        <x:v>Google One</x:v>
      </x:c>
      <x:c r="C13" s="20" t="str">
        <x:v>Provides general cloud storage and backup that may support OviCore files, screenshots and project material.</x:v>
      </x:c>
      <x:c r="D13" s="20" t="str">
        <x:v>Google One 100GB</x:v>
      </x:c>
      <x:c r="E13" s="20" t="str">
        <x:v>Annual</x:v>
      </x:c>
      <x:c r="F13" s="22" t="n">
        <x:v>29.99</x:v>
      </x:c>
      <x:c r="G13" s="22" t="n">
        <x:f>IF(E13="Monthly",F13,IF(E13="Annual",F13/12,0))</x:f>
        <x:v>2.4991666666666665</x:v>
      </x:c>
      <x:c r="H13" s="22" t="n">
        <x:f>IF(E13="Monthly",F13*12,IF(E13="Annual",F13,0))</x:f>
        <x:v>29.99</x:v>
      </x:c>
      <x:c r="I13" s="20" t="str">
        <x:v>Paid / auto-renewing</x:v>
      </x:c>
      <x:c r="J13" s="20" t="str">
        <x:v>Confirmed by receipt</x:v>
      </x:c>
      <x:c r="K13" s="20" t="str">
        <x:v>18 Jul annually</x:v>
      </x:c>
      <x:c r="L13" s="20" t="str">
        <x:v>Not exclusively OviCore; include only the business-use portion when calculating formal OviCore accounts.</x:v>
      </x:c>
      <x:c r="M13" t="str">
        <x:v>AUD</x:v>
      </x:c>
    </x:row>
    <x:row r="14">
      <x:c r="A14" s="20" t="str">
        <x:v>Android distribution</x:v>
      </x:c>
      <x:c r="B14" s="20" t="str">
        <x:v>Google Play Console</x:v>
      </x:c>
      <x:c r="C14" s="20" t="str">
        <x:v>Publishes and manages the OviCore Android app.</x:v>
      </x:c>
      <x:c r="D14" s="20" t="str">
        <x:v>Developer account: Reboot inc</x:v>
      </x:c>
      <x:c r="E14" s="20" t="str">
        <x:v>One-off / no current recurring charge found</x:v>
      </x:c>
      <x:c r="F14" s="22" t="n">
        <x:v>0</x:v>
      </x:c>
      <x:c r="G14" s="22" t="n">
        <x:f>IF(E14="Monthly",F14,IF(E14="Annual",F14/12,0))</x:f>
        <x:v>0</x:v>
      </x:c>
      <x:c r="H14" s="22" t="n">
        <x:f>IF(E14="Monthly",F14*12,IF(E14="Annual",F14,0))</x:f>
        <x:v>0</x:v>
      </x:c>
      <x:c r="I14" s="20" t="str">
        <x:v>Account exists</x:v>
      </x:c>
      <x:c r="J14" s="20" t="str">
        <x:v>Service confirmed; cost unconfirmed</x:v>
      </x:c>
      <x:c r="K14" s="20" t="str"/>
      <x:c r="L14" s="20" t="str">
        <x:v>Developer account emails found. No recent registration receipt located.</x:v>
      </x:c>
      <x:c r="M14" t="str">
        <x:v>Unknown</x:v>
      </x:c>
    </x:row>
    <x:row r="15">
      <x:c r="A15" s="61" t="str">
        <x:v>Active backend API hosting</x:v>
      </x:c>
      <x:c r="B15" s="61" t="str">
        <x:v>Railway</x:v>
      </x:c>
      <x:c r="C15" s="62" t="str">
        <x:v>Runs the live Python/FastAPI OviCore service. It receives GitHub deployments and has DATABASE_URL and CORS_ORIGINS configured.</x:v>
      </x:c>
      <x:c r="D15" s="62" t="str">
        <x:v>proactive-victory → ovicore-next-production.up.railway.app</x:v>
      </x:c>
      <x:c r="E15" s="62" t="str">
        <x:v>Monthly</x:v>
      </x:c>
      <x:c r="F15" s="63" t="n">
        <x:v>5</x:v>
      </x:c>
      <x:c r="G15" s="63" t="n">
        <x:f>F15</x:f>
        <x:v>5</x:v>
      </x:c>
      <x:c r="H15" s="63" t="n">
        <x:f>F15*12</x:f>
        <x:v>60</x:v>
      </x:c>
      <x:c r="I15" s="62" t="str">
        <x:v>Paid / active</x:v>
      </x:c>
      <x:c r="J15" s="62" t="str">
        <x:v>Confirmed by Railway receipt</x:v>
      </x:c>
      <x:c r="K15" s="62" t="str">
        <x:v>22nd monthly</x:v>
      </x:c>
      <x:c r="L15" s="62" t="str">
        <x:v>Hobby plan paid on 22 Jul 2026 for 22 Jul–22 Aug 2026. Includes US$5 monthly usage credit. Receipt 2652-3126; invoice OISYZ8X6-0001. Keep proactive-victory active; review the unexposed superb-nature Node service.</x:v>
      </x:c>
      <x:c r="M15" s="62" t="str">
        <x:v>USD</x:v>
      </x:c>
    </x:row>
  </x:sheetData>
  <x:mergeCells>
    <x:mergeCell ref="A1:L1"/>
  </x:mergeCells>
  <x:conditionalFormatting sqref="I3:J14">
    <x:cfRule type="expression" dxfId="0" priority="1">
      <x:formula>OR($J3="Unconfirmed",$J3="Service confirmed; cost unconfirmed")</x:formula>
    </x:cfRule>
    <x:cfRule type="expression" dxfId="1" priority="2">
      <x:formula>LEFT($J3,9)="Confirmed"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af3e8f73ff4a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25" hidden="0" customWidth="1"/>
    <x:col min="5" max="5" width="24" hidden="0" customWidth="1"/>
    <x:col min="6" max="6" width="14" hidden="0" customWidth="1"/>
    <x:col min="7" max="7" width="20" hidden="0" customWidth="1"/>
    <x:col min="8" max="8" width="28" hidden="0" customWidth="1"/>
    <x:col min="9" max="9" width="34" hidden="0" customWidth="1"/>
    <x:col min="10" max="10" width="36" hidden="0" customWidth="1"/>
    <x:col min="11" max="11" width="12" hidden="0" customWidth="1"/>
  </x:cols>
  <x:sheetData>
    <x:row r="1" ht="34" customHeight="1">
      <x:c r="A1" s="6" t="str">
        <x:v>Payment Evidence Located in Gmail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>
      <x:c r="A2" s="25" t="str">
        <x:v>Date</x:v>
      </x:c>
      <x:c r="B2" s="25" t="str">
        <x:v>Provider</x:v>
      </x:c>
      <x:c r="C2" s="25" t="str">
        <x:v>Service / item</x:v>
      </x:c>
      <x:c r="D2" s="25" t="str">
        <x:v>Invoice / order</x:v>
      </x:c>
      <x:c r="E2" s="25" t="str">
        <x:v>Billing period</x:v>
      </x:c>
      <x:c r="F2" s="25" t="str">
        <x:v>Amount</x:v>
      </x:c>
      <x:c r="G2" s="25" t="str">
        <x:v>Paid status</x:v>
      </x:c>
      <x:c r="H2" s="25" t="str">
        <x:v>Evidence</x:v>
      </x:c>
      <x:c r="I2" s="25" t="str">
        <x:v>Gmail source</x:v>
      </x:c>
      <x:c r="J2" s="25" t="str">
        <x:v>Notes</x:v>
      </x:c>
      <x:c r="K2" s="55" t="str">
        <x:v>Currency</x:v>
      </x:c>
    </x:row>
    <x:row r="3">
      <x:c r="A3" s="28" t="n">
        <x:v>46223</x:v>
      </x:c>
      <x:c r="B3" s="20" t="str">
        <x:v>VentraIP</x:v>
      </x:c>
      <x:c r="C3" s="20" t="str">
        <x:v>Select Hosting – ovicore.com.au</x:v>
      </x:c>
      <x:c r="D3" s="20" t="str">
        <x:v>Invoice 21024550</x:v>
      </x:c>
      <x:c r="E3" s="20" t="str">
        <x:v>12 Jul 2026 – 12 Aug 2026</x:v>
      </x:c>
      <x:c r="F3" s="22" t="n">
        <x:v>23</x:v>
      </x:c>
      <x:c r="G3" s="20" t="str">
        <x:v>Paid</x:v>
      </x:c>
      <x:c r="H3" s="20" t="str">
        <x:v>Payment confirmation and PDF invoice</x:v>
      </x:c>
      <x:c r="I3" s="20" t="str">
        <x:v>https://mail.google.com/mail/#all/19f7e701e1b20db1</x:v>
      </x:c>
      <x:c r="J3" s="20" t="str">
        <x:v>Monthly hosting; GST inclusive.</x:v>
      </x:c>
      <x:c r="K3" t="str">
        <x:v>AUD</x:v>
      </x:c>
    </x:row>
    <x:row r="4">
      <x:c r="A4" s="28" t="n">
        <x:v>46214</x:v>
      </x:c>
      <x:c r="B4" s="20" t="str">
        <x:v>VentraIP</x:v>
      </x:c>
      <x:c r="C4" s="20" t="str">
        <x:v>Axigen Mailbox – service@ovicore.com.au</x:v>
      </x:c>
      <x:c r="D4" s="20" t="str">
        <x:v>Invoice 21134650</x:v>
      </x:c>
      <x:c r="E4" s="20" t="str">
        <x:v>21 Jul 2026 – 21 Aug 2026</x:v>
      </x:c>
      <x:c r="F4" s="22" t="n">
        <x:v>4.95</x:v>
      </x:c>
      <x:c r="G4" s="20" t="str">
        <x:v>Due at invoice date</x:v>
      </x:c>
      <x:c r="H4" s="20" t="str">
        <x:v>PDF tax invoice</x:v>
      </x:c>
      <x:c r="I4" s="20" t="str">
        <x:v>https://mail.google.com/mail/#all/19f4e93757b218b7</x:v>
      </x:c>
      <x:c r="J4" s="20" t="str">
        <x:v>Monthly mailbox; invoice showed amount payable $4.95.</x:v>
      </x:c>
      <x:c r="K4" t="str">
        <x:v>AUD</x:v>
      </x:c>
    </x:row>
    <x:row r="5">
      <x:c r="A5" s="28" t="n">
        <x:v>46139</x:v>
      </x:c>
      <x:c r="B5" s="20" t="str">
        <x:v>VentraIP</x:v>
      </x:c>
      <x:c r="C5" s="20" t="str">
        <x:v>Domain registration – ovicore.com.au</x:v>
      </x:c>
      <x:c r="D5" s="20" t="str">
        <x:v>Invoice 20248392</x:v>
      </x:c>
      <x:c r="E5" s="20" t="str">
        <x:v>1 year</x:v>
      </x:c>
      <x:c r="F5" s="22" t="n">
        <x:v>8.96</x:v>
      </x:c>
      <x:c r="G5" s="20" t="str">
        <x:v>Paid</x:v>
      </x:c>
      <x:c r="H5" s="20" t="str">
        <x:v>Payment confirmation</x:v>
      </x:c>
      <x:c r="I5" s="20" t="str">
        <x:v>https://mail.google.com/mail/#all/19dce62800e73345</x:v>
      </x:c>
      <x:c r="J5" s="20" t="str">
        <x:v>Part of total domain payment of $17.92.</x:v>
      </x:c>
      <x:c r="K5" t="str">
        <x:v>AUD</x:v>
      </x:c>
    </x:row>
    <x:row r="6">
      <x:c r="A6" s="28" t="n">
        <x:v>46139</x:v>
      </x:c>
      <x:c r="B6" s="20" t="str">
        <x:v>VentraIP</x:v>
      </x:c>
      <x:c r="C6" s="20" t="str">
        <x:v>Domain registration – ovicore.au</x:v>
      </x:c>
      <x:c r="D6" s="20" t="str">
        <x:v>Invoice 20248392</x:v>
      </x:c>
      <x:c r="E6" s="20" t="str">
        <x:v>1 year</x:v>
      </x:c>
      <x:c r="F6" s="22" t="n">
        <x:v>8.96</x:v>
      </x:c>
      <x:c r="G6" s="20" t="str">
        <x:v>Paid</x:v>
      </x:c>
      <x:c r="H6" s="20" t="str">
        <x:v>Payment confirmation</x:v>
      </x:c>
      <x:c r="I6" s="20" t="str">
        <x:v>https://mail.google.com/mail/#all/19dce62800e73345</x:v>
      </x:c>
      <x:c r="J6" s="20" t="str">
        <x:v>Part of total domain payment of $17.92.</x:v>
      </x:c>
      <x:c r="K6" t="str">
        <x:v>AUD</x:v>
      </x:c>
    </x:row>
    <x:row r="7">
      <x:c r="A7" s="28" t="n">
        <x:v>46139</x:v>
      </x:c>
      <x:c r="B7" s="20" t="str">
        <x:v>VentraIP</x:v>
      </x:c>
      <x:c r="C7" s="20" t="str">
        <x:v>Domain registration – ovicore.store</x:v>
      </x:c>
      <x:c r="D7" s="20" t="str">
        <x:v>Invoice 20248392</x:v>
      </x:c>
      <x:c r="E7" s="20" t="str">
        <x:v>1 year</x:v>
      </x:c>
      <x:c r="F7" s="22" t="n">
        <x:v>0</x:v>
      </x:c>
      <x:c r="G7" s="20" t="str">
        <x:v>Paid</x:v>
      </x:c>
      <x:c r="H7" s="20" t="str">
        <x:v>Payment confirmation</x:v>
      </x:c>
      <x:c r="I7" s="20" t="str">
        <x:v>https://mail.google.com/mail/#all/19dce62800e73345</x:v>
      </x:c>
      <x:c r="J7" s="20" t="str">
        <x:v>Initial registration was free; renewal may not be free.</x:v>
      </x:c>
      <x:c r="K7" t="str">
        <x:v>AUD</x:v>
      </x:c>
    </x:row>
    <x:row r="8">
      <x:c r="A8" s="28" t="n">
        <x:v>46124</x:v>
      </x:c>
      <x:c r="B8" s="20" t="str">
        <x:v>OpenAI via Google Play</x:v>
      </x:c>
      <x:c r="C8" s="20" t="str">
        <x:v>ChatGPT Plus</x:v>
      </x:c>
      <x:c r="D8" s="20" t="str">
        <x:v>GPA.3316-2325-6873-84927..9</x:v>
      </x:c>
      <x:c r="E8" s="20" t="str">
        <x:v>Monthly</x:v>
      </x:c>
      <x:c r="F8" s="22" t="n">
        <x:v>33.99</x:v>
      </x:c>
      <x:c r="G8" s="20" t="str">
        <x:v>Paid / auto-renewing</x:v>
      </x:c>
      <x:c r="H8" s="20" t="str">
        <x:v>Google Play receipt</x:v>
      </x:c>
      <x:c r="I8" s="20" t="str">
        <x:v>https://mail.google.com/mail/#all/19d80231a6f8fe45</x:v>
      </x:c>
      <x:c r="J8" s="20" t="str">
        <x:v>Includes GST of $3.09.</x:v>
      </x:c>
      <x:c r="K8" t="str">
        <x:v>AUD</x:v>
      </x:c>
    </x:row>
    <x:row r="9">
      <x:c r="A9" s="28" t="n">
        <x:v>46221</x:v>
      </x:c>
      <x:c r="B9" s="20" t="str">
        <x:v>Google</x:v>
      </x:c>
      <x:c r="C9" s="20" t="str">
        <x:v>Google One 100GB</x:v>
      </x:c>
      <x:c r="D9" s="20" t="str">
        <x:v>SOP.3338-1606-8897-61987..2</x:v>
      </x:c>
      <x:c r="E9" s="20" t="str">
        <x:v>Annual</x:v>
      </x:c>
      <x:c r="F9" s="22" t="n">
        <x:v>29.99</x:v>
      </x:c>
      <x:c r="G9" s="20" t="str">
        <x:v>Paid / auto-renewing</x:v>
      </x:c>
      <x:c r="H9" s="20" t="str">
        <x:v>Google Play receipt</x:v>
      </x:c>
      <x:c r="I9" s="20" t="str">
        <x:v>https://mail.google.com/mail/#all/19f7170ac422fa65</x:v>
      </x:c>
      <x:c r="J9" s="20" t="str">
        <x:v>Includes GST of $2.73; not exclusively OviCore.</x:v>
      </x:c>
      <x:c r="K9" t="str">
        <x:v>AUD</x:v>
      </x:c>
    </x:row>
    <x:row r="10">
      <x:c r="A10" s="28" t="n">
        <x:v>46225</x:v>
      </x:c>
      <x:c r="B10" s="20" t="str">
        <x:v>Railway Corporation</x:v>
      </x:c>
      <x:c r="C10" s="20" t="str">
        <x:v>Hobby plan</x:v>
      </x:c>
      <x:c r="D10" s="20" t="str">
        <x:v>Receipt 2652-3126 / Invoice OISYZ8X6-0001</x:v>
      </x:c>
      <x:c r="E10" s="20" t="str">
        <x:v>22 Jul 2026 – 22 Aug 2026</x:v>
      </x:c>
      <x:c r="F10" s="22" t="n">
        <x:v>5</x:v>
      </x:c>
      <x:c r="G10" s="20" t="str">
        <x:v>Paid / active</x:v>
      </x:c>
      <x:c r="H10" s="20" t="str">
        <x:v>Railway receipt and invoice</x:v>
      </x:c>
      <x:c r="I10" s="20" t="str">
        <x:v>https://mail.google.com/mail/#all/19f8963005550846</x:v>
      </x:c>
      <x:c r="J10" s="20" t="str">
        <x:v>US$5.00 paid by Mastercard ending 5484. Includes US$5 monthly usage credit; AUD card amount may vary with exchange rate.</x:v>
      </x:c>
      <x:c r="K10" t="str">
        <x:v>USD</x:v>
      </x:c>
    </x:row>
  </x:sheetData>
  <x:mergeCells>
    <x:mergeCell ref="A1:J1"/>
  </x:mergeCells>
  <x:conditionalFormatting sqref="G3:G9">
    <x:cfRule type="expression" dxfId="2" priority="1">
      <x:formula>ISNUMBER(SEARCH("Paid",$G3))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2ba42b451348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12" hidden="0" customWidth="1"/>
    <x:col min="5" max="5" width="18" hidden="0" customWidth="1"/>
    <x:col min="6" max="6" width="42" hidden="0" customWidth="1"/>
    <x:col min="7" max="7" width="34" hidden="0" customWidth="1"/>
    <x:col min="8" max="8" width="25" hidden="0" customWidth="1"/>
  </x:cols>
  <x:sheetData>
    <x:row r="1" ht="34" customHeight="1">
      <x:c r="A1" s="6" t="str">
        <x:v>OviCore Cost Summary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47" t="str">
        <x:v>Updated after confirming the Railway Hobby plan was paid on 22 July 2026. Railway proactive-victory remains the active Python backend; database provider and Render dependency still require verification.</x:v>
      </x:c>
    </x:row>
    <x:row r="3">
      <x:c r="A3" s="24" t="str">
        <x:v>Metric</x:v>
      </x:c>
      <x:c r="B3" s="24" t="str">
        <x:v>Amount (AUD)</x:v>
      </x:c>
      <x:c r="C3" s="20"/>
      <x:c r="D3" s="24" t="str">
        <x:v>Service group</x:v>
      </x:c>
      <x:c r="E3" s="24" t="str">
        <x:v>Monthly equivalent</x:v>
      </x:c>
      <x:c r="F3" s="24" t="str">
        <x:v>Annual equivalent</x:v>
      </x:c>
      <x:c r="G3" s="24" t="str">
        <x:v>Confidence</x:v>
      </x:c>
      <x:c r="H3" s="24" t="str">
        <x:v>Action</x:v>
      </x:c>
    </x:row>
    <x:row r="4">
      <x:c r="A4" s="20" t="str">
        <x:v>Confirmed monthly services</x:v>
      </x:c>
      <x:c r="B4" s="22" t="n">
        <x:f>SUM(Services!F7:F8,Services!F12)</x:f>
        <x:v>61.94</x:v>
      </x:c>
      <x:c r="C4" s="20"/>
      <x:c r="D4" s="20" t="str">
        <x:v>Core hosting &amp; infrastructure</x:v>
      </x:c>
      <x:c r="E4" s="22" t="n">
        <x:f>SUM(Services!G3:G11)</x:f>
        <x:v>29.44333333333333</x:v>
      </x:c>
      <x:c r="F4" s="22" t="n">
        <x:f>SUM(Services!H3:H11)</x:f>
        <x:v>353.31999999999994</x:v>
      </x:c>
      <x:c r="G4" s="20" t="str">
        <x:v>Partly confirmed</x:v>
      </x:c>
      <x:c r="H4" s="20" t="str">
        <x:v>Confirm Vercel, Render and GitHub billing dashboards.</x:v>
      </x:c>
    </x:row>
    <x:row r="5">
      <x:c r="A5" s="20" t="str">
        <x:v>Confirmed annual services</x:v>
      </x:c>
      <x:c r="B5" s="22" t="n">
        <x:f>SUM(Services!F9:F11,Services!F13)</x:f>
        <x:v>47.91</x:v>
      </x:c>
      <x:c r="C5" s="20"/>
      <x:c r="D5" s="20" t="str">
        <x:v>Development tools</x:v>
      </x:c>
      <x:c r="E5" s="22" t="n">
        <x:f>Services!G12</x:f>
        <x:v>33.99</x:v>
      </x:c>
      <x:c r="F5" s="22" t="n">
        <x:f>Services!H12</x:f>
        <x:v>407.88</x:v>
      </x:c>
      <x:c r="G5" s="20" t="str">
        <x:v>Confirmed</x:v>
      </x:c>
      <x:c r="H5" s="20" t="str">
        <x:v>Decide whether ChatGPT Plus is treated as an OviCore business expense.</x:v>
      </x:c>
    </x:row>
    <x:row r="6">
      <x:c r="A6" s="20" t="str">
        <x:v>Monthly equivalent of confirmed services</x:v>
      </x:c>
      <x:c r="B6" s="22" t="n">
        <x:f>SUMIFS(Services!G3:G15,Services!M3:M15,"AUD")</x:f>
        <x:v>65.9325</x:v>
      </x:c>
      <x:c r="C6" s="20"/>
      <x:c r="D6" s="20" t="str">
        <x:v>Storage &amp; distribution</x:v>
      </x:c>
      <x:c r="E6" s="22" t="n">
        <x:f>SUM(Services!G13:G14)</x:f>
        <x:v>2.4991666666666665</x:v>
      </x:c>
      <x:c r="F6" s="22" t="n">
        <x:f>SUM(Services!H13:H14)</x:f>
        <x:v>29.99</x:v>
      </x:c>
      <x:c r="G6" s="20" t="str">
        <x:v>Mixed</x:v>
      </x:c>
      <x:c r="H6" s="20" t="str">
        <x:v>Confirm Google Play developer registration cost and business-use share of Google One.</x:v>
      </x:c>
    </x:row>
    <x:row r="7">
      <x:c r="A7" s="20" t="str">
        <x:v>Annual equivalent of confirmed services</x:v>
      </x:c>
      <x:c r="B7" s="22" t="n">
        <x:f>SUMIFS(Services!H3:H15,Services!M3:M15,"AUD")</x:f>
        <x:v>791.1899999999999</x:v>
      </x:c>
      <x:c r="C7" s="20"/>
      <x:c r="D7" s="20"/>
      <x:c r="E7" s="20"/>
      <x:c r="F7" s="20"/>
      <x:c r="G7" s="20"/>
      <x:c r="H7" s="20"/>
    </x:row>
    <x:row r="8">
      <x:c r="A8" s="20" t="str">
        <x:v>Unconfirmed services requiring billing check</x:v>
      </x:c>
      <x:c r="B8" s="20" t="n">
        <x:f>COUNTIF(Services!J:J,"*Unconfirmed*")+COUNTIF(Services!J:J,"Use not confirmed")+COUNTIF(Services!J:J,"Provider not confirmed")+COUNTIF(Services!J:J,"*pending*")</x:f>
        <x:v>2</x:v>
      </x:c>
      <x:c r="C8" s="20"/>
      <x:c r="D8" s="20"/>
      <x:c r="E8" s="20"/>
      <x:c r="F8" s="20"/>
      <x:c r="G8" s="20"/>
      <x:c r="H8" s="20"/>
    </x:row>
    <x:row r="9">
      <x:c r="A9" s="57" t="str">
        <x:v>Confirmed Railway monthly charge</x:v>
      </x:c>
      <x:c r="B9" s="60" t="str">
        <x:v>US$5.00</x:v>
      </x:c>
      <x:c r="C9" s="20"/>
      <x:c r="D9" s="45" t="str">
        <x:v>Current architecture</x:v>
      </x:c>
      <x:c r="E9" s="45" t="str">
        <x:v>Role</x:v>
      </x:c>
      <x:c r="F9" s="45" t="str">
        <x:v>Evidence</x:v>
      </x:c>
      <x:c r="G9" s="45" t="str">
        <x:v>Decision</x:v>
      </x:c>
      <x:c r="H9" s="45" t="str">
        <x:v>Status</x:v>
      </x:c>
    </x:row>
    <x:row r="10">
      <x:c r="A10" s="57" t="str">
        <x:v>Confirmed Railway annual minimum</x:v>
      </x:c>
      <x:c r="B10" s="60" t="str">
        <x:v>US$60.00</x:v>
      </x:c>
      <x:c r="C10" s="20"/>
      <x:c r="D10" s="20" t="str">
        <x:v>Vercel</x:v>
      </x:c>
      <x:c r="E10" s="20" t="str">
        <x:v>Next.js frontend</x:v>
      </x:c>
      <x:c r="F10" s="20" t="str">
        <x:v>Active deployment history and OviCore domains</x:v>
      </x:c>
      <x:c r="G10" s="20" t="str">
        <x:v>Keep pending billing confirmation</x:v>
      </x:c>
      <x:c r="H10" s="20" t="str">
        <x:v>Active</x:v>
      </x:c>
    </x:row>
    <x:row r="11">
      <x:c r="A11" s="32"/>
      <x:c r="B11" s="32"/>
      <x:c r="C11" s="32"/>
      <x:c r="D11" s="32" t="str">
        <x:v>Railway proactive-victory</x:v>
      </x:c>
      <x:c r="E11" s="32" t="str">
        <x:v>Python/FastAPI backend</x:v>
      </x:c>
      <x:c r="F11" s="32" t="str">
        <x:v>Public domain, successful deployments, DATABASE_URL and CORS_ORIGINS</x:v>
      </x:c>
      <x:c r="G11" s="32" t="str">
        <x:v>Keep active; Hobby paid</x:v>
      </x:c>
      <x:c r="H11" s="32" t="str">
        <x:v>Active / paid</x:v>
      </x:c>
    </x:row>
    <x:row r="12">
      <x:c r="A12" s="20"/>
      <x:c r="B12" s="20"/>
      <x:c r="C12" s="20"/>
      <x:c r="D12" s="20" t="str">
        <x:v>Railway superb-nature</x:v>
      </x:c>
      <x:c r="E12" s="20" t="str">
        <x:v>Duplicate Node build</x:v>
      </x:c>
      <x:c r="F12" s="20" t="str">
        <x:v>Unexposed and no custom environment variables</x:v>
      </x:c>
      <x:c r="G12" s="20" t="str">
        <x:v>Review and likely remove</x:v>
      </x:c>
      <x:c r="H12" s="20" t="str">
        <x:v>Likely redundant</x:v>
      </x:c>
    </x:row>
    <x:row r="13">
      <x:c r="A13" s="20"/>
      <x:c r="B13" s="20"/>
      <x:c r="C13" s="20"/>
      <x:c r="D13" s="20" t="str">
        <x:v>Render</x:v>
      </x:c>
      <x:c r="E13" s="20" t="str">
        <x:v>Earlier backend/database hosting</x:v>
      </x:c>
      <x:c r="F13" s="20" t="str">
        <x:v>Known prior setup, but current dependency not proven</x:v>
      </x:c>
      <x:c r="G13" s="20" t="str">
        <x:v>Check before cancelling</x:v>
      </x:c>
      <x:c r="H13" s="20" t="str">
        <x:v>Unconfirmed</x:v>
      </x:c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/>
      <x:c r="B17"/>
      <x:c r="C17"/>
      <x:c r="D17"/>
      <x:c r="E17"/>
    </x:row>
    <x:row r="18">
      <x:c r="A18" s="50" t="str">
        <x:v>Priority check</x:v>
      </x:c>
      <x:c r="B18" s="50" t="str">
        <x:v>Why it matters</x:v>
      </x:c>
      <x:c r="C18" s="50" t="str">
        <x:v>Where to check</x:v>
      </x:c>
      <x:c r="D18" s="50" t="str">
        <x:v>Owner</x:v>
      </x:c>
      <x:c r="E18" s="50" t="str">
        <x:v>Status</x:v>
      </x:c>
    </x:row>
    <x:row r="19">
      <x:c r="A19" s="20" t="str">
        <x:v>Railway Hobby upgrade</x:v>
      </x:c>
      <x:c r="B19" s="20" t="str">
        <x:v>Completed: the active FastAPI backend is protected from trial expiry.</x:v>
      </x:c>
      <x:c r="C19" s="20" t="str">
        <x:v>Railway receipt 2652-3126; invoice OISYZ8X6-0001</x:v>
      </x:c>
      <x:c r="D19" s="20" t="str">
        <x:v>JJ</x:v>
      </x:c>
      <x:c r="E19" s="20" t="str">
        <x:v>Confirmed</x:v>
      </x:c>
    </x:row>
    <x:row r="20">
      <x:c r="A20" s="20" t="str">
        <x:v>Railway database provider</x:v>
      </x:c>
      <x:c r="B20" s="20" t="str">
        <x:v>DATABASE_URL proves a database connection exists, but not which company hosts the database.</x:v>
      </x:c>
      <x:c r="C20" s="20" t="str">
        <x:v>Railway → proactive-victory → Variables / project diagram</x:v>
      </x:c>
      <x:c r="D20" s="20" t="str">
        <x:v>JJ</x:v>
      </x:c>
      <x:c r="E20" s="20" t="str">
        <x:v>To confirm</x:v>
      </x:c>
    </x:row>
    <x:row r="21">
      <x:c r="A21" s="20" t="str">
        <x:v>Render dependency</x:v>
      </x:c>
      <x:c r="B21" s="20" t="str">
        <x:v>Render may now duplicate Railway or may still host another environment.</x:v>
      </x:c>
      <x:c r="C21" s="20" t="str">
        <x:v>Render → Services, Logs, Custom Domains and Billing</x:v>
      </x:c>
      <x:c r="D21" s="20" t="str">
        <x:v>JJ</x:v>
      </x:c>
      <x:c r="E21" s="20" t="str">
        <x:v>To confirm</x:v>
      </x:c>
    </x:row>
    <x:row r="22">
      <x:c r="A22" s="20" t="str">
        <x:v>Vercel plan</x:v>
      </x:c>
      <x:c r="B22" s="20" t="str">
        <x:v>Vercel appears to host the Next.js frontend; confirm whether the plan is free or paid.</x:v>
      </x:c>
      <x:c r="C22" s="20" t="str">
        <x:v>Vercel → Team Settings → Billing</x:v>
      </x:c>
      <x:c r="D22" s="20" t="str">
        <x:v>JJ</x:v>
      </x:c>
      <x:c r="E22" s="20" t="str">
        <x:v>To confirm</x:v>
      </x:c>
    </x:row>
    <x:row r="23">
      <x:c r="A23" s="20" t="str">
        <x:v>Railway superb-nature service</x:v>
      </x:c>
      <x:c r="B23" s="20" t="str">
        <x:v>This Node service is unexposed, has no custom variables and appears to duplicate the Vercel frontend.</x:v>
      </x:c>
      <x:c r="C23" s="20" t="str">
        <x:v>Railway → superb-nature → Metrics / Settings</x:v>
      </x:c>
      <x:c r="D23" s="20" t="str">
        <x:v>JJ</x:v>
      </x:c>
      <x:c r="E23" s="20" t="str">
        <x:v>Review / remove</x:v>
      </x:c>
    </x:row>
    <x:row r="24">
      <x:c r="A24" s="20" t="str">
        <x:v>VentraIP web hosting need</x:v>
      </x:c>
      <x:c r="B24" s="20" t="str">
        <x:v>The separate A$23/month cPanel hosting may be redundant if domains, frontend and backend are hosted elsewhere.</x:v>
      </x:c>
      <x:c r="C24" s="20" t="str">
        <x:v>VentraIP VIPControl</x:v>
      </x:c>
      <x:c r="D24" s="20" t="str">
        <x:v>JJ</x:v>
      </x:c>
      <x:c r="E24" s="20" t="str">
        <x:v>Review</x:v>
      </x:c>
    </x:row>
  </x:sheetData>
  <x:mergeCells>
    <x:mergeCell ref="A1:H1"/>
    <x:mergeCell ref="A2:H2"/>
  </x:mergeCells>
  <x:conditionalFormatting sqref="H10:H13">
    <x:cfRule type="expression" dxfId="3" priority="1">
      <x:formula>OR($H10="Critical",$H10="Active")</x:formula>
    </x:cfRule>
    <x:cfRule type="expression" dxfId="4" priority="2">
      <x:formula>OR($H10="Likely redundant",$H10="Unconfirmed")</x:formula>
    </x:cfRule>
  </x:conditionalFormatting>
  <x:dataValidations count="3">
    <x:dataValidation type="list" sqref="E12:E16">
      <x:formula1>"To confirm,Review,Confirmed,Cancelled"</x:formula1>
    </x:dataValidation>
    <x:dataValidation type="list" sqref="E12:E17">
      <x:formula1>"Urgent,To confirm,Review / remove,Review,Confirmed,Cancelled"</x:formula1>
    </x:dataValidation>
    <x:dataValidation type="list" sqref="E19:E24">
      <x:formula1>"Urgent,To confirm,Review / remove,Review,Confirmed,Cancelled"</x:formula1>
    </x:dataValidation>
  </x:dataValidations>
  <x:pageMargins left="0.7" right="0.7" top="0.75" bottom="0.75" header="0.3" footer="0.3"/>
</x:worksheet>
</file>