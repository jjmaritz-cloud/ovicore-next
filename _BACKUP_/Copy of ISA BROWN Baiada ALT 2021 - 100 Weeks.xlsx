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6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3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4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5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6.xml" ContentType="application/vnd.openxmlformats-officedocument.drawingml.chart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L:\Layer\ISA Info - Including manuals\ISA Manuals, Presenations and Recommendations\1. Manuals - Parent and Commercials\13. Correct ISA 2021 Import Data\"/>
    </mc:Choice>
  </mc:AlternateContent>
  <xr:revisionPtr revIDLastSave="0" documentId="8_{B37A2E1F-31EE-4019-8219-F2EA056981F5}" xr6:coauthVersionLast="36" xr6:coauthVersionMax="36" xr10:uidLastSave="{00000000-0000-0000-0000-000000000000}"/>
  <bookViews>
    <workbookView xWindow="0" yWindow="0" windowWidth="28800" windowHeight="12810" tabRatio="913" firstSheet="6" activeTab="6" xr2:uid="{00000000-000D-0000-FFFF-FFFF00000000}"/>
  </bookViews>
  <sheets>
    <sheet name="Std" sheetId="58" state="veryHidden" r:id="rId1"/>
    <sheet name="Language" sheetId="46" state="veryHidden" r:id="rId2"/>
    <sheet name="Languages" sheetId="59" state="veryHidden" r:id="rId3"/>
    <sheet name="Graph values" sheetId="19" state="veryHidden" r:id="rId4"/>
    <sheet name="GHOST_SHEET" sheetId="49" state="veryHidden" r:id="rId5"/>
    <sheet name="Diverse" sheetId="37" state="veryHidden" r:id="rId6"/>
    <sheet name="General Input" sheetId="56" r:id="rId7"/>
    <sheet name="Input Rearing" sheetId="55" r:id="rId8"/>
    <sheet name="Rearing graph" sheetId="27" r:id="rId9"/>
    <sheet name="Input Laying" sheetId="30" r:id="rId10"/>
    <sheet name="Laying graph" sheetId="57" r:id="rId11"/>
    <sheet name="Mass &amp; cons graph" sheetId="52" r:id="rId12"/>
    <sheet name="FCR graph" sheetId="53" r:id="rId13"/>
    <sheet name="Down grading graph" sheetId="54" r:id="rId14"/>
    <sheet name="Egg grading" sheetId="43" r:id="rId15"/>
    <sheet name="Egg grading distribution graph" sheetId="60" r:id="rId16"/>
    <sheet name="Financial sheet" sheetId="51" r:id="rId17"/>
    <sheet name="Production data" sheetId="1" r:id="rId18"/>
    <sheet name="Summary" sheetId="28" r:id="rId19"/>
  </sheets>
  <definedNames>
    <definedName name="_xlnm._FilterDatabase" localSheetId="5" hidden="1">Diverse!$U$4:$V$22</definedName>
    <definedName name="BRANDS">Diverse!$J$4:$J$40</definedName>
    <definedName name="COUNTRIES">Diverse!$R$3:$R$235</definedName>
    <definedName name="CURRENCY">Diverse!$X$4:$X$168</definedName>
    <definedName name="DAYS">Diverse!$G$3:$G$34</definedName>
    <definedName name="DAYSTRS">Diverse!$G$45:$G$75</definedName>
    <definedName name="GRADINGS">Diverse!$U$3:$U$43</definedName>
    <definedName name="HOUSINGLAY">Diverse!$N$3:$N$10</definedName>
    <definedName name="HOUSINGREARING">Diverse!$N$17:$N$19</definedName>
    <definedName name="Languages">Diverse!$AC$4:$AC$19</definedName>
    <definedName name="MONTH">Diverse!$D$3:$D$15</definedName>
    <definedName name="MONTHTRS">Diverse!$D$44:$D$56</definedName>
    <definedName name="_xlnm.Print_Area" localSheetId="14">'Egg grading'!$A$1:$Q$85</definedName>
    <definedName name="_xlnm.Print_Area" localSheetId="16">'Financial sheet'!$A$1:$N$90</definedName>
    <definedName name="_xlnm.Print_Area" localSheetId="6">'General Input'!$A$1:$F$48</definedName>
    <definedName name="_xlnm.Print_Area" localSheetId="3">'Graph values'!$A$4:$AS$70</definedName>
    <definedName name="_xlnm.Print_Area" localSheetId="9">'Input Laying'!$A$1:$AK$90</definedName>
    <definedName name="_xlnm.Print_Area" localSheetId="7">'Input Rearing'!$A$1:$AB$138</definedName>
    <definedName name="_xlnm.Print_Area" localSheetId="17">'Production data'!$A$1:$Z$88</definedName>
    <definedName name="_xlnm.Print_Area" localSheetId="18">Summary!$A$1:$N$31</definedName>
    <definedName name="_xlnm.Print_Titles" localSheetId="9">'Input Laying'!$1:$13</definedName>
    <definedName name="_xlnm.Print_Titles" localSheetId="17">'Production data'!$1:$13</definedName>
    <definedName name="YEAR">Diverse!$B$3:$B$16</definedName>
    <definedName name="YEARTRS">Diverse!$B$45:$B$57</definedName>
  </definedNames>
  <calcPr calcId="191029"/>
</workbook>
</file>

<file path=xl/calcChain.xml><?xml version="1.0" encoding="utf-8"?>
<calcChain xmlns="http://schemas.openxmlformats.org/spreadsheetml/2006/main">
  <c r="C30" i="28" l="1"/>
  <c r="H8" i="28"/>
  <c r="H7" i="28"/>
  <c r="H6" i="28"/>
  <c r="Z97" i="1"/>
  <c r="Y97" i="1"/>
  <c r="P97" i="1"/>
  <c r="O97" i="1"/>
  <c r="J30" i="28" s="1"/>
  <c r="N97" i="1"/>
  <c r="V97" i="1" s="1"/>
  <c r="M97" i="1"/>
  <c r="I97" i="1"/>
  <c r="H30" i="28" s="1"/>
  <c r="H97" i="1"/>
  <c r="G30" i="28" s="1"/>
  <c r="G97" i="1"/>
  <c r="F30" i="28" s="1"/>
  <c r="F97" i="1"/>
  <c r="E30" i="28" s="1"/>
  <c r="E97" i="1"/>
  <c r="D30" i="28" s="1"/>
  <c r="D97" i="1"/>
  <c r="Z96" i="1"/>
  <c r="Y96" i="1"/>
  <c r="P96" i="1"/>
  <c r="O96" i="1"/>
  <c r="N96" i="1"/>
  <c r="V96" i="1" s="1"/>
  <c r="M96" i="1"/>
  <c r="I96" i="1"/>
  <c r="H96" i="1"/>
  <c r="G96" i="1"/>
  <c r="S97" i="30" s="1"/>
  <c r="F96" i="1"/>
  <c r="E96" i="1"/>
  <c r="Q97" i="30" s="1"/>
  <c r="D96" i="1"/>
  <c r="Z95" i="1"/>
  <c r="Y95" i="1"/>
  <c r="P95" i="1"/>
  <c r="O95" i="1"/>
  <c r="N95" i="1"/>
  <c r="V95" i="1" s="1"/>
  <c r="M95" i="1"/>
  <c r="I95" i="1"/>
  <c r="H95" i="1"/>
  <c r="G95" i="1"/>
  <c r="F95" i="1"/>
  <c r="E95" i="1"/>
  <c r="Q96" i="30" s="1"/>
  <c r="D95" i="1"/>
  <c r="Z94" i="1"/>
  <c r="Y94" i="1"/>
  <c r="P94" i="1"/>
  <c r="O94" i="1"/>
  <c r="N94" i="1"/>
  <c r="V94" i="1" s="1"/>
  <c r="M94" i="1"/>
  <c r="I94" i="1"/>
  <c r="H94" i="1"/>
  <c r="G94" i="1"/>
  <c r="F94" i="1"/>
  <c r="E94" i="1"/>
  <c r="Q95" i="30" s="1"/>
  <c r="D94" i="1"/>
  <c r="Z93" i="1"/>
  <c r="Y93" i="1"/>
  <c r="P93" i="1"/>
  <c r="O93" i="1"/>
  <c r="N93" i="1"/>
  <c r="M93" i="1"/>
  <c r="I93" i="1"/>
  <c r="H93" i="1"/>
  <c r="G93" i="1"/>
  <c r="Z86" i="19" s="1"/>
  <c r="F93" i="1"/>
  <c r="E93" i="1"/>
  <c r="Q94" i="30" s="1"/>
  <c r="D93" i="1"/>
  <c r="Z92" i="1"/>
  <c r="Y92" i="1"/>
  <c r="P92" i="1"/>
  <c r="O92" i="1"/>
  <c r="J29" i="28" s="1"/>
  <c r="N92" i="1"/>
  <c r="M92" i="1"/>
  <c r="I92" i="1"/>
  <c r="H29" i="28" s="1"/>
  <c r="H92" i="1"/>
  <c r="G29" i="28" s="1"/>
  <c r="G92" i="1"/>
  <c r="F29" i="28" s="1"/>
  <c r="F92" i="1"/>
  <c r="E29" i="28" s="1"/>
  <c r="E92" i="1"/>
  <c r="D29" i="28" s="1"/>
  <c r="D92" i="1"/>
  <c r="C29" i="28" s="1"/>
  <c r="Z91" i="1"/>
  <c r="Y91" i="1"/>
  <c r="P91" i="1"/>
  <c r="O91" i="1"/>
  <c r="N91" i="1"/>
  <c r="V91" i="1" s="1"/>
  <c r="M91" i="1"/>
  <c r="I91" i="1"/>
  <c r="H91" i="1"/>
  <c r="G91" i="1"/>
  <c r="F91" i="1"/>
  <c r="E91" i="1"/>
  <c r="D91" i="1"/>
  <c r="Z90" i="1"/>
  <c r="Y90" i="1"/>
  <c r="P90" i="1"/>
  <c r="O90" i="1"/>
  <c r="N90" i="1"/>
  <c r="V90" i="1" s="1"/>
  <c r="M90" i="1"/>
  <c r="I90" i="1"/>
  <c r="H90" i="1"/>
  <c r="G90" i="1"/>
  <c r="S91" i="30" s="1"/>
  <c r="F90" i="1"/>
  <c r="E90" i="1"/>
  <c r="Q91" i="30" s="1"/>
  <c r="D90" i="1"/>
  <c r="Z89" i="1"/>
  <c r="Y89" i="1"/>
  <c r="P89" i="1"/>
  <c r="O89" i="1"/>
  <c r="N89" i="1"/>
  <c r="V89" i="1" s="1"/>
  <c r="M89" i="1"/>
  <c r="I89" i="1"/>
  <c r="H89" i="1"/>
  <c r="G89" i="1"/>
  <c r="Z82" i="19" s="1"/>
  <c r="F89" i="1"/>
  <c r="E89" i="1"/>
  <c r="Q90" i="30" s="1"/>
  <c r="D89" i="1"/>
  <c r="Z88" i="1"/>
  <c r="Y88" i="1"/>
  <c r="P88" i="1"/>
  <c r="O88" i="1"/>
  <c r="N88" i="1"/>
  <c r="M88" i="1"/>
  <c r="I88" i="1"/>
  <c r="H88" i="1"/>
  <c r="G88" i="1"/>
  <c r="F88" i="1"/>
  <c r="E88" i="1"/>
  <c r="D88" i="1"/>
  <c r="Z87" i="1"/>
  <c r="Y87" i="1"/>
  <c r="P87" i="1"/>
  <c r="O87" i="1"/>
  <c r="J28" i="28" s="1"/>
  <c r="N87" i="1"/>
  <c r="V87" i="1" s="1"/>
  <c r="M87" i="1"/>
  <c r="I87" i="1"/>
  <c r="H28" i="28" s="1"/>
  <c r="H87" i="1"/>
  <c r="G28" i="28" s="1"/>
  <c r="G87" i="1"/>
  <c r="Z80" i="19" s="1"/>
  <c r="F87" i="1"/>
  <c r="E28" i="28" s="1"/>
  <c r="E87" i="1"/>
  <c r="D28" i="28" s="1"/>
  <c r="D87" i="1"/>
  <c r="C28" i="28" s="1"/>
  <c r="Z86" i="1"/>
  <c r="Y86" i="1"/>
  <c r="P86" i="1"/>
  <c r="O86" i="1"/>
  <c r="N86" i="1"/>
  <c r="J86" i="1" s="1"/>
  <c r="M86" i="1"/>
  <c r="I86" i="1"/>
  <c r="H86" i="1"/>
  <c r="G86" i="1"/>
  <c r="S87" i="30" s="1"/>
  <c r="F86" i="1"/>
  <c r="E86" i="1"/>
  <c r="Q87" i="30" s="1"/>
  <c r="D86" i="1"/>
  <c r="Z85" i="1"/>
  <c r="Y85" i="1"/>
  <c r="P85" i="1"/>
  <c r="O85" i="1"/>
  <c r="N85" i="1"/>
  <c r="V85" i="1" s="1"/>
  <c r="M85" i="1"/>
  <c r="I85" i="1"/>
  <c r="H85" i="1"/>
  <c r="G85" i="1"/>
  <c r="S86" i="30" s="1"/>
  <c r="F85" i="1"/>
  <c r="E85" i="1"/>
  <c r="Q86" i="30" s="1"/>
  <c r="D85" i="1"/>
  <c r="Z84" i="1"/>
  <c r="Y84" i="1"/>
  <c r="P84" i="1"/>
  <c r="O84" i="1"/>
  <c r="N84" i="1"/>
  <c r="V84" i="1" s="1"/>
  <c r="M84" i="1"/>
  <c r="I84" i="1"/>
  <c r="H84" i="1"/>
  <c r="G84" i="1"/>
  <c r="S85" i="30" s="1"/>
  <c r="F84" i="1"/>
  <c r="E84" i="1"/>
  <c r="D84" i="1"/>
  <c r="Z83" i="1"/>
  <c r="Y83" i="1"/>
  <c r="P83" i="1"/>
  <c r="O83" i="1"/>
  <c r="N83" i="1"/>
  <c r="J83" i="1" s="1"/>
  <c r="M83" i="1"/>
  <c r="I83" i="1"/>
  <c r="H83" i="1"/>
  <c r="G83" i="1"/>
  <c r="S84" i="30" s="1"/>
  <c r="F83" i="1"/>
  <c r="E83" i="1"/>
  <c r="D83" i="1"/>
  <c r="Z82" i="1"/>
  <c r="Y82" i="1"/>
  <c r="P82" i="1"/>
  <c r="O82" i="1"/>
  <c r="J27" i="28" s="1"/>
  <c r="N82" i="1"/>
  <c r="V82" i="1" s="1"/>
  <c r="M82" i="1"/>
  <c r="I82" i="1"/>
  <c r="H27" i="28" s="1"/>
  <c r="H82" i="1"/>
  <c r="G27" i="28" s="1"/>
  <c r="G82" i="1"/>
  <c r="F27" i="28" s="1"/>
  <c r="F82" i="1"/>
  <c r="E27" i="28" s="1"/>
  <c r="E82" i="1"/>
  <c r="D27" i="28" s="1"/>
  <c r="D82" i="1"/>
  <c r="C27" i="28" s="1"/>
  <c r="Z81" i="1"/>
  <c r="Y81" i="1"/>
  <c r="P81" i="1"/>
  <c r="O81" i="1"/>
  <c r="N81" i="1"/>
  <c r="M81" i="1"/>
  <c r="I81" i="1"/>
  <c r="H81" i="1"/>
  <c r="G81" i="1"/>
  <c r="S82" i="30" s="1"/>
  <c r="F81" i="1"/>
  <c r="E81" i="1"/>
  <c r="D81" i="1"/>
  <c r="Z80" i="1"/>
  <c r="Y80" i="1"/>
  <c r="P80" i="1"/>
  <c r="O80" i="1"/>
  <c r="N80" i="1"/>
  <c r="M80" i="1"/>
  <c r="I80" i="1"/>
  <c r="H80" i="1"/>
  <c r="G80" i="1"/>
  <c r="S81" i="30" s="1"/>
  <c r="F80" i="1"/>
  <c r="E80" i="1"/>
  <c r="Q81" i="30" s="1"/>
  <c r="D80" i="1"/>
  <c r="Z79" i="1"/>
  <c r="Y79" i="1"/>
  <c r="P79" i="1"/>
  <c r="O79" i="1"/>
  <c r="N79" i="1"/>
  <c r="V79" i="1" s="1"/>
  <c r="M79" i="1"/>
  <c r="I79" i="1"/>
  <c r="H79" i="1"/>
  <c r="G79" i="1"/>
  <c r="F79" i="1"/>
  <c r="E79" i="1"/>
  <c r="Q80" i="30" s="1"/>
  <c r="D79" i="1"/>
  <c r="Z78" i="1"/>
  <c r="Y78" i="1"/>
  <c r="P78" i="1"/>
  <c r="O78" i="1"/>
  <c r="N78" i="1"/>
  <c r="V78" i="1" s="1"/>
  <c r="M78" i="1"/>
  <c r="I78" i="1"/>
  <c r="H78" i="1"/>
  <c r="G78" i="1"/>
  <c r="Z71" i="19" s="1"/>
  <c r="F78" i="1"/>
  <c r="E78" i="1"/>
  <c r="D78" i="1"/>
  <c r="Z77" i="1"/>
  <c r="Y77" i="1"/>
  <c r="P77" i="1"/>
  <c r="O77" i="1"/>
  <c r="J26" i="28" s="1"/>
  <c r="N77" i="1"/>
  <c r="V77" i="1" s="1"/>
  <c r="M77" i="1"/>
  <c r="I77" i="1"/>
  <c r="H26" i="28" s="1"/>
  <c r="H77" i="1"/>
  <c r="G26" i="28" s="1"/>
  <c r="G77" i="1"/>
  <c r="F26" i="28" s="1"/>
  <c r="F77" i="1"/>
  <c r="E26" i="28" s="1"/>
  <c r="E77" i="1"/>
  <c r="D26" i="28" s="1"/>
  <c r="D77" i="1"/>
  <c r="C26" i="28" s="1"/>
  <c r="Z76" i="1"/>
  <c r="Y76" i="1"/>
  <c r="P76" i="1"/>
  <c r="O76" i="1"/>
  <c r="N76" i="1"/>
  <c r="M76" i="1"/>
  <c r="I76" i="1"/>
  <c r="H76" i="1"/>
  <c r="G76" i="1"/>
  <c r="S77" i="30" s="1"/>
  <c r="F76" i="1"/>
  <c r="E76" i="1"/>
  <c r="Q77" i="30" s="1"/>
  <c r="D76" i="1"/>
  <c r="Z75" i="1"/>
  <c r="Y75" i="1"/>
  <c r="P75" i="1"/>
  <c r="O75" i="1"/>
  <c r="N75" i="1"/>
  <c r="V75" i="1" s="1"/>
  <c r="M75" i="1"/>
  <c r="I75" i="1"/>
  <c r="H75" i="1"/>
  <c r="G75" i="1"/>
  <c r="F75" i="1"/>
  <c r="E75" i="1"/>
  <c r="Q76" i="30" s="1"/>
  <c r="D75" i="1"/>
  <c r="Z74" i="1"/>
  <c r="Y74" i="1"/>
  <c r="P74" i="1"/>
  <c r="O74" i="1"/>
  <c r="N74" i="1"/>
  <c r="V74" i="1" s="1"/>
  <c r="M74" i="1"/>
  <c r="I74" i="1"/>
  <c r="H74" i="1"/>
  <c r="G74" i="1"/>
  <c r="F74" i="1"/>
  <c r="E74" i="1"/>
  <c r="Q75" i="30" s="1"/>
  <c r="D74" i="1"/>
  <c r="Z73" i="1"/>
  <c r="Y73" i="1"/>
  <c r="P73" i="1"/>
  <c r="O73" i="1"/>
  <c r="N73" i="1"/>
  <c r="V73" i="1" s="1"/>
  <c r="M73" i="1"/>
  <c r="I73" i="1"/>
  <c r="H73" i="1"/>
  <c r="G73" i="1"/>
  <c r="S74" i="30" s="1"/>
  <c r="F73" i="1"/>
  <c r="E73" i="1"/>
  <c r="Q74" i="30" s="1"/>
  <c r="D73" i="1"/>
  <c r="Z72" i="1"/>
  <c r="Y72" i="1"/>
  <c r="P72" i="1"/>
  <c r="O72" i="1"/>
  <c r="J25" i="28" s="1"/>
  <c r="N72" i="1"/>
  <c r="M72" i="1"/>
  <c r="I72" i="1"/>
  <c r="H25" i="28" s="1"/>
  <c r="H72" i="1"/>
  <c r="G25" i="28" s="1"/>
  <c r="G72" i="1"/>
  <c r="F25" i="28" s="1"/>
  <c r="F72" i="1"/>
  <c r="E25" i="28" s="1"/>
  <c r="E72" i="1"/>
  <c r="D25" i="28" s="1"/>
  <c r="D72" i="1"/>
  <c r="C25" i="28" s="1"/>
  <c r="Z71" i="1"/>
  <c r="Y71" i="1"/>
  <c r="P71" i="1"/>
  <c r="O71" i="1"/>
  <c r="N71" i="1"/>
  <c r="M71" i="1"/>
  <c r="I71" i="1"/>
  <c r="H71" i="1"/>
  <c r="G71" i="1"/>
  <c r="S72" i="30" s="1"/>
  <c r="F71" i="1"/>
  <c r="E71" i="1"/>
  <c r="Q72" i="30" s="1"/>
  <c r="D71" i="1"/>
  <c r="Z70" i="1"/>
  <c r="Y70" i="1"/>
  <c r="P70" i="1"/>
  <c r="O70" i="1"/>
  <c r="N70" i="1"/>
  <c r="V70" i="1" s="1"/>
  <c r="M70" i="1"/>
  <c r="I70" i="1"/>
  <c r="H70" i="1"/>
  <c r="G70" i="1"/>
  <c r="S71" i="30" s="1"/>
  <c r="F70" i="1"/>
  <c r="E70" i="1"/>
  <c r="Q71" i="30" s="1"/>
  <c r="D70" i="1"/>
  <c r="Z69" i="1"/>
  <c r="Y69" i="1"/>
  <c r="P69" i="1"/>
  <c r="O69" i="1"/>
  <c r="N69" i="1"/>
  <c r="M69" i="1"/>
  <c r="I69" i="1"/>
  <c r="H69" i="1"/>
  <c r="G69" i="1"/>
  <c r="S70" i="30" s="1"/>
  <c r="F69" i="1"/>
  <c r="E69" i="1"/>
  <c r="Q70" i="30" s="1"/>
  <c r="D69" i="1"/>
  <c r="Z68" i="1"/>
  <c r="Y68" i="1"/>
  <c r="P68" i="1"/>
  <c r="O68" i="1"/>
  <c r="N68" i="1"/>
  <c r="M68" i="1"/>
  <c r="I68" i="1"/>
  <c r="H68" i="1"/>
  <c r="G68" i="1"/>
  <c r="Z61" i="19" s="1"/>
  <c r="F68" i="1"/>
  <c r="E68" i="1"/>
  <c r="Q69" i="30" s="1"/>
  <c r="D68" i="1"/>
  <c r="Z67" i="1"/>
  <c r="Y67" i="1"/>
  <c r="P67" i="1"/>
  <c r="O67" i="1"/>
  <c r="J24" i="28" s="1"/>
  <c r="N67" i="1"/>
  <c r="V67" i="1" s="1"/>
  <c r="M67" i="1"/>
  <c r="I67" i="1"/>
  <c r="H24" i="28" s="1"/>
  <c r="H67" i="1"/>
  <c r="G24" i="28" s="1"/>
  <c r="G67" i="1"/>
  <c r="F24" i="28" s="1"/>
  <c r="F67" i="1"/>
  <c r="E24" i="28" s="1"/>
  <c r="E67" i="1"/>
  <c r="D24" i="28" s="1"/>
  <c r="D67" i="1"/>
  <c r="C24" i="28" s="1"/>
  <c r="Z66" i="1"/>
  <c r="Y66" i="1"/>
  <c r="P66" i="1"/>
  <c r="O66" i="1"/>
  <c r="N66" i="1"/>
  <c r="V66" i="1" s="1"/>
  <c r="M66" i="1"/>
  <c r="I66" i="1"/>
  <c r="H66" i="1"/>
  <c r="G66" i="1"/>
  <c r="F66" i="1"/>
  <c r="E66" i="1"/>
  <c r="D66" i="1"/>
  <c r="Z65" i="1"/>
  <c r="Y65" i="1"/>
  <c r="P65" i="1"/>
  <c r="O65" i="1"/>
  <c r="N65" i="1"/>
  <c r="V65" i="1" s="1"/>
  <c r="M65" i="1"/>
  <c r="I65" i="1"/>
  <c r="H65" i="1"/>
  <c r="G65" i="1"/>
  <c r="S66" i="30" s="1"/>
  <c r="F65" i="1"/>
  <c r="E65" i="1"/>
  <c r="Q66" i="30" s="1"/>
  <c r="D65" i="1"/>
  <c r="Z64" i="1"/>
  <c r="Y64" i="1"/>
  <c r="P64" i="1"/>
  <c r="O64" i="1"/>
  <c r="N64" i="1"/>
  <c r="M64" i="1"/>
  <c r="I64" i="1"/>
  <c r="H64" i="1"/>
  <c r="G64" i="1"/>
  <c r="S65" i="30" s="1"/>
  <c r="F64" i="1"/>
  <c r="E64" i="1"/>
  <c r="Q65" i="30" s="1"/>
  <c r="D64" i="1"/>
  <c r="Z63" i="1"/>
  <c r="Y63" i="1"/>
  <c r="P63" i="1"/>
  <c r="O63" i="1"/>
  <c r="N63" i="1"/>
  <c r="V63" i="1" s="1"/>
  <c r="M63" i="1"/>
  <c r="I63" i="1"/>
  <c r="H63" i="1"/>
  <c r="G63" i="1"/>
  <c r="F63" i="1"/>
  <c r="E63" i="1"/>
  <c r="Q64" i="30" s="1"/>
  <c r="D63" i="1"/>
  <c r="Z62" i="1"/>
  <c r="Y62" i="1"/>
  <c r="P62" i="1"/>
  <c r="O62" i="1"/>
  <c r="J23" i="28" s="1"/>
  <c r="N62" i="1"/>
  <c r="V62" i="1" s="1"/>
  <c r="K23" i="28" s="1"/>
  <c r="M62" i="1"/>
  <c r="I62" i="1"/>
  <c r="H23" i="28" s="1"/>
  <c r="H62" i="1"/>
  <c r="G23" i="28" s="1"/>
  <c r="G62" i="1"/>
  <c r="F23" i="28" s="1"/>
  <c r="F62" i="1"/>
  <c r="E23" i="28" s="1"/>
  <c r="E62" i="1"/>
  <c r="D23" i="28" s="1"/>
  <c r="D62" i="1"/>
  <c r="C23" i="28" s="1"/>
  <c r="Z61" i="1"/>
  <c r="Y61" i="1"/>
  <c r="P61" i="1"/>
  <c r="O61" i="1"/>
  <c r="N61" i="1"/>
  <c r="J61" i="1" s="1"/>
  <c r="M61" i="1"/>
  <c r="I61" i="1"/>
  <c r="H61" i="1"/>
  <c r="G61" i="1"/>
  <c r="S62" i="30" s="1"/>
  <c r="F61" i="1"/>
  <c r="E61" i="1"/>
  <c r="Q62" i="30" s="1"/>
  <c r="D61" i="1"/>
  <c r="Z60" i="1"/>
  <c r="Y60" i="1"/>
  <c r="P60" i="1"/>
  <c r="O60" i="1"/>
  <c r="N60" i="1"/>
  <c r="V60" i="1" s="1"/>
  <c r="M60" i="1"/>
  <c r="I60" i="1"/>
  <c r="H60" i="1"/>
  <c r="G60" i="1"/>
  <c r="S61" i="30" s="1"/>
  <c r="F60" i="1"/>
  <c r="E60" i="1"/>
  <c r="D60" i="1"/>
  <c r="Z59" i="1"/>
  <c r="Y59" i="1"/>
  <c r="P59" i="1"/>
  <c r="O59" i="1"/>
  <c r="N59" i="1"/>
  <c r="J59" i="1" s="1"/>
  <c r="M59" i="1"/>
  <c r="I59" i="1"/>
  <c r="H59" i="1"/>
  <c r="G59" i="1"/>
  <c r="S60" i="30" s="1"/>
  <c r="F59" i="1"/>
  <c r="E59" i="1"/>
  <c r="Q60" i="30" s="1"/>
  <c r="D59" i="1"/>
  <c r="Z58" i="1"/>
  <c r="Y58" i="1"/>
  <c r="P58" i="1"/>
  <c r="O58" i="1"/>
  <c r="N58" i="1"/>
  <c r="V58" i="1" s="1"/>
  <c r="M58" i="1"/>
  <c r="I58" i="1"/>
  <c r="H58" i="1"/>
  <c r="G58" i="1"/>
  <c r="S59" i="30" s="1"/>
  <c r="F58" i="1"/>
  <c r="E58" i="1"/>
  <c r="Q59" i="30" s="1"/>
  <c r="D58" i="1"/>
  <c r="Z57" i="1"/>
  <c r="Y57" i="1"/>
  <c r="P57" i="1"/>
  <c r="O57" i="1"/>
  <c r="J22" i="28" s="1"/>
  <c r="N57" i="1"/>
  <c r="I22" i="28" s="1"/>
  <c r="M57" i="1"/>
  <c r="I57" i="1"/>
  <c r="H22" i="28" s="1"/>
  <c r="H57" i="1"/>
  <c r="G22" i="28" s="1"/>
  <c r="G57" i="1"/>
  <c r="F22" i="28" s="1"/>
  <c r="F57" i="1"/>
  <c r="E22" i="28" s="1"/>
  <c r="E57" i="1"/>
  <c r="D22" i="28" s="1"/>
  <c r="D57" i="1"/>
  <c r="C22" i="28" s="1"/>
  <c r="Z56" i="1"/>
  <c r="Y56" i="1"/>
  <c r="P56" i="1"/>
  <c r="O56" i="1"/>
  <c r="N56" i="1"/>
  <c r="J56" i="1" s="1"/>
  <c r="M56" i="1"/>
  <c r="I56" i="1"/>
  <c r="H56" i="1"/>
  <c r="G56" i="1"/>
  <c r="Z49" i="19" s="1"/>
  <c r="F56" i="1"/>
  <c r="E56" i="1"/>
  <c r="D56" i="1"/>
  <c r="Z55" i="1"/>
  <c r="Y55" i="1"/>
  <c r="P55" i="1"/>
  <c r="O55" i="1"/>
  <c r="N55" i="1"/>
  <c r="V55" i="1" s="1"/>
  <c r="M55" i="1"/>
  <c r="I55" i="1"/>
  <c r="H55" i="1"/>
  <c r="G55" i="1"/>
  <c r="Z48" i="19" s="1"/>
  <c r="F55" i="1"/>
  <c r="E55" i="1"/>
  <c r="Q56" i="30" s="1"/>
  <c r="D55" i="1"/>
  <c r="Z54" i="1"/>
  <c r="Y54" i="1"/>
  <c r="P54" i="1"/>
  <c r="O54" i="1"/>
  <c r="N54" i="1"/>
  <c r="V54" i="1" s="1"/>
  <c r="M54" i="1"/>
  <c r="I54" i="1"/>
  <c r="H54" i="1"/>
  <c r="G54" i="1"/>
  <c r="F54" i="1"/>
  <c r="E54" i="1"/>
  <c r="Q55" i="30" s="1"/>
  <c r="D54" i="1"/>
  <c r="Z53" i="1"/>
  <c r="Y53" i="1"/>
  <c r="P53" i="1"/>
  <c r="O53" i="1"/>
  <c r="N53" i="1"/>
  <c r="V53" i="1" s="1"/>
  <c r="M53" i="1"/>
  <c r="I53" i="1"/>
  <c r="H53" i="1"/>
  <c r="G53" i="1"/>
  <c r="S54" i="30" s="1"/>
  <c r="F53" i="1"/>
  <c r="E53" i="1"/>
  <c r="Q54" i="30" s="1"/>
  <c r="D53" i="1"/>
  <c r="Z52" i="1"/>
  <c r="Y52" i="1"/>
  <c r="P52" i="1"/>
  <c r="O52" i="1"/>
  <c r="J21" i="28" s="1"/>
  <c r="N52" i="1"/>
  <c r="M52" i="1"/>
  <c r="I52" i="1"/>
  <c r="H21" i="28" s="1"/>
  <c r="H52" i="1"/>
  <c r="G21" i="28" s="1"/>
  <c r="G52" i="1"/>
  <c r="F21" i="28" s="1"/>
  <c r="F52" i="1"/>
  <c r="E21" i="28" s="1"/>
  <c r="E52" i="1"/>
  <c r="D52" i="1"/>
  <c r="C21" i="28" s="1"/>
  <c r="Z51" i="1"/>
  <c r="Y51" i="1"/>
  <c r="P51" i="1"/>
  <c r="O51" i="1"/>
  <c r="N51" i="1"/>
  <c r="V51" i="1" s="1"/>
  <c r="M51" i="1"/>
  <c r="I51" i="1"/>
  <c r="H51" i="1"/>
  <c r="G51" i="1"/>
  <c r="F51" i="1"/>
  <c r="E51" i="1"/>
  <c r="Q52" i="30" s="1"/>
  <c r="D51" i="1"/>
  <c r="Z50" i="1"/>
  <c r="Y50" i="1"/>
  <c r="P50" i="1"/>
  <c r="O50" i="1"/>
  <c r="N50" i="1"/>
  <c r="M50" i="1"/>
  <c r="I50" i="1"/>
  <c r="H50" i="1"/>
  <c r="G50" i="1"/>
  <c r="F50" i="1"/>
  <c r="E50" i="1"/>
  <c r="D50" i="1"/>
  <c r="Z49" i="1"/>
  <c r="Y49" i="1"/>
  <c r="P49" i="1"/>
  <c r="O49" i="1"/>
  <c r="N49" i="1"/>
  <c r="M49" i="1"/>
  <c r="I49" i="1"/>
  <c r="H49" i="1"/>
  <c r="G49" i="1"/>
  <c r="S50" i="30" s="1"/>
  <c r="F49" i="1"/>
  <c r="E49" i="1"/>
  <c r="Q50" i="30" s="1"/>
  <c r="D49" i="1"/>
  <c r="Z48" i="1"/>
  <c r="Y48" i="1"/>
  <c r="P48" i="1"/>
  <c r="O48" i="1"/>
  <c r="N48" i="1"/>
  <c r="V48" i="1" s="1"/>
  <c r="M48" i="1"/>
  <c r="I48" i="1"/>
  <c r="H48" i="1"/>
  <c r="G48" i="1"/>
  <c r="F48" i="1"/>
  <c r="E48" i="1"/>
  <c r="Q49" i="30" s="1"/>
  <c r="D48" i="1"/>
  <c r="Z47" i="1"/>
  <c r="Y47" i="1"/>
  <c r="P47" i="1"/>
  <c r="O47" i="1"/>
  <c r="J20" i="28" s="1"/>
  <c r="N47" i="1"/>
  <c r="V47" i="1" s="1"/>
  <c r="V40" i="19" s="1"/>
  <c r="M47" i="1"/>
  <c r="I47" i="1"/>
  <c r="H20" i="28" s="1"/>
  <c r="H47" i="1"/>
  <c r="G20" i="28" s="1"/>
  <c r="G47" i="1"/>
  <c r="F20" i="28" s="1"/>
  <c r="F47" i="1"/>
  <c r="E20" i="28" s="1"/>
  <c r="E47" i="1"/>
  <c r="D20" i="28" s="1"/>
  <c r="D47" i="1"/>
  <c r="C20" i="28" s="1"/>
  <c r="Z46" i="1"/>
  <c r="Y46" i="1"/>
  <c r="P46" i="1"/>
  <c r="O46" i="1"/>
  <c r="N46" i="1"/>
  <c r="V46" i="1" s="1"/>
  <c r="M46" i="1"/>
  <c r="I46" i="1"/>
  <c r="H46" i="1"/>
  <c r="G46" i="1"/>
  <c r="S47" i="30" s="1"/>
  <c r="F46" i="1"/>
  <c r="E46" i="1"/>
  <c r="Q47" i="30" s="1"/>
  <c r="D46" i="1"/>
  <c r="Z45" i="1"/>
  <c r="Y45" i="1"/>
  <c r="P45" i="1"/>
  <c r="O45" i="1"/>
  <c r="N45" i="1"/>
  <c r="M45" i="1"/>
  <c r="I45" i="1"/>
  <c r="H45" i="1"/>
  <c r="G45" i="1"/>
  <c r="S46" i="30" s="1"/>
  <c r="F45" i="1"/>
  <c r="E45" i="1"/>
  <c r="Q46" i="30" s="1"/>
  <c r="D45" i="1"/>
  <c r="Z44" i="1"/>
  <c r="Y44" i="1"/>
  <c r="P44" i="1"/>
  <c r="O44" i="1"/>
  <c r="N44" i="1"/>
  <c r="M44" i="1"/>
  <c r="I44" i="1"/>
  <c r="H44" i="1"/>
  <c r="G44" i="1"/>
  <c r="S45" i="30" s="1"/>
  <c r="F44" i="1"/>
  <c r="E44" i="1"/>
  <c r="D44" i="1"/>
  <c r="Z43" i="1"/>
  <c r="Y43" i="1"/>
  <c r="P43" i="1"/>
  <c r="O43" i="1"/>
  <c r="N43" i="1"/>
  <c r="V43" i="1" s="1"/>
  <c r="M43" i="1"/>
  <c r="I43" i="1"/>
  <c r="H43" i="1"/>
  <c r="G43" i="1"/>
  <c r="Z36" i="19" s="1"/>
  <c r="F43" i="1"/>
  <c r="E43" i="1"/>
  <c r="Q44" i="30" s="1"/>
  <c r="D43" i="1"/>
  <c r="Z42" i="1"/>
  <c r="Y42" i="1"/>
  <c r="P42" i="1"/>
  <c r="O42" i="1"/>
  <c r="J19" i="28" s="1"/>
  <c r="N42" i="1"/>
  <c r="V42" i="1" s="1"/>
  <c r="M42" i="1"/>
  <c r="I42" i="1"/>
  <c r="H19" i="28" s="1"/>
  <c r="H42" i="1"/>
  <c r="G19" i="28" s="1"/>
  <c r="G42" i="1"/>
  <c r="F19" i="28" s="1"/>
  <c r="F42" i="1"/>
  <c r="E19" i="28" s="1"/>
  <c r="E42" i="1"/>
  <c r="D19" i="28" s="1"/>
  <c r="D42" i="1"/>
  <c r="C19" i="28" s="1"/>
  <c r="Z41" i="1"/>
  <c r="Y41" i="1"/>
  <c r="P41" i="1"/>
  <c r="O41" i="1"/>
  <c r="N41" i="1"/>
  <c r="V41" i="1" s="1"/>
  <c r="M41" i="1"/>
  <c r="I41" i="1"/>
  <c r="H41" i="1"/>
  <c r="G41" i="1"/>
  <c r="S42" i="30" s="1"/>
  <c r="F41" i="1"/>
  <c r="E41" i="1"/>
  <c r="Q42" i="30" s="1"/>
  <c r="D41" i="1"/>
  <c r="Z40" i="1"/>
  <c r="Y40" i="1"/>
  <c r="P40" i="1"/>
  <c r="O40" i="1"/>
  <c r="N40" i="1"/>
  <c r="M40" i="1"/>
  <c r="I40" i="1"/>
  <c r="H40" i="1"/>
  <c r="G40" i="1"/>
  <c r="Z33" i="19" s="1"/>
  <c r="F40" i="1"/>
  <c r="E40" i="1"/>
  <c r="Q41" i="30" s="1"/>
  <c r="D40" i="1"/>
  <c r="Z39" i="1"/>
  <c r="Y39" i="1"/>
  <c r="P39" i="1"/>
  <c r="O39" i="1"/>
  <c r="N39" i="1"/>
  <c r="V39" i="1" s="1"/>
  <c r="M39" i="1"/>
  <c r="I39" i="1"/>
  <c r="H39" i="1"/>
  <c r="G39" i="1"/>
  <c r="S40" i="30" s="1"/>
  <c r="F39" i="1"/>
  <c r="E39" i="1"/>
  <c r="Q40" i="30" s="1"/>
  <c r="D39" i="1"/>
  <c r="Z38" i="1"/>
  <c r="Y38" i="1"/>
  <c r="P38" i="1"/>
  <c r="O38" i="1"/>
  <c r="N38" i="1"/>
  <c r="M38" i="1"/>
  <c r="I38" i="1"/>
  <c r="H38" i="1"/>
  <c r="G38" i="1"/>
  <c r="F38" i="1"/>
  <c r="E38" i="1"/>
  <c r="D38" i="1"/>
  <c r="Z37" i="1"/>
  <c r="Y37" i="1"/>
  <c r="P37" i="1"/>
  <c r="O37" i="1"/>
  <c r="J18" i="28" s="1"/>
  <c r="N37" i="1"/>
  <c r="J37" i="1" s="1"/>
  <c r="M37" i="1"/>
  <c r="I37" i="1"/>
  <c r="H18" i="28" s="1"/>
  <c r="H37" i="1"/>
  <c r="G18" i="28" s="1"/>
  <c r="G37" i="1"/>
  <c r="F18" i="28" s="1"/>
  <c r="F37" i="1"/>
  <c r="E18" i="28" s="1"/>
  <c r="E37" i="1"/>
  <c r="D18" i="28" s="1"/>
  <c r="D37" i="1"/>
  <c r="C18" i="28" s="1"/>
  <c r="Z36" i="1"/>
  <c r="Y36" i="1"/>
  <c r="P36" i="1"/>
  <c r="O36" i="1"/>
  <c r="N36" i="1"/>
  <c r="V36" i="1" s="1"/>
  <c r="M36" i="1"/>
  <c r="I36" i="1"/>
  <c r="H36" i="1"/>
  <c r="G36" i="1"/>
  <c r="F36" i="1"/>
  <c r="E36" i="1"/>
  <c r="Q37" i="30" s="1"/>
  <c r="D36" i="1"/>
  <c r="Z35" i="1"/>
  <c r="Y35" i="1"/>
  <c r="P35" i="1"/>
  <c r="O35" i="1"/>
  <c r="N35" i="1"/>
  <c r="J35" i="1" s="1"/>
  <c r="M35" i="1"/>
  <c r="I35" i="1"/>
  <c r="H35" i="1"/>
  <c r="G35" i="1"/>
  <c r="F35" i="1"/>
  <c r="E35" i="1"/>
  <c r="Q36" i="30" s="1"/>
  <c r="D35" i="1"/>
  <c r="Z34" i="1"/>
  <c r="Y34" i="1"/>
  <c r="P34" i="1"/>
  <c r="O34" i="1"/>
  <c r="N34" i="1"/>
  <c r="V34" i="1" s="1"/>
  <c r="M34" i="1"/>
  <c r="I34" i="1"/>
  <c r="H34" i="1"/>
  <c r="G34" i="1"/>
  <c r="S35" i="30" s="1"/>
  <c r="F34" i="1"/>
  <c r="E34" i="1"/>
  <c r="Q35" i="30" s="1"/>
  <c r="D34" i="1"/>
  <c r="Z33" i="1"/>
  <c r="Y33" i="1"/>
  <c r="P33" i="1"/>
  <c r="O33" i="1"/>
  <c r="N33" i="1"/>
  <c r="M33" i="1"/>
  <c r="I33" i="1"/>
  <c r="H33" i="1"/>
  <c r="G33" i="1"/>
  <c r="Z26" i="19" s="1"/>
  <c r="F33" i="1"/>
  <c r="E33" i="1"/>
  <c r="Q34" i="30" s="1"/>
  <c r="D33" i="1"/>
  <c r="Z32" i="1"/>
  <c r="Y32" i="1"/>
  <c r="P32" i="1"/>
  <c r="O32" i="1"/>
  <c r="J17" i="28" s="1"/>
  <c r="N32" i="1"/>
  <c r="J32" i="1" s="1"/>
  <c r="M32" i="1"/>
  <c r="I32" i="1"/>
  <c r="H17" i="28" s="1"/>
  <c r="H32" i="1"/>
  <c r="G17" i="28" s="1"/>
  <c r="G32" i="1"/>
  <c r="F17" i="28" s="1"/>
  <c r="F32" i="1"/>
  <c r="E17" i="28" s="1"/>
  <c r="E32" i="1"/>
  <c r="D17" i="28" s="1"/>
  <c r="D32" i="1"/>
  <c r="C17" i="28" s="1"/>
  <c r="Z31" i="1"/>
  <c r="Y31" i="1"/>
  <c r="P31" i="1"/>
  <c r="O31" i="1"/>
  <c r="N31" i="1"/>
  <c r="V31" i="1" s="1"/>
  <c r="M31" i="1"/>
  <c r="I31" i="1"/>
  <c r="H31" i="1"/>
  <c r="G31" i="1"/>
  <c r="S32" i="30" s="1"/>
  <c r="F31" i="1"/>
  <c r="E31" i="1"/>
  <c r="D31" i="1"/>
  <c r="Z30" i="1"/>
  <c r="Y30" i="1"/>
  <c r="P30" i="1"/>
  <c r="O30" i="1"/>
  <c r="N30" i="1"/>
  <c r="V30" i="1" s="1"/>
  <c r="M30" i="1"/>
  <c r="I30" i="1"/>
  <c r="H30" i="1"/>
  <c r="G30" i="1"/>
  <c r="S31" i="30" s="1"/>
  <c r="F30" i="1"/>
  <c r="E30" i="1"/>
  <c r="Q31" i="30" s="1"/>
  <c r="D30" i="1"/>
  <c r="Z29" i="1"/>
  <c r="Y29" i="1"/>
  <c r="P29" i="1"/>
  <c r="O29" i="1"/>
  <c r="N29" i="1"/>
  <c r="V29" i="1" s="1"/>
  <c r="M29" i="1"/>
  <c r="I29" i="1"/>
  <c r="H29" i="1"/>
  <c r="G29" i="1"/>
  <c r="S30" i="30" s="1"/>
  <c r="F29" i="1"/>
  <c r="E29" i="1"/>
  <c r="Q30" i="30" s="1"/>
  <c r="D29" i="1"/>
  <c r="Z28" i="1"/>
  <c r="Y28" i="1"/>
  <c r="P28" i="1"/>
  <c r="O28" i="1"/>
  <c r="N28" i="1"/>
  <c r="M28" i="1"/>
  <c r="I28" i="1"/>
  <c r="H28" i="1"/>
  <c r="G28" i="1"/>
  <c r="Z21" i="19" s="1"/>
  <c r="F28" i="1"/>
  <c r="E28" i="1"/>
  <c r="D28" i="1"/>
  <c r="Z27" i="1"/>
  <c r="Y27" i="1"/>
  <c r="P27" i="1"/>
  <c r="O27" i="1"/>
  <c r="J16" i="28" s="1"/>
  <c r="N27" i="1"/>
  <c r="I16" i="28" s="1"/>
  <c r="M27" i="1"/>
  <c r="I27" i="1"/>
  <c r="H16" i="28" s="1"/>
  <c r="H27" i="1"/>
  <c r="G16" i="28" s="1"/>
  <c r="G27" i="1"/>
  <c r="F16" i="28" s="1"/>
  <c r="F27" i="1"/>
  <c r="E16" i="28" s="1"/>
  <c r="E27" i="1"/>
  <c r="D16" i="28" s="1"/>
  <c r="D27" i="1"/>
  <c r="C16" i="28" s="1"/>
  <c r="Z26" i="1"/>
  <c r="Y26" i="1"/>
  <c r="P26" i="1"/>
  <c r="O26" i="1"/>
  <c r="N26" i="1"/>
  <c r="J26" i="1" s="1"/>
  <c r="M26" i="1"/>
  <c r="I26" i="1"/>
  <c r="H26" i="1"/>
  <c r="G26" i="1"/>
  <c r="F26" i="1"/>
  <c r="E26" i="1"/>
  <c r="D26" i="1"/>
  <c r="Z25" i="1"/>
  <c r="Y25" i="1"/>
  <c r="P25" i="1"/>
  <c r="O25" i="1"/>
  <c r="N25" i="1"/>
  <c r="J25" i="1" s="1"/>
  <c r="M25" i="1"/>
  <c r="I25" i="1"/>
  <c r="H25" i="1"/>
  <c r="G25" i="1"/>
  <c r="S26" i="30" s="1"/>
  <c r="F25" i="1"/>
  <c r="E25" i="1"/>
  <c r="Q26" i="30" s="1"/>
  <c r="D25" i="1"/>
  <c r="Z24" i="1"/>
  <c r="Y24" i="1"/>
  <c r="P24" i="1"/>
  <c r="O24" i="1"/>
  <c r="N24" i="1"/>
  <c r="V24" i="1" s="1"/>
  <c r="M24" i="1"/>
  <c r="I24" i="1"/>
  <c r="H24" i="1"/>
  <c r="G24" i="1"/>
  <c r="S25" i="30" s="1"/>
  <c r="F24" i="1"/>
  <c r="E24" i="1"/>
  <c r="Q25" i="30" s="1"/>
  <c r="D24" i="1"/>
  <c r="Z23" i="1"/>
  <c r="Y23" i="1"/>
  <c r="P23" i="1"/>
  <c r="O23" i="1"/>
  <c r="N23" i="1"/>
  <c r="V23" i="1" s="1"/>
  <c r="M23" i="1"/>
  <c r="I23" i="1"/>
  <c r="H23" i="1"/>
  <c r="G23" i="1"/>
  <c r="S24" i="30" s="1"/>
  <c r="F23" i="1"/>
  <c r="E23" i="1"/>
  <c r="Q24" i="30" s="1"/>
  <c r="D23" i="1"/>
  <c r="Z22" i="1"/>
  <c r="Y22" i="1"/>
  <c r="P22" i="1"/>
  <c r="O22" i="1"/>
  <c r="J15" i="28" s="1"/>
  <c r="N22" i="1"/>
  <c r="V22" i="1" s="1"/>
  <c r="V15" i="19" s="1"/>
  <c r="M22" i="1"/>
  <c r="I22" i="1"/>
  <c r="H15" i="28" s="1"/>
  <c r="H22" i="1"/>
  <c r="G15" i="28" s="1"/>
  <c r="G22" i="1"/>
  <c r="F15" i="28" s="1"/>
  <c r="F22" i="1"/>
  <c r="E15" i="28" s="1"/>
  <c r="E22" i="1"/>
  <c r="D15" i="28" s="1"/>
  <c r="D22" i="1"/>
  <c r="C15" i="28" s="1"/>
  <c r="Z21" i="1"/>
  <c r="Y21" i="1"/>
  <c r="P21" i="1"/>
  <c r="O21" i="1"/>
  <c r="N21" i="1"/>
  <c r="M21" i="1"/>
  <c r="I21" i="1"/>
  <c r="H21" i="1"/>
  <c r="G21" i="1"/>
  <c r="Z14" i="19" s="1"/>
  <c r="F21" i="1"/>
  <c r="E21" i="1"/>
  <c r="Q22" i="30" s="1"/>
  <c r="D21" i="1"/>
  <c r="Z20" i="1"/>
  <c r="Y20" i="1"/>
  <c r="P20" i="1"/>
  <c r="O20" i="1"/>
  <c r="N20" i="1"/>
  <c r="V20" i="1" s="1"/>
  <c r="M20" i="1"/>
  <c r="I20" i="1"/>
  <c r="H20" i="1"/>
  <c r="G20" i="1"/>
  <c r="S21" i="30" s="1"/>
  <c r="F20" i="1"/>
  <c r="E20" i="1"/>
  <c r="D20" i="1"/>
  <c r="Z19" i="1"/>
  <c r="Y19" i="1"/>
  <c r="P19" i="1"/>
  <c r="O19" i="1"/>
  <c r="N19" i="1"/>
  <c r="V19" i="1" s="1"/>
  <c r="M19" i="1"/>
  <c r="I19" i="1"/>
  <c r="H19" i="1"/>
  <c r="G19" i="1"/>
  <c r="S20" i="30" s="1"/>
  <c r="F19" i="1"/>
  <c r="E19" i="1"/>
  <c r="D19" i="1"/>
  <c r="Z18" i="1"/>
  <c r="Y18" i="1"/>
  <c r="P18" i="1"/>
  <c r="O18" i="1"/>
  <c r="N18" i="1"/>
  <c r="V18" i="1" s="1"/>
  <c r="M18" i="1"/>
  <c r="I18" i="1"/>
  <c r="H18" i="1"/>
  <c r="G18" i="1"/>
  <c r="S19" i="30" s="1"/>
  <c r="F18" i="1"/>
  <c r="E18" i="1"/>
  <c r="Q19" i="30" s="1"/>
  <c r="D18" i="1"/>
  <c r="Z17" i="1"/>
  <c r="Y17" i="1"/>
  <c r="P17" i="1"/>
  <c r="O17" i="1"/>
  <c r="J14" i="28" s="1"/>
  <c r="N17" i="1"/>
  <c r="V17" i="1" s="1"/>
  <c r="M17" i="1"/>
  <c r="I17" i="1"/>
  <c r="H14" i="28" s="1"/>
  <c r="H17" i="1"/>
  <c r="G14" i="28" s="1"/>
  <c r="G17" i="1"/>
  <c r="F14" i="28" s="1"/>
  <c r="F17" i="1"/>
  <c r="E14" i="28" s="1"/>
  <c r="E17" i="1"/>
  <c r="D14" i="28" s="1"/>
  <c r="D17" i="1"/>
  <c r="C14" i="28" s="1"/>
  <c r="Z16" i="1"/>
  <c r="Y16" i="1"/>
  <c r="P16" i="1"/>
  <c r="O16" i="1"/>
  <c r="N16" i="1"/>
  <c r="M16" i="1"/>
  <c r="I16" i="1"/>
  <c r="H16" i="1"/>
  <c r="G16" i="1"/>
  <c r="S17" i="30" s="1"/>
  <c r="F16" i="1"/>
  <c r="E16" i="1"/>
  <c r="Q17" i="30" s="1"/>
  <c r="D16" i="1"/>
  <c r="Z15" i="1"/>
  <c r="Y15" i="1"/>
  <c r="P15" i="1"/>
  <c r="O15" i="1"/>
  <c r="N15" i="1"/>
  <c r="J15" i="1" s="1"/>
  <c r="M15" i="1"/>
  <c r="I15" i="1"/>
  <c r="H15" i="1"/>
  <c r="G15" i="1"/>
  <c r="F15" i="1"/>
  <c r="E15" i="1"/>
  <c r="Q16" i="30" s="1"/>
  <c r="D15" i="1"/>
  <c r="Z14" i="1"/>
  <c r="Y14" i="1"/>
  <c r="P14" i="1"/>
  <c r="O14" i="1"/>
  <c r="N14" i="1"/>
  <c r="J14" i="1" s="1"/>
  <c r="M14" i="1"/>
  <c r="I14" i="1"/>
  <c r="H14" i="1"/>
  <c r="G14" i="1"/>
  <c r="S15" i="30" s="1"/>
  <c r="F14" i="1"/>
  <c r="E14" i="1"/>
  <c r="Q15" i="30" s="1"/>
  <c r="D14" i="1"/>
  <c r="E6" i="1"/>
  <c r="E5" i="1"/>
  <c r="E4" i="1"/>
  <c r="C7" i="28" s="1"/>
  <c r="I2" i="1"/>
  <c r="F2" i="1"/>
  <c r="K97" i="51"/>
  <c r="F97" i="51"/>
  <c r="E97" i="51"/>
  <c r="C97" i="51"/>
  <c r="K96" i="51"/>
  <c r="E96" i="51"/>
  <c r="C96" i="51"/>
  <c r="F96" i="51" s="1"/>
  <c r="K95" i="51"/>
  <c r="E95" i="51"/>
  <c r="C95" i="51"/>
  <c r="F95" i="51" s="1"/>
  <c r="K94" i="51"/>
  <c r="F94" i="51"/>
  <c r="E94" i="51"/>
  <c r="C94" i="51"/>
  <c r="K93" i="51"/>
  <c r="F93" i="51"/>
  <c r="E93" i="51"/>
  <c r="C93" i="51"/>
  <c r="K92" i="51"/>
  <c r="E92" i="51"/>
  <c r="C92" i="51"/>
  <c r="F92" i="51" s="1"/>
  <c r="K91" i="51"/>
  <c r="E91" i="51"/>
  <c r="C91" i="51"/>
  <c r="F91" i="51" s="1"/>
  <c r="K90" i="51"/>
  <c r="E90" i="51"/>
  <c r="C90" i="51"/>
  <c r="F90" i="51" s="1"/>
  <c r="K89" i="51"/>
  <c r="F89" i="51"/>
  <c r="E89" i="51"/>
  <c r="C89" i="51"/>
  <c r="K88" i="51"/>
  <c r="E88" i="51"/>
  <c r="C88" i="51"/>
  <c r="F88" i="51" s="1"/>
  <c r="K87" i="51"/>
  <c r="E87" i="51"/>
  <c r="C87" i="51"/>
  <c r="F87" i="51" s="1"/>
  <c r="K86" i="51"/>
  <c r="E86" i="51"/>
  <c r="C86" i="51"/>
  <c r="F86" i="51" s="1"/>
  <c r="K85" i="51"/>
  <c r="F85" i="51"/>
  <c r="E85" i="51"/>
  <c r="C85" i="51"/>
  <c r="K84" i="51"/>
  <c r="F84" i="51"/>
  <c r="E84" i="51"/>
  <c r="C84" i="51"/>
  <c r="K83" i="51"/>
  <c r="E83" i="51"/>
  <c r="C83" i="51"/>
  <c r="F83" i="51" s="1"/>
  <c r="K82" i="51"/>
  <c r="E82" i="51"/>
  <c r="C82" i="51"/>
  <c r="F82" i="51" s="1"/>
  <c r="K81" i="51"/>
  <c r="F81" i="51"/>
  <c r="E81" i="51"/>
  <c r="C81" i="51"/>
  <c r="K80" i="51"/>
  <c r="F80" i="51"/>
  <c r="E80" i="51"/>
  <c r="C80" i="51"/>
  <c r="K79" i="51"/>
  <c r="E79" i="51"/>
  <c r="C79" i="51"/>
  <c r="F79" i="51" s="1"/>
  <c r="K78" i="51"/>
  <c r="E78" i="51"/>
  <c r="C78" i="51"/>
  <c r="F78" i="51" s="1"/>
  <c r="K77" i="51"/>
  <c r="F77" i="51"/>
  <c r="E77" i="51"/>
  <c r="C77" i="51"/>
  <c r="K76" i="51"/>
  <c r="F76" i="51"/>
  <c r="E76" i="51"/>
  <c r="C76" i="51"/>
  <c r="K75" i="51"/>
  <c r="E75" i="51"/>
  <c r="C75" i="51"/>
  <c r="F75" i="51" s="1"/>
  <c r="K74" i="51"/>
  <c r="E74" i="51"/>
  <c r="C74" i="51"/>
  <c r="F74" i="51" s="1"/>
  <c r="K73" i="51"/>
  <c r="F73" i="51"/>
  <c r="E73" i="51"/>
  <c r="C73" i="51"/>
  <c r="K72" i="51"/>
  <c r="F72" i="51"/>
  <c r="E72" i="51"/>
  <c r="C72" i="51"/>
  <c r="K71" i="51"/>
  <c r="E71" i="51"/>
  <c r="C71" i="51"/>
  <c r="F71" i="51" s="1"/>
  <c r="K70" i="51"/>
  <c r="E70" i="51"/>
  <c r="C70" i="51"/>
  <c r="F70" i="51" s="1"/>
  <c r="K69" i="51"/>
  <c r="F69" i="51"/>
  <c r="E69" i="51"/>
  <c r="C69" i="51"/>
  <c r="K68" i="51"/>
  <c r="F68" i="51"/>
  <c r="E68" i="51"/>
  <c r="C68" i="51"/>
  <c r="K67" i="51"/>
  <c r="F67" i="51"/>
  <c r="E67" i="51"/>
  <c r="C67" i="51"/>
  <c r="K66" i="51"/>
  <c r="E66" i="51"/>
  <c r="C66" i="51"/>
  <c r="F66" i="51" s="1"/>
  <c r="K65" i="51"/>
  <c r="E65" i="51"/>
  <c r="C65" i="51"/>
  <c r="F65" i="51" s="1"/>
  <c r="K64" i="51"/>
  <c r="F64" i="51"/>
  <c r="E64" i="51"/>
  <c r="C64" i="51"/>
  <c r="K63" i="51"/>
  <c r="F63" i="51"/>
  <c r="E63" i="51"/>
  <c r="C63" i="51"/>
  <c r="K62" i="51"/>
  <c r="E62" i="51"/>
  <c r="C62" i="51"/>
  <c r="F62" i="51" s="1"/>
  <c r="K61" i="51"/>
  <c r="E61" i="51"/>
  <c r="C61" i="51"/>
  <c r="F61" i="51" s="1"/>
  <c r="K60" i="51"/>
  <c r="F60" i="51"/>
  <c r="E60" i="51"/>
  <c r="C60" i="51"/>
  <c r="K59" i="51"/>
  <c r="F59" i="51"/>
  <c r="E59" i="51"/>
  <c r="C59" i="51"/>
  <c r="K58" i="51"/>
  <c r="E58" i="51"/>
  <c r="C58" i="51"/>
  <c r="F58" i="51" s="1"/>
  <c r="K57" i="51"/>
  <c r="E57" i="51"/>
  <c r="C57" i="51"/>
  <c r="F57" i="51" s="1"/>
  <c r="K56" i="51"/>
  <c r="F56" i="51"/>
  <c r="E56" i="51"/>
  <c r="C56" i="51"/>
  <c r="K55" i="51"/>
  <c r="F55" i="51"/>
  <c r="E55" i="51"/>
  <c r="C55" i="51"/>
  <c r="K54" i="51"/>
  <c r="E54" i="51"/>
  <c r="C54" i="51"/>
  <c r="F54" i="51" s="1"/>
  <c r="K53" i="51"/>
  <c r="E53" i="51"/>
  <c r="C53" i="51"/>
  <c r="F53" i="51" s="1"/>
  <c r="K52" i="51"/>
  <c r="F52" i="51"/>
  <c r="E52" i="51"/>
  <c r="C52" i="51"/>
  <c r="K51" i="51"/>
  <c r="F51" i="51"/>
  <c r="E51" i="51"/>
  <c r="C51" i="51"/>
  <c r="K50" i="51"/>
  <c r="E50" i="51"/>
  <c r="C50" i="51"/>
  <c r="F50" i="51" s="1"/>
  <c r="K49" i="51"/>
  <c r="E49" i="51"/>
  <c r="C49" i="51"/>
  <c r="F49" i="51" s="1"/>
  <c r="K48" i="51"/>
  <c r="F48" i="51"/>
  <c r="E48" i="51"/>
  <c r="C48" i="51"/>
  <c r="K47" i="51"/>
  <c r="F47" i="51"/>
  <c r="E47" i="51"/>
  <c r="C47" i="51"/>
  <c r="K46" i="51"/>
  <c r="E46" i="51"/>
  <c r="C46" i="51"/>
  <c r="F46" i="51" s="1"/>
  <c r="K45" i="51"/>
  <c r="E45" i="51"/>
  <c r="C45" i="51"/>
  <c r="F45" i="51" s="1"/>
  <c r="K44" i="51"/>
  <c r="F44" i="51"/>
  <c r="E44" i="51"/>
  <c r="C44" i="51"/>
  <c r="K43" i="51"/>
  <c r="E43" i="51"/>
  <c r="C43" i="51"/>
  <c r="F43" i="51" s="1"/>
  <c r="K42" i="51"/>
  <c r="F42" i="51"/>
  <c r="E42" i="51"/>
  <c r="C42" i="51"/>
  <c r="K41" i="51"/>
  <c r="E41" i="51"/>
  <c r="C41" i="51"/>
  <c r="F41" i="51" s="1"/>
  <c r="K40" i="51"/>
  <c r="E40" i="51"/>
  <c r="C40" i="51"/>
  <c r="F40" i="51" s="1"/>
  <c r="K39" i="51"/>
  <c r="E39" i="51"/>
  <c r="C39" i="51"/>
  <c r="F39" i="51" s="1"/>
  <c r="K38" i="51"/>
  <c r="F38" i="51"/>
  <c r="E38" i="51"/>
  <c r="C38" i="51"/>
  <c r="K37" i="51"/>
  <c r="E37" i="51"/>
  <c r="C37" i="51"/>
  <c r="F37" i="51" s="1"/>
  <c r="K36" i="51"/>
  <c r="E36" i="51"/>
  <c r="C36" i="51"/>
  <c r="F36" i="51" s="1"/>
  <c r="K35" i="51"/>
  <c r="F35" i="51"/>
  <c r="E35" i="51"/>
  <c r="C35" i="51"/>
  <c r="K34" i="51"/>
  <c r="F34" i="51"/>
  <c r="E34" i="51"/>
  <c r="C34" i="51"/>
  <c r="K33" i="51"/>
  <c r="E33" i="51"/>
  <c r="C33" i="51"/>
  <c r="F33" i="51" s="1"/>
  <c r="K32" i="51"/>
  <c r="E32" i="51"/>
  <c r="C32" i="51"/>
  <c r="F32" i="51" s="1"/>
  <c r="K31" i="51"/>
  <c r="F31" i="51"/>
  <c r="E31" i="51"/>
  <c r="C31" i="51"/>
  <c r="K30" i="51"/>
  <c r="F30" i="51"/>
  <c r="E30" i="51"/>
  <c r="C30" i="51"/>
  <c r="K29" i="51"/>
  <c r="E29" i="51"/>
  <c r="C29" i="51"/>
  <c r="F29" i="51" s="1"/>
  <c r="K28" i="51"/>
  <c r="E28" i="51"/>
  <c r="C28" i="51"/>
  <c r="F28" i="51" s="1"/>
  <c r="K27" i="51"/>
  <c r="F27" i="51"/>
  <c r="E27" i="51"/>
  <c r="C27" i="51"/>
  <c r="K26" i="51"/>
  <c r="F26" i="51"/>
  <c r="E26" i="51"/>
  <c r="C26" i="51"/>
  <c r="K25" i="51"/>
  <c r="E25" i="51"/>
  <c r="C25" i="51"/>
  <c r="F25" i="51" s="1"/>
  <c r="K24" i="51"/>
  <c r="E24" i="51"/>
  <c r="C24" i="51"/>
  <c r="F24" i="51" s="1"/>
  <c r="K23" i="51"/>
  <c r="F23" i="51"/>
  <c r="E23" i="51"/>
  <c r="C23" i="51"/>
  <c r="K22" i="51"/>
  <c r="F22" i="51"/>
  <c r="E22" i="51"/>
  <c r="C22" i="51"/>
  <c r="K21" i="51"/>
  <c r="F21" i="51"/>
  <c r="E21" i="51"/>
  <c r="C21" i="51"/>
  <c r="K20" i="51"/>
  <c r="E20" i="51"/>
  <c r="C20" i="51"/>
  <c r="F20" i="51" s="1"/>
  <c r="K19" i="51"/>
  <c r="E19" i="51"/>
  <c r="C19" i="51"/>
  <c r="F19" i="51" s="1"/>
  <c r="K18" i="51"/>
  <c r="F18" i="51"/>
  <c r="E18" i="51"/>
  <c r="C18" i="51"/>
  <c r="K17" i="51"/>
  <c r="E17" i="51"/>
  <c r="C17" i="51"/>
  <c r="K16" i="51"/>
  <c r="E16" i="51"/>
  <c r="C16" i="51"/>
  <c r="K15" i="51"/>
  <c r="E15" i="51"/>
  <c r="C15" i="51"/>
  <c r="K14" i="51"/>
  <c r="F14" i="51"/>
  <c r="E14" i="51"/>
  <c r="C14" i="51"/>
  <c r="C5" i="51"/>
  <c r="C4" i="51"/>
  <c r="C2" i="51"/>
  <c r="C1" i="51"/>
  <c r="C94" i="43"/>
  <c r="B94" i="43"/>
  <c r="J93" i="43"/>
  <c r="C93" i="43"/>
  <c r="B93" i="43"/>
  <c r="C92" i="43"/>
  <c r="B92" i="43"/>
  <c r="BA88" i="19" s="1"/>
  <c r="C91" i="43"/>
  <c r="B91" i="43"/>
  <c r="BA87" i="19" s="1"/>
  <c r="F91" i="43" s="1"/>
  <c r="M91" i="43" s="1"/>
  <c r="C90" i="43"/>
  <c r="B90" i="43"/>
  <c r="C89" i="43"/>
  <c r="B89" i="43"/>
  <c r="C88" i="43"/>
  <c r="B88" i="43"/>
  <c r="BA84" i="19" s="1"/>
  <c r="J87" i="43"/>
  <c r="C87" i="43"/>
  <c r="B87" i="43"/>
  <c r="BA83" i="19" s="1"/>
  <c r="C86" i="43"/>
  <c r="B86" i="43"/>
  <c r="C85" i="43"/>
  <c r="B85" i="43"/>
  <c r="C84" i="43"/>
  <c r="B84" i="43"/>
  <c r="BA80" i="19" s="1"/>
  <c r="C83" i="43"/>
  <c r="B83" i="43"/>
  <c r="C82" i="43"/>
  <c r="B82" i="43"/>
  <c r="C81" i="43"/>
  <c r="B81" i="43"/>
  <c r="BA77" i="19" s="1"/>
  <c r="C80" i="43"/>
  <c r="B80" i="43"/>
  <c r="C79" i="43"/>
  <c r="B79" i="43"/>
  <c r="C78" i="43"/>
  <c r="B78" i="43"/>
  <c r="BA74" i="19" s="1"/>
  <c r="C77" i="43"/>
  <c r="B77" i="43"/>
  <c r="BA73" i="19" s="1"/>
  <c r="D77" i="43" s="1"/>
  <c r="K77" i="43" s="1"/>
  <c r="C76" i="43"/>
  <c r="B76" i="43"/>
  <c r="BA72" i="19" s="1"/>
  <c r="C75" i="43"/>
  <c r="B75" i="43"/>
  <c r="C74" i="43"/>
  <c r="B74" i="43"/>
  <c r="C73" i="43"/>
  <c r="B73" i="43"/>
  <c r="C72" i="43"/>
  <c r="B72" i="43"/>
  <c r="C71" i="43"/>
  <c r="B71" i="43"/>
  <c r="C70" i="43"/>
  <c r="B70" i="43"/>
  <c r="BA66" i="19" s="1"/>
  <c r="C69" i="43"/>
  <c r="B69" i="43"/>
  <c r="C68" i="43"/>
  <c r="B68" i="43"/>
  <c r="BA64" i="19" s="1"/>
  <c r="C67" i="43"/>
  <c r="B67" i="43"/>
  <c r="C66" i="43"/>
  <c r="B66" i="43"/>
  <c r="C65" i="43"/>
  <c r="B65" i="43"/>
  <c r="C64" i="43"/>
  <c r="B64" i="43"/>
  <c r="C63" i="43"/>
  <c r="B63" i="43"/>
  <c r="C62" i="43"/>
  <c r="B62" i="43"/>
  <c r="BA58" i="19" s="1"/>
  <c r="C61" i="43"/>
  <c r="B61" i="43"/>
  <c r="C60" i="43"/>
  <c r="B60" i="43"/>
  <c r="BA56" i="19" s="1"/>
  <c r="C59" i="43"/>
  <c r="B59" i="43"/>
  <c r="C58" i="43"/>
  <c r="B58" i="43"/>
  <c r="C57" i="43"/>
  <c r="B57" i="43"/>
  <c r="C56" i="43"/>
  <c r="B56" i="43"/>
  <c r="C55" i="43"/>
  <c r="B55" i="43"/>
  <c r="C54" i="43"/>
  <c r="B54" i="43"/>
  <c r="BA50" i="19" s="1"/>
  <c r="C53" i="43"/>
  <c r="B53" i="43"/>
  <c r="C52" i="43"/>
  <c r="B52" i="43"/>
  <c r="BA48" i="19" s="1"/>
  <c r="C51" i="43"/>
  <c r="B51" i="43"/>
  <c r="C50" i="43"/>
  <c r="B50" i="43"/>
  <c r="C49" i="43"/>
  <c r="B49" i="43"/>
  <c r="C48" i="43"/>
  <c r="B48" i="43"/>
  <c r="C47" i="43"/>
  <c r="B47" i="43"/>
  <c r="C46" i="43"/>
  <c r="B46" i="43"/>
  <c r="BA42" i="19" s="1"/>
  <c r="C45" i="43"/>
  <c r="B45" i="43"/>
  <c r="C44" i="43"/>
  <c r="B44" i="43"/>
  <c r="BA40" i="19" s="1"/>
  <c r="C43" i="43"/>
  <c r="B43" i="43"/>
  <c r="C42" i="43"/>
  <c r="B42" i="43"/>
  <c r="C41" i="43"/>
  <c r="B41" i="43"/>
  <c r="C40" i="43"/>
  <c r="B40" i="43"/>
  <c r="C39" i="43"/>
  <c r="B39" i="43"/>
  <c r="C38" i="43"/>
  <c r="B38" i="43"/>
  <c r="BA34" i="19" s="1"/>
  <c r="C37" i="43"/>
  <c r="B37" i="43"/>
  <c r="C36" i="43"/>
  <c r="B36" i="43"/>
  <c r="BA32" i="19" s="1"/>
  <c r="C35" i="43"/>
  <c r="B35" i="43"/>
  <c r="C34" i="43"/>
  <c r="B34" i="43"/>
  <c r="C33" i="43"/>
  <c r="B33" i="43"/>
  <c r="C32" i="43"/>
  <c r="B32" i="43"/>
  <c r="BA28" i="19" s="1"/>
  <c r="C31" i="43"/>
  <c r="B31" i="43"/>
  <c r="C30" i="43"/>
  <c r="B30" i="43"/>
  <c r="BA26" i="19" s="1"/>
  <c r="C29" i="43"/>
  <c r="B29" i="43"/>
  <c r="C28" i="43"/>
  <c r="B28" i="43"/>
  <c r="BA24" i="19" s="1"/>
  <c r="C27" i="43"/>
  <c r="B27" i="43"/>
  <c r="C26" i="43"/>
  <c r="B26" i="43"/>
  <c r="C25" i="43"/>
  <c r="B25" i="43"/>
  <c r="C24" i="43"/>
  <c r="B24" i="43"/>
  <c r="BA20" i="19" s="1"/>
  <c r="C23" i="43"/>
  <c r="B23" i="43"/>
  <c r="C22" i="43"/>
  <c r="B22" i="43"/>
  <c r="BA18" i="19" s="1"/>
  <c r="C21" i="43"/>
  <c r="B21" i="43"/>
  <c r="C20" i="43"/>
  <c r="B20" i="43"/>
  <c r="BA16" i="19" s="1"/>
  <c r="C19" i="43"/>
  <c r="B19" i="43"/>
  <c r="C18" i="43"/>
  <c r="B18" i="43"/>
  <c r="BA14" i="19" s="1"/>
  <c r="C17" i="43"/>
  <c r="B17" i="43"/>
  <c r="C16" i="43"/>
  <c r="B16" i="43"/>
  <c r="C15" i="43"/>
  <c r="B15" i="43"/>
  <c r="C14" i="43"/>
  <c r="B14" i="43"/>
  <c r="BA10" i="19" s="1"/>
  <c r="C13" i="43"/>
  <c r="B13" i="43"/>
  <c r="C12" i="43"/>
  <c r="B12" i="43"/>
  <c r="C11" i="43"/>
  <c r="B11" i="43"/>
  <c r="BA7" i="19" s="1"/>
  <c r="N10" i="43"/>
  <c r="M10" i="43"/>
  <c r="L10" i="43"/>
  <c r="K10" i="43"/>
  <c r="N9" i="43"/>
  <c r="K9" i="43"/>
  <c r="G9" i="43"/>
  <c r="D9" i="43"/>
  <c r="E2" i="43"/>
  <c r="M9" i="43" s="1"/>
  <c r="C2" i="43"/>
  <c r="L9" i="43" s="1"/>
  <c r="A2" i="43"/>
  <c r="AI98" i="30"/>
  <c r="AB98" i="30"/>
  <c r="R97" i="1" s="1"/>
  <c r="AA98" i="30"/>
  <c r="Q97" i="1" s="1"/>
  <c r="Y98" i="30"/>
  <c r="W98" i="30"/>
  <c r="V98" i="30"/>
  <c r="S98" i="30"/>
  <c r="O98" i="30"/>
  <c r="T97" i="1" s="1"/>
  <c r="H97" i="51" s="1"/>
  <c r="N98" i="30"/>
  <c r="J94" i="43" s="1"/>
  <c r="AI97" i="30"/>
  <c r="AB97" i="30"/>
  <c r="R96" i="1" s="1"/>
  <c r="AA97" i="30"/>
  <c r="Q96" i="1" s="1"/>
  <c r="Y97" i="30"/>
  <c r="W97" i="30"/>
  <c r="V97" i="30"/>
  <c r="N97" i="30"/>
  <c r="AI96" i="30"/>
  <c r="AB96" i="30"/>
  <c r="R95" i="1" s="1"/>
  <c r="AA96" i="30"/>
  <c r="Q95" i="1" s="1"/>
  <c r="Y96" i="30"/>
  <c r="V96" i="30"/>
  <c r="S96" i="30"/>
  <c r="N96" i="30"/>
  <c r="AI95" i="30"/>
  <c r="AB95" i="30"/>
  <c r="R94" i="1" s="1"/>
  <c r="AA95" i="30"/>
  <c r="Q94" i="1" s="1"/>
  <c r="Y95" i="30"/>
  <c r="V95" i="30"/>
  <c r="S95" i="30"/>
  <c r="N95" i="30"/>
  <c r="J91" i="43" s="1"/>
  <c r="AI94" i="30"/>
  <c r="AB94" i="30"/>
  <c r="R93" i="1" s="1"/>
  <c r="AA94" i="30"/>
  <c r="Q93" i="1" s="1"/>
  <c r="Y94" i="30"/>
  <c r="V94" i="30"/>
  <c r="N94" i="30"/>
  <c r="AI93" i="30"/>
  <c r="AB93" i="30"/>
  <c r="R92" i="1" s="1"/>
  <c r="AA93" i="30"/>
  <c r="Q92" i="1" s="1"/>
  <c r="Y93" i="30"/>
  <c r="V93" i="30"/>
  <c r="N93" i="30"/>
  <c r="AI92" i="30"/>
  <c r="AB92" i="30"/>
  <c r="R91" i="1" s="1"/>
  <c r="AA92" i="30"/>
  <c r="Q91" i="1" s="1"/>
  <c r="Y92" i="30"/>
  <c r="V92" i="30"/>
  <c r="S92" i="30"/>
  <c r="Q92" i="30"/>
  <c r="O92" i="30"/>
  <c r="T91" i="1" s="1"/>
  <c r="X84" i="19" s="1"/>
  <c r="N92" i="30"/>
  <c r="AI91" i="30"/>
  <c r="AB91" i="30"/>
  <c r="R90" i="1" s="1"/>
  <c r="AA91" i="30"/>
  <c r="Q90" i="1" s="1"/>
  <c r="Y91" i="30"/>
  <c r="W91" i="30"/>
  <c r="V91" i="30"/>
  <c r="R91" i="30"/>
  <c r="O91" i="30"/>
  <c r="T90" i="1" s="1"/>
  <c r="N91" i="30"/>
  <c r="AI90" i="30"/>
  <c r="AB90" i="30"/>
  <c r="R89" i="1" s="1"/>
  <c r="AA90" i="30"/>
  <c r="Q89" i="1" s="1"/>
  <c r="Y90" i="30"/>
  <c r="W90" i="30"/>
  <c r="V90" i="30"/>
  <c r="R90" i="30"/>
  <c r="O90" i="30"/>
  <c r="T89" i="1" s="1"/>
  <c r="N90" i="30"/>
  <c r="J86" i="43" s="1"/>
  <c r="AI89" i="30"/>
  <c r="AB89" i="30"/>
  <c r="R88" i="1" s="1"/>
  <c r="AA89" i="30"/>
  <c r="Q88" i="1" s="1"/>
  <c r="Y89" i="30"/>
  <c r="W89" i="30"/>
  <c r="V89" i="30"/>
  <c r="S89" i="30"/>
  <c r="R89" i="30"/>
  <c r="Q89" i="30"/>
  <c r="O89" i="30"/>
  <c r="T88" i="1" s="1"/>
  <c r="N89" i="30"/>
  <c r="AI88" i="30"/>
  <c r="AB88" i="30"/>
  <c r="R87" i="1" s="1"/>
  <c r="AA88" i="30"/>
  <c r="Q87" i="1" s="1"/>
  <c r="Y88" i="30"/>
  <c r="W88" i="30"/>
  <c r="V88" i="30"/>
  <c r="O88" i="30"/>
  <c r="T87" i="1" s="1"/>
  <c r="N88" i="30"/>
  <c r="AI87" i="30"/>
  <c r="AB87" i="30"/>
  <c r="R86" i="1" s="1"/>
  <c r="AA87" i="30"/>
  <c r="Q86" i="1" s="1"/>
  <c r="Y87" i="30"/>
  <c r="W87" i="30"/>
  <c r="V87" i="30"/>
  <c r="O87" i="30"/>
  <c r="T86" i="1" s="1"/>
  <c r="N87" i="30"/>
  <c r="J83" i="43" s="1"/>
  <c r="AI86" i="30"/>
  <c r="AB86" i="30"/>
  <c r="R85" i="1" s="1"/>
  <c r="AA86" i="30"/>
  <c r="Q85" i="1" s="1"/>
  <c r="Y86" i="30"/>
  <c r="W86" i="30"/>
  <c r="V86" i="30"/>
  <c r="O86" i="30"/>
  <c r="T85" i="1" s="1"/>
  <c r="N86" i="30"/>
  <c r="AI85" i="30"/>
  <c r="AB85" i="30"/>
  <c r="R84" i="1" s="1"/>
  <c r="AA85" i="30"/>
  <c r="Q84" i="1" s="1"/>
  <c r="Y85" i="30"/>
  <c r="W85" i="30"/>
  <c r="V85" i="30"/>
  <c r="Q85" i="30"/>
  <c r="O85" i="30"/>
  <c r="T84" i="1" s="1"/>
  <c r="N85" i="30"/>
  <c r="AI84" i="30"/>
  <c r="AB84" i="30"/>
  <c r="R83" i="1" s="1"/>
  <c r="AA84" i="30"/>
  <c r="Q83" i="1" s="1"/>
  <c r="Y84" i="30"/>
  <c r="W84" i="30"/>
  <c r="V84" i="30"/>
  <c r="Q84" i="30"/>
  <c r="N84" i="30"/>
  <c r="J80" i="43" s="1"/>
  <c r="AI83" i="30"/>
  <c r="AB83" i="30"/>
  <c r="R82" i="1" s="1"/>
  <c r="AA83" i="30"/>
  <c r="Q82" i="1" s="1"/>
  <c r="Y83" i="30"/>
  <c r="V83" i="30"/>
  <c r="S83" i="30"/>
  <c r="Q83" i="30"/>
  <c r="O83" i="30"/>
  <c r="T82" i="1" s="1"/>
  <c r="N83" i="30"/>
  <c r="AI82" i="30"/>
  <c r="AB82" i="30"/>
  <c r="R81" i="1" s="1"/>
  <c r="AA82" i="30"/>
  <c r="Q81" i="1" s="1"/>
  <c r="Y82" i="30"/>
  <c r="W82" i="30"/>
  <c r="V82" i="30"/>
  <c r="Q82" i="30"/>
  <c r="O82" i="30"/>
  <c r="T81" i="1" s="1"/>
  <c r="N82" i="30"/>
  <c r="AI81" i="30"/>
  <c r="AB81" i="30"/>
  <c r="R80" i="1" s="1"/>
  <c r="AA81" i="30"/>
  <c r="Q80" i="1" s="1"/>
  <c r="Y81" i="30"/>
  <c r="W81" i="30"/>
  <c r="V81" i="30"/>
  <c r="R81" i="30"/>
  <c r="O81" i="30"/>
  <c r="T80" i="1" s="1"/>
  <c r="N81" i="30"/>
  <c r="J77" i="43" s="1"/>
  <c r="AI80" i="30"/>
  <c r="AB80" i="30"/>
  <c r="R79" i="1" s="1"/>
  <c r="AA80" i="30"/>
  <c r="Q79" i="1" s="1"/>
  <c r="Y80" i="30"/>
  <c r="W80" i="30"/>
  <c r="V80" i="30"/>
  <c r="S80" i="30"/>
  <c r="N80" i="30"/>
  <c r="AI79" i="30"/>
  <c r="AB79" i="30"/>
  <c r="R78" i="1" s="1"/>
  <c r="AA79" i="30"/>
  <c r="Q78" i="1" s="1"/>
  <c r="Y79" i="30"/>
  <c r="V79" i="30"/>
  <c r="R79" i="30"/>
  <c r="Q79" i="30"/>
  <c r="O79" i="30"/>
  <c r="T78" i="1" s="1"/>
  <c r="N79" i="30"/>
  <c r="J75" i="43" s="1"/>
  <c r="AI78" i="30"/>
  <c r="AB78" i="30"/>
  <c r="R77" i="1" s="1"/>
  <c r="AA78" i="30"/>
  <c r="Q77" i="1" s="1"/>
  <c r="Y78" i="30"/>
  <c r="W78" i="30"/>
  <c r="V78" i="30"/>
  <c r="N78" i="30"/>
  <c r="AI77" i="30"/>
  <c r="AB77" i="30"/>
  <c r="R76" i="1" s="1"/>
  <c r="AA77" i="30"/>
  <c r="Q76" i="1" s="1"/>
  <c r="Y77" i="30"/>
  <c r="V77" i="30"/>
  <c r="O77" i="30"/>
  <c r="T76" i="1" s="1"/>
  <c r="H76" i="51" s="1"/>
  <c r="N77" i="30"/>
  <c r="J73" i="43" s="1"/>
  <c r="AI76" i="30"/>
  <c r="AB76" i="30"/>
  <c r="R75" i="1" s="1"/>
  <c r="AA76" i="30"/>
  <c r="Q75" i="1" s="1"/>
  <c r="Y76" i="30"/>
  <c r="W76" i="30"/>
  <c r="V76" i="30"/>
  <c r="S76" i="30"/>
  <c r="O76" i="30"/>
  <c r="T75" i="1" s="1"/>
  <c r="H75" i="51" s="1"/>
  <c r="N76" i="30"/>
  <c r="J72" i="43" s="1"/>
  <c r="AI75" i="30"/>
  <c r="AB75" i="30"/>
  <c r="R74" i="1" s="1"/>
  <c r="AA75" i="30"/>
  <c r="Q74" i="1" s="1"/>
  <c r="Y75" i="30"/>
  <c r="W75" i="30"/>
  <c r="V75" i="30"/>
  <c r="S75" i="30"/>
  <c r="N75" i="30"/>
  <c r="AI74" i="30"/>
  <c r="AB74" i="30"/>
  <c r="R73" i="1" s="1"/>
  <c r="AA74" i="30"/>
  <c r="Q73" i="1" s="1"/>
  <c r="Y74" i="30"/>
  <c r="V74" i="30"/>
  <c r="N74" i="30"/>
  <c r="AI73" i="30"/>
  <c r="AB73" i="30"/>
  <c r="R72" i="1" s="1"/>
  <c r="AA73" i="30"/>
  <c r="Q72" i="1" s="1"/>
  <c r="Y73" i="30"/>
  <c r="V73" i="30"/>
  <c r="S73" i="30"/>
  <c r="N73" i="30"/>
  <c r="AI72" i="30"/>
  <c r="AB72" i="30"/>
  <c r="R71" i="1" s="1"/>
  <c r="AA72" i="30"/>
  <c r="Q71" i="1" s="1"/>
  <c r="Y72" i="30"/>
  <c r="V72" i="30"/>
  <c r="O72" i="30"/>
  <c r="N72" i="30"/>
  <c r="AI71" i="30"/>
  <c r="AB71" i="30"/>
  <c r="R70" i="1" s="1"/>
  <c r="AA71" i="30"/>
  <c r="Q70" i="1" s="1"/>
  <c r="Y71" i="30"/>
  <c r="W71" i="30"/>
  <c r="V71" i="30"/>
  <c r="N71" i="30"/>
  <c r="AI70" i="30"/>
  <c r="AB70" i="30"/>
  <c r="R69" i="1" s="1"/>
  <c r="AA70" i="30"/>
  <c r="Q69" i="1" s="1"/>
  <c r="Y70" i="30"/>
  <c r="V70" i="30"/>
  <c r="O70" i="30"/>
  <c r="T69" i="1" s="1"/>
  <c r="H69" i="51" s="1"/>
  <c r="N70" i="30"/>
  <c r="AI69" i="30"/>
  <c r="AB69" i="30"/>
  <c r="R68" i="1" s="1"/>
  <c r="AA69" i="30"/>
  <c r="Q68" i="1" s="1"/>
  <c r="Y69" i="30"/>
  <c r="W69" i="30"/>
  <c r="V69" i="30"/>
  <c r="O69" i="30"/>
  <c r="N69" i="30"/>
  <c r="AI68" i="30"/>
  <c r="AB68" i="30"/>
  <c r="R67" i="1" s="1"/>
  <c r="AA68" i="30"/>
  <c r="Q67" i="1" s="1"/>
  <c r="Y68" i="30"/>
  <c r="W68" i="30"/>
  <c r="V68" i="30"/>
  <c r="S68" i="30"/>
  <c r="R68" i="30"/>
  <c r="O68" i="30"/>
  <c r="T67" i="1" s="1"/>
  <c r="N68" i="30"/>
  <c r="J64" i="43" s="1"/>
  <c r="AI67" i="30"/>
  <c r="AB67" i="30"/>
  <c r="R66" i="1" s="1"/>
  <c r="AA67" i="30"/>
  <c r="Q66" i="1" s="1"/>
  <c r="Y67" i="30"/>
  <c r="W67" i="30"/>
  <c r="V67" i="30"/>
  <c r="S67" i="30"/>
  <c r="Q67" i="30"/>
  <c r="O67" i="30"/>
  <c r="T66" i="1" s="1"/>
  <c r="H66" i="51" s="1"/>
  <c r="N67" i="30"/>
  <c r="AI66" i="30"/>
  <c r="AB66" i="30"/>
  <c r="R65" i="1" s="1"/>
  <c r="AA66" i="30"/>
  <c r="Q65" i="1" s="1"/>
  <c r="Y66" i="30"/>
  <c r="V66" i="30"/>
  <c r="N66" i="30"/>
  <c r="AI65" i="30"/>
  <c r="AB65" i="30"/>
  <c r="R64" i="1" s="1"/>
  <c r="AA65" i="30"/>
  <c r="Q64" i="1" s="1"/>
  <c r="Y65" i="30"/>
  <c r="V65" i="30"/>
  <c r="N65" i="30"/>
  <c r="AI64" i="30"/>
  <c r="AB64" i="30"/>
  <c r="R63" i="1" s="1"/>
  <c r="AA64" i="30"/>
  <c r="Q63" i="1" s="1"/>
  <c r="Y64" i="30"/>
  <c r="V64" i="30"/>
  <c r="S64" i="30"/>
  <c r="O64" i="30"/>
  <c r="N64" i="30"/>
  <c r="AI63" i="30"/>
  <c r="AB63" i="30"/>
  <c r="R62" i="1" s="1"/>
  <c r="AA63" i="30"/>
  <c r="Q62" i="1" s="1"/>
  <c r="Y63" i="30"/>
  <c r="W63" i="30"/>
  <c r="V63" i="30"/>
  <c r="Q63" i="30"/>
  <c r="O63" i="30"/>
  <c r="T62" i="1" s="1"/>
  <c r="N63" i="30"/>
  <c r="J59" i="43" s="1"/>
  <c r="AI62" i="30"/>
  <c r="AB62" i="30"/>
  <c r="R61" i="1" s="1"/>
  <c r="AA62" i="30"/>
  <c r="Q61" i="1" s="1"/>
  <c r="Y62" i="30"/>
  <c r="W62" i="30"/>
  <c r="V62" i="30"/>
  <c r="R62" i="30"/>
  <c r="O62" i="30"/>
  <c r="T61" i="1" s="1"/>
  <c r="H61" i="51" s="1"/>
  <c r="N62" i="30"/>
  <c r="AI61" i="30"/>
  <c r="AB61" i="30"/>
  <c r="R60" i="1" s="1"/>
  <c r="AA61" i="30"/>
  <c r="Q60" i="1" s="1"/>
  <c r="Y61" i="30"/>
  <c r="W61" i="30"/>
  <c r="V61" i="30"/>
  <c r="Q61" i="30"/>
  <c r="N61" i="30"/>
  <c r="AI60" i="30"/>
  <c r="AB60" i="30"/>
  <c r="R59" i="1" s="1"/>
  <c r="AA60" i="30"/>
  <c r="Q59" i="1" s="1"/>
  <c r="Y60" i="30"/>
  <c r="V60" i="30"/>
  <c r="N60" i="30"/>
  <c r="AI59" i="30"/>
  <c r="AB59" i="30"/>
  <c r="R58" i="1" s="1"/>
  <c r="AA59" i="30"/>
  <c r="Q58" i="1" s="1"/>
  <c r="Y59" i="30"/>
  <c r="V59" i="30"/>
  <c r="N59" i="30"/>
  <c r="AI58" i="30"/>
  <c r="AB58" i="30"/>
  <c r="R57" i="1" s="1"/>
  <c r="AA58" i="30"/>
  <c r="Q57" i="1" s="1"/>
  <c r="Y58" i="30"/>
  <c r="V58" i="30"/>
  <c r="S58" i="30"/>
  <c r="O58" i="30"/>
  <c r="N58" i="30"/>
  <c r="J54" i="43" s="1"/>
  <c r="AI57" i="30"/>
  <c r="AB57" i="30"/>
  <c r="R56" i="1" s="1"/>
  <c r="AA57" i="30"/>
  <c r="Q56" i="1" s="1"/>
  <c r="Y57" i="30"/>
  <c r="W57" i="30"/>
  <c r="V57" i="30"/>
  <c r="Q57" i="30"/>
  <c r="O57" i="30"/>
  <c r="T56" i="1" s="1"/>
  <c r="H56" i="51" s="1"/>
  <c r="N57" i="30"/>
  <c r="J53" i="43" s="1"/>
  <c r="AI56" i="30"/>
  <c r="AB56" i="30"/>
  <c r="R55" i="1" s="1"/>
  <c r="AA56" i="30"/>
  <c r="Q55" i="1" s="1"/>
  <c r="Y56" i="30"/>
  <c r="W56" i="30"/>
  <c r="V56" i="30"/>
  <c r="S56" i="30"/>
  <c r="N56" i="30"/>
  <c r="AI55" i="30"/>
  <c r="AB55" i="30"/>
  <c r="R54" i="1" s="1"/>
  <c r="AA55" i="30"/>
  <c r="Q54" i="1" s="1"/>
  <c r="Y55" i="30"/>
  <c r="V55" i="30"/>
  <c r="S55" i="30"/>
  <c r="O55" i="30"/>
  <c r="N55" i="30"/>
  <c r="AI54" i="30"/>
  <c r="AB54" i="30"/>
  <c r="R53" i="1" s="1"/>
  <c r="AA54" i="30"/>
  <c r="Q53" i="1" s="1"/>
  <c r="Y54" i="30"/>
  <c r="W54" i="30"/>
  <c r="V54" i="30"/>
  <c r="N54" i="30"/>
  <c r="AI53" i="30"/>
  <c r="AB53" i="30"/>
  <c r="R52" i="1" s="1"/>
  <c r="AA53" i="30"/>
  <c r="Q52" i="1" s="1"/>
  <c r="Y53" i="30"/>
  <c r="W53" i="30"/>
  <c r="V53" i="30"/>
  <c r="N53" i="30"/>
  <c r="AI52" i="30"/>
  <c r="AB52" i="30"/>
  <c r="R51" i="1" s="1"/>
  <c r="AA52" i="30"/>
  <c r="Q51" i="1" s="1"/>
  <c r="Y52" i="30"/>
  <c r="V52" i="30"/>
  <c r="S52" i="30"/>
  <c r="O52" i="30"/>
  <c r="N52" i="30"/>
  <c r="AI51" i="30"/>
  <c r="AB51" i="30"/>
  <c r="R50" i="1" s="1"/>
  <c r="AA51" i="30"/>
  <c r="Q50" i="1" s="1"/>
  <c r="Y51" i="30"/>
  <c r="W51" i="30"/>
  <c r="V51" i="30"/>
  <c r="S51" i="30"/>
  <c r="Q51" i="30"/>
  <c r="N51" i="30"/>
  <c r="AI50" i="30"/>
  <c r="AB50" i="30"/>
  <c r="R49" i="1" s="1"/>
  <c r="AA50" i="30"/>
  <c r="Q49" i="1" s="1"/>
  <c r="Y50" i="30"/>
  <c r="V50" i="30"/>
  <c r="N50" i="30"/>
  <c r="AI49" i="30"/>
  <c r="AB49" i="30"/>
  <c r="R48" i="1" s="1"/>
  <c r="AA49" i="30"/>
  <c r="Q48" i="1" s="1"/>
  <c r="Y49" i="30"/>
  <c r="V49" i="30"/>
  <c r="S49" i="30"/>
  <c r="N49" i="30"/>
  <c r="AI48" i="30"/>
  <c r="AB48" i="30"/>
  <c r="R47" i="1" s="1"/>
  <c r="AA48" i="30"/>
  <c r="Q47" i="1" s="1"/>
  <c r="Y48" i="30"/>
  <c r="W48" i="30"/>
  <c r="V48" i="30"/>
  <c r="S48" i="30"/>
  <c r="O48" i="30"/>
  <c r="N48" i="30"/>
  <c r="AI47" i="30"/>
  <c r="AB47" i="30"/>
  <c r="R46" i="1" s="1"/>
  <c r="AA47" i="30"/>
  <c r="Q46" i="1" s="1"/>
  <c r="Y47" i="30"/>
  <c r="W47" i="30"/>
  <c r="V47" i="30"/>
  <c r="O47" i="30"/>
  <c r="N47" i="30"/>
  <c r="AI46" i="30"/>
  <c r="AB46" i="30"/>
  <c r="R45" i="1" s="1"/>
  <c r="AA46" i="30"/>
  <c r="Q45" i="1" s="1"/>
  <c r="Y46" i="30"/>
  <c r="W46" i="30"/>
  <c r="V46" i="30"/>
  <c r="O46" i="30"/>
  <c r="N46" i="30"/>
  <c r="AI45" i="30"/>
  <c r="AB45" i="30"/>
  <c r="R44" i="1" s="1"/>
  <c r="AA45" i="30"/>
  <c r="Q44" i="1" s="1"/>
  <c r="Y45" i="30"/>
  <c r="W45" i="30"/>
  <c r="V45" i="30"/>
  <c r="Q45" i="30"/>
  <c r="O45" i="30"/>
  <c r="T44" i="1" s="1"/>
  <c r="H44" i="51" s="1"/>
  <c r="N45" i="30"/>
  <c r="J41" i="43" s="1"/>
  <c r="AI44" i="30"/>
  <c r="AB44" i="30"/>
  <c r="R43" i="1" s="1"/>
  <c r="AA44" i="30"/>
  <c r="Q43" i="1" s="1"/>
  <c r="Y44" i="30"/>
  <c r="W44" i="30"/>
  <c r="V44" i="30"/>
  <c r="R44" i="30"/>
  <c r="O44" i="30"/>
  <c r="T43" i="1" s="1"/>
  <c r="N44" i="30"/>
  <c r="J40" i="43" s="1"/>
  <c r="AI43" i="30"/>
  <c r="AB43" i="30"/>
  <c r="R42" i="1" s="1"/>
  <c r="AA43" i="30"/>
  <c r="Q42" i="1" s="1"/>
  <c r="Y43" i="30"/>
  <c r="W43" i="30"/>
  <c r="V43" i="30"/>
  <c r="S43" i="30"/>
  <c r="N43" i="30"/>
  <c r="AI42" i="30"/>
  <c r="AB42" i="30"/>
  <c r="R41" i="1" s="1"/>
  <c r="AA42" i="30"/>
  <c r="Q41" i="1" s="1"/>
  <c r="Y42" i="30"/>
  <c r="V42" i="30"/>
  <c r="N42" i="30"/>
  <c r="AI41" i="30"/>
  <c r="AB41" i="30"/>
  <c r="R40" i="1" s="1"/>
  <c r="AA41" i="30"/>
  <c r="Q40" i="1" s="1"/>
  <c r="Y41" i="30"/>
  <c r="V41" i="30"/>
  <c r="N41" i="30"/>
  <c r="AI40" i="30"/>
  <c r="AB40" i="30"/>
  <c r="R39" i="1" s="1"/>
  <c r="AA40" i="30"/>
  <c r="Q39" i="1" s="1"/>
  <c r="Y40" i="30"/>
  <c r="V40" i="30"/>
  <c r="W40" i="30" s="1"/>
  <c r="N40" i="30"/>
  <c r="AI39" i="30"/>
  <c r="AB39" i="30"/>
  <c r="R38" i="1" s="1"/>
  <c r="AA39" i="30"/>
  <c r="Q38" i="1" s="1"/>
  <c r="Y39" i="30"/>
  <c r="V39" i="30"/>
  <c r="S39" i="30"/>
  <c r="Q39" i="30"/>
  <c r="O39" i="30"/>
  <c r="T38" i="1" s="1"/>
  <c r="H38" i="51" s="1"/>
  <c r="N39" i="30"/>
  <c r="J35" i="43" s="1"/>
  <c r="AI38" i="30"/>
  <c r="AB38" i="30"/>
  <c r="R37" i="1" s="1"/>
  <c r="AA38" i="30"/>
  <c r="Q37" i="1" s="1"/>
  <c r="Y38" i="30"/>
  <c r="W38" i="30"/>
  <c r="V38" i="30"/>
  <c r="O38" i="30"/>
  <c r="T37" i="1" s="1"/>
  <c r="L18" i="28" s="1"/>
  <c r="N38" i="30"/>
  <c r="AI37" i="30"/>
  <c r="AB37" i="30"/>
  <c r="R36" i="1" s="1"/>
  <c r="AA37" i="30"/>
  <c r="Q36" i="1" s="1"/>
  <c r="Y37" i="30"/>
  <c r="W37" i="30"/>
  <c r="V37" i="30"/>
  <c r="S37" i="30"/>
  <c r="N37" i="30"/>
  <c r="AI36" i="30"/>
  <c r="AB36" i="30"/>
  <c r="R35" i="1" s="1"/>
  <c r="AA36" i="30"/>
  <c r="Q35" i="1" s="1"/>
  <c r="Y36" i="30"/>
  <c r="V36" i="30"/>
  <c r="S36" i="30"/>
  <c r="O36" i="30"/>
  <c r="T35" i="1" s="1"/>
  <c r="H35" i="51" s="1"/>
  <c r="N36" i="30"/>
  <c r="AI35" i="30"/>
  <c r="AB35" i="30"/>
  <c r="R34" i="1" s="1"/>
  <c r="AA35" i="30"/>
  <c r="Q34" i="1" s="1"/>
  <c r="Y35" i="30"/>
  <c r="V35" i="30"/>
  <c r="N35" i="30"/>
  <c r="AI34" i="30"/>
  <c r="AB34" i="30"/>
  <c r="R33" i="1" s="1"/>
  <c r="AA34" i="30"/>
  <c r="Q33" i="1" s="1"/>
  <c r="Y34" i="30"/>
  <c r="W34" i="30"/>
  <c r="V34" i="30"/>
  <c r="O34" i="30"/>
  <c r="N34" i="30"/>
  <c r="AI33" i="30"/>
  <c r="AB33" i="30"/>
  <c r="R32" i="1" s="1"/>
  <c r="AA33" i="30"/>
  <c r="Q32" i="1" s="1"/>
  <c r="Y33" i="30"/>
  <c r="V33" i="30"/>
  <c r="O33" i="30"/>
  <c r="T32" i="1" s="1"/>
  <c r="N33" i="30"/>
  <c r="J29" i="43" s="1"/>
  <c r="AI32" i="30"/>
  <c r="AB32" i="30"/>
  <c r="R31" i="1" s="1"/>
  <c r="AA32" i="30"/>
  <c r="Q31" i="1" s="1"/>
  <c r="Y32" i="30"/>
  <c r="W32" i="30"/>
  <c r="V32" i="30"/>
  <c r="Q32" i="30"/>
  <c r="N32" i="30"/>
  <c r="AI31" i="30"/>
  <c r="AB31" i="30"/>
  <c r="R30" i="1" s="1"/>
  <c r="AA31" i="30"/>
  <c r="Q30" i="1" s="1"/>
  <c r="Y31" i="30"/>
  <c r="V31" i="30"/>
  <c r="N31" i="30"/>
  <c r="AI30" i="30"/>
  <c r="AB30" i="30"/>
  <c r="R29" i="1" s="1"/>
  <c r="AA30" i="30"/>
  <c r="Q29" i="1" s="1"/>
  <c r="Y30" i="30"/>
  <c r="V30" i="30"/>
  <c r="N30" i="30"/>
  <c r="AI29" i="30"/>
  <c r="AB29" i="30"/>
  <c r="R28" i="1" s="1"/>
  <c r="AA29" i="30"/>
  <c r="Q28" i="1" s="1"/>
  <c r="Y29" i="30"/>
  <c r="V29" i="30"/>
  <c r="R29" i="30"/>
  <c r="Q29" i="30"/>
  <c r="O29" i="30"/>
  <c r="T28" i="1" s="1"/>
  <c r="H28" i="51" s="1"/>
  <c r="N29" i="30"/>
  <c r="AI28" i="30"/>
  <c r="AB28" i="30"/>
  <c r="R27" i="1" s="1"/>
  <c r="AA28" i="30"/>
  <c r="Q27" i="1" s="1"/>
  <c r="Y28" i="30"/>
  <c r="V28" i="30"/>
  <c r="N28" i="30"/>
  <c r="AI27" i="30"/>
  <c r="AB27" i="30"/>
  <c r="R26" i="1" s="1"/>
  <c r="AA27" i="30"/>
  <c r="Q26" i="1" s="1"/>
  <c r="Y27" i="30"/>
  <c r="V27" i="30"/>
  <c r="W27" i="30" s="1"/>
  <c r="S27" i="30"/>
  <c r="Q27" i="30"/>
  <c r="N27" i="30"/>
  <c r="AI26" i="30"/>
  <c r="AB26" i="30"/>
  <c r="R25" i="1" s="1"/>
  <c r="AA26" i="30"/>
  <c r="Q25" i="1" s="1"/>
  <c r="Y26" i="30"/>
  <c r="V26" i="30"/>
  <c r="N26" i="30"/>
  <c r="AI25" i="30"/>
  <c r="AB25" i="30"/>
  <c r="R24" i="1" s="1"/>
  <c r="AA25" i="30"/>
  <c r="Q24" i="1" s="1"/>
  <c r="Y25" i="30"/>
  <c r="V25" i="30"/>
  <c r="N25" i="30"/>
  <c r="AI24" i="30"/>
  <c r="AB24" i="30"/>
  <c r="R23" i="1" s="1"/>
  <c r="AA24" i="30"/>
  <c r="Q23" i="1" s="1"/>
  <c r="Y24" i="30"/>
  <c r="V24" i="30"/>
  <c r="N24" i="30"/>
  <c r="AI23" i="30"/>
  <c r="AB23" i="30"/>
  <c r="R22" i="1" s="1"/>
  <c r="AA23" i="30"/>
  <c r="Q22" i="1" s="1"/>
  <c r="Y23" i="30"/>
  <c r="V23" i="30"/>
  <c r="N23" i="30"/>
  <c r="L22" i="1" s="1"/>
  <c r="U22" i="1" s="1"/>
  <c r="I22" i="51" s="1"/>
  <c r="AI22" i="30"/>
  <c r="AB22" i="30"/>
  <c r="R21" i="1" s="1"/>
  <c r="AA22" i="30"/>
  <c r="Q21" i="1" s="1"/>
  <c r="Y22" i="30"/>
  <c r="W22" i="30"/>
  <c r="V22" i="30"/>
  <c r="O22" i="30"/>
  <c r="N22" i="30"/>
  <c r="J18" i="43" s="1"/>
  <c r="AI21" i="30"/>
  <c r="AB21" i="30"/>
  <c r="R20" i="1" s="1"/>
  <c r="AA21" i="30"/>
  <c r="Q20" i="1" s="1"/>
  <c r="Y21" i="30"/>
  <c r="W21" i="30"/>
  <c r="V21" i="30"/>
  <c r="Q21" i="30"/>
  <c r="N21" i="30"/>
  <c r="AI20" i="30"/>
  <c r="AB20" i="30"/>
  <c r="R19" i="1" s="1"/>
  <c r="AA20" i="30"/>
  <c r="Q19" i="1" s="1"/>
  <c r="Y20" i="30"/>
  <c r="V20" i="30"/>
  <c r="Q20" i="30"/>
  <c r="O20" i="30"/>
  <c r="N20" i="30"/>
  <c r="J16" i="43" s="1"/>
  <c r="AI19" i="30"/>
  <c r="AB19" i="30"/>
  <c r="R18" i="1" s="1"/>
  <c r="AA19" i="30"/>
  <c r="Q18" i="1" s="1"/>
  <c r="Y19" i="30"/>
  <c r="W19" i="30"/>
  <c r="V19" i="30"/>
  <c r="X18" i="1" s="1"/>
  <c r="O19" i="30"/>
  <c r="T18" i="1" s="1"/>
  <c r="H18" i="51" s="1"/>
  <c r="N19" i="30"/>
  <c r="AI18" i="30"/>
  <c r="AB18" i="30"/>
  <c r="R17" i="1" s="1"/>
  <c r="AA18" i="30"/>
  <c r="Q17" i="1" s="1"/>
  <c r="Y18" i="30"/>
  <c r="W18" i="30"/>
  <c r="V18" i="30"/>
  <c r="W17" i="1" s="1"/>
  <c r="R18" i="30"/>
  <c r="O18" i="30"/>
  <c r="T17" i="1" s="1"/>
  <c r="N18" i="30"/>
  <c r="L17" i="1" s="1"/>
  <c r="AI17" i="30"/>
  <c r="AB17" i="30"/>
  <c r="R16" i="1" s="1"/>
  <c r="AA17" i="30"/>
  <c r="Q16" i="1" s="1"/>
  <c r="Y17" i="30"/>
  <c r="W17" i="30"/>
  <c r="V17" i="30"/>
  <c r="N17" i="30"/>
  <c r="AI16" i="30"/>
  <c r="AB16" i="30"/>
  <c r="R15" i="1" s="1"/>
  <c r="AA16" i="30"/>
  <c r="Q15" i="1" s="1"/>
  <c r="Y16" i="30"/>
  <c r="V16" i="30"/>
  <c r="S16" i="30"/>
  <c r="N16" i="30"/>
  <c r="AI15" i="30"/>
  <c r="AB15" i="30"/>
  <c r="R14" i="1" s="1"/>
  <c r="AA15" i="30"/>
  <c r="Q14" i="1" s="1"/>
  <c r="Y15" i="30"/>
  <c r="V15" i="30"/>
  <c r="N15" i="30"/>
  <c r="D15" i="30"/>
  <c r="C14" i="1" s="1"/>
  <c r="G2" i="30"/>
  <c r="C6" i="28" s="1"/>
  <c r="AD1" i="30"/>
  <c r="G1" i="30"/>
  <c r="A138" i="55"/>
  <c r="O137" i="55"/>
  <c r="N137" i="55"/>
  <c r="AE131" i="55"/>
  <c r="AC131" i="55"/>
  <c r="Z131" i="55"/>
  <c r="X131" i="55"/>
  <c r="S131" i="55"/>
  <c r="U131" i="55" s="1"/>
  <c r="Q131" i="55"/>
  <c r="M131" i="55"/>
  <c r="I131" i="55"/>
  <c r="F131" i="55"/>
  <c r="O130" i="55"/>
  <c r="N130" i="55"/>
  <c r="AE124" i="55"/>
  <c r="AC124" i="55"/>
  <c r="Z124" i="55"/>
  <c r="X124" i="55"/>
  <c r="U124" i="55"/>
  <c r="S124" i="55"/>
  <c r="Q124" i="55"/>
  <c r="M124" i="55"/>
  <c r="I124" i="55"/>
  <c r="F124" i="55"/>
  <c r="O123" i="55"/>
  <c r="N123" i="55"/>
  <c r="AE117" i="55"/>
  <c r="AC117" i="55"/>
  <c r="Z117" i="55"/>
  <c r="X117" i="55"/>
  <c r="U117" i="55"/>
  <c r="S117" i="55"/>
  <c r="Q117" i="55"/>
  <c r="M117" i="55"/>
  <c r="I117" i="55"/>
  <c r="F117" i="55"/>
  <c r="O116" i="55"/>
  <c r="N116" i="55"/>
  <c r="AE110" i="55"/>
  <c r="AC110" i="55"/>
  <c r="Z110" i="55"/>
  <c r="X110" i="55"/>
  <c r="U110" i="55"/>
  <c r="S110" i="55"/>
  <c r="Q110" i="55"/>
  <c r="M110" i="55"/>
  <c r="I110" i="55"/>
  <c r="F110" i="55"/>
  <c r="O109" i="55"/>
  <c r="N109" i="55"/>
  <c r="AE103" i="55"/>
  <c r="AC103" i="55"/>
  <c r="Z103" i="55"/>
  <c r="X103" i="55"/>
  <c r="U103" i="55"/>
  <c r="S103" i="55"/>
  <c r="Q103" i="55"/>
  <c r="M103" i="55"/>
  <c r="I103" i="55"/>
  <c r="F103" i="55"/>
  <c r="O102" i="55"/>
  <c r="N102" i="55"/>
  <c r="AE96" i="55"/>
  <c r="AC96" i="55"/>
  <c r="Z96" i="55"/>
  <c r="X96" i="55"/>
  <c r="U96" i="55"/>
  <c r="S96" i="55"/>
  <c r="Q96" i="55"/>
  <c r="M96" i="55"/>
  <c r="I96" i="55"/>
  <c r="F96" i="55"/>
  <c r="O95" i="55"/>
  <c r="N95" i="55"/>
  <c r="AE89" i="55"/>
  <c r="AC89" i="55"/>
  <c r="Z89" i="55"/>
  <c r="X89" i="55"/>
  <c r="U89" i="55"/>
  <c r="S89" i="55"/>
  <c r="Q89" i="55"/>
  <c r="M89" i="55"/>
  <c r="I89" i="55"/>
  <c r="F89" i="55"/>
  <c r="O88" i="55"/>
  <c r="N88" i="55"/>
  <c r="AE82" i="55"/>
  <c r="AC82" i="55"/>
  <c r="Z82" i="55"/>
  <c r="X82" i="55"/>
  <c r="U82" i="55"/>
  <c r="S82" i="55"/>
  <c r="Q82" i="55"/>
  <c r="M82" i="55"/>
  <c r="I82" i="55"/>
  <c r="F82" i="55"/>
  <c r="O81" i="55"/>
  <c r="N81" i="55"/>
  <c r="AE75" i="55"/>
  <c r="AC75" i="55"/>
  <c r="Z75" i="55"/>
  <c r="X75" i="55"/>
  <c r="U75" i="55"/>
  <c r="S75" i="55"/>
  <c r="Q75" i="55"/>
  <c r="M75" i="55"/>
  <c r="I75" i="55"/>
  <c r="F75" i="55"/>
  <c r="O74" i="55"/>
  <c r="N74" i="55"/>
  <c r="A74" i="55"/>
  <c r="AE68" i="55"/>
  <c r="AC68" i="55"/>
  <c r="Z68" i="55"/>
  <c r="X68" i="55"/>
  <c r="U68" i="55"/>
  <c r="S68" i="55"/>
  <c r="Q68" i="55"/>
  <c r="M68" i="55"/>
  <c r="I68" i="55"/>
  <c r="F68" i="55"/>
  <c r="O67" i="55"/>
  <c r="N67" i="55"/>
  <c r="AE61" i="55"/>
  <c r="AC61" i="55"/>
  <c r="Z61" i="55"/>
  <c r="X61" i="55"/>
  <c r="U61" i="55"/>
  <c r="S61" i="55"/>
  <c r="Q61" i="55"/>
  <c r="M61" i="55"/>
  <c r="I61" i="55"/>
  <c r="F61" i="55"/>
  <c r="O60" i="55"/>
  <c r="N60" i="55"/>
  <c r="AE54" i="55"/>
  <c r="AC54" i="55"/>
  <c r="Z54" i="55"/>
  <c r="X54" i="55"/>
  <c r="S54" i="55"/>
  <c r="U54" i="55" s="1"/>
  <c r="Q54" i="55"/>
  <c r="M54" i="55"/>
  <c r="I54" i="55"/>
  <c r="F54" i="55"/>
  <c r="O53" i="55"/>
  <c r="N53" i="55"/>
  <c r="A52" i="55"/>
  <c r="AE47" i="55"/>
  <c r="AC47" i="55"/>
  <c r="Z47" i="55"/>
  <c r="X47" i="55"/>
  <c r="S47" i="55"/>
  <c r="Q47" i="55"/>
  <c r="M47" i="55"/>
  <c r="I47" i="55"/>
  <c r="F47" i="55"/>
  <c r="O46" i="55"/>
  <c r="N46" i="55"/>
  <c r="AE40" i="55"/>
  <c r="AC40" i="55"/>
  <c r="Z40" i="55"/>
  <c r="X40" i="55"/>
  <c r="S40" i="55"/>
  <c r="Q40" i="55"/>
  <c r="M40" i="55"/>
  <c r="I40" i="55"/>
  <c r="F40" i="55"/>
  <c r="O39" i="55"/>
  <c r="N39" i="55"/>
  <c r="AE33" i="55"/>
  <c r="AC33" i="55"/>
  <c r="Z33" i="55"/>
  <c r="X33" i="55"/>
  <c r="S33" i="55"/>
  <c r="Q33" i="55"/>
  <c r="M33" i="55"/>
  <c r="I33" i="55"/>
  <c r="F33" i="55"/>
  <c r="O32" i="55"/>
  <c r="N32" i="55"/>
  <c r="A32" i="55"/>
  <c r="AE26" i="55"/>
  <c r="AC26" i="55"/>
  <c r="Z26" i="55"/>
  <c r="X26" i="55"/>
  <c r="S26" i="55"/>
  <c r="U26" i="55" s="1"/>
  <c r="Q26" i="55"/>
  <c r="M26" i="55"/>
  <c r="I26" i="55"/>
  <c r="F26" i="55"/>
  <c r="O25" i="55"/>
  <c r="N25" i="55"/>
  <c r="AE19" i="55"/>
  <c r="AC19" i="55"/>
  <c r="Z19" i="55"/>
  <c r="X19" i="55"/>
  <c r="S19" i="55"/>
  <c r="U19" i="55" s="1"/>
  <c r="Q19" i="55"/>
  <c r="M19" i="55"/>
  <c r="I19" i="55"/>
  <c r="F19" i="55"/>
  <c r="O18" i="55"/>
  <c r="N18" i="55"/>
  <c r="A16" i="55"/>
  <c r="K15" i="55"/>
  <c r="K16" i="55" s="1"/>
  <c r="K17" i="55" s="1"/>
  <c r="K18" i="55" s="1"/>
  <c r="K19" i="55" s="1"/>
  <c r="K20" i="55" s="1"/>
  <c r="K21" i="55" s="1"/>
  <c r="K22" i="55" s="1"/>
  <c r="K23" i="55" s="1"/>
  <c r="K24" i="55" s="1"/>
  <c r="K25" i="55" s="1"/>
  <c r="K26" i="55" s="1"/>
  <c r="K14" i="55"/>
  <c r="G13" i="55"/>
  <c r="G14" i="55" s="1"/>
  <c r="G15" i="55" s="1"/>
  <c r="G16" i="55" s="1"/>
  <c r="G17" i="55" s="1"/>
  <c r="G18" i="55" s="1"/>
  <c r="G19" i="55" s="1"/>
  <c r="G20" i="55" s="1"/>
  <c r="G21" i="55" s="1"/>
  <c r="G22" i="55" s="1"/>
  <c r="G23" i="55" s="1"/>
  <c r="G24" i="55" s="1"/>
  <c r="G25" i="55" s="1"/>
  <c r="G26" i="55" s="1"/>
  <c r="G27" i="55" s="1"/>
  <c r="G28" i="55" s="1"/>
  <c r="G29" i="55" s="1"/>
  <c r="G30" i="55" s="1"/>
  <c r="G31" i="55" s="1"/>
  <c r="G32" i="55" s="1"/>
  <c r="G33" i="55" s="1"/>
  <c r="G34" i="55" s="1"/>
  <c r="G35" i="55" s="1"/>
  <c r="G36" i="55" s="1"/>
  <c r="G37" i="55" s="1"/>
  <c r="G38" i="55" s="1"/>
  <c r="G39" i="55" s="1"/>
  <c r="G40" i="55" s="1"/>
  <c r="G41" i="55" s="1"/>
  <c r="G42" i="55" s="1"/>
  <c r="G43" i="55" s="1"/>
  <c r="G44" i="55" s="1"/>
  <c r="G45" i="55" s="1"/>
  <c r="G46" i="55" s="1"/>
  <c r="G47" i="55" s="1"/>
  <c r="G48" i="55" s="1"/>
  <c r="G49" i="55" s="1"/>
  <c r="G50" i="55" s="1"/>
  <c r="G51" i="55" s="1"/>
  <c r="G52" i="55" s="1"/>
  <c r="G53" i="55" s="1"/>
  <c r="G54" i="55" s="1"/>
  <c r="G55" i="55" s="1"/>
  <c r="G56" i="55" s="1"/>
  <c r="G57" i="55" s="1"/>
  <c r="G58" i="55" s="1"/>
  <c r="G59" i="55" s="1"/>
  <c r="G60" i="55" s="1"/>
  <c r="G61" i="55" s="1"/>
  <c r="G62" i="55" s="1"/>
  <c r="G63" i="55" s="1"/>
  <c r="G64" i="55" s="1"/>
  <c r="G65" i="55" s="1"/>
  <c r="G66" i="55" s="1"/>
  <c r="G67" i="55" s="1"/>
  <c r="G68" i="55" s="1"/>
  <c r="G69" i="55" s="1"/>
  <c r="G70" i="55" s="1"/>
  <c r="G71" i="55" s="1"/>
  <c r="G72" i="55" s="1"/>
  <c r="G73" i="55" s="1"/>
  <c r="G74" i="55" s="1"/>
  <c r="G75" i="55" s="1"/>
  <c r="G76" i="55" s="1"/>
  <c r="G77" i="55" s="1"/>
  <c r="G78" i="55" s="1"/>
  <c r="G79" i="55" s="1"/>
  <c r="G80" i="55" s="1"/>
  <c r="G81" i="55" s="1"/>
  <c r="G82" i="55" s="1"/>
  <c r="G83" i="55" s="1"/>
  <c r="G84" i="55" s="1"/>
  <c r="G85" i="55" s="1"/>
  <c r="G86" i="55" s="1"/>
  <c r="G87" i="55" s="1"/>
  <c r="G88" i="55" s="1"/>
  <c r="G89" i="55" s="1"/>
  <c r="G90" i="55" s="1"/>
  <c r="G91" i="55" s="1"/>
  <c r="G92" i="55" s="1"/>
  <c r="G93" i="55" s="1"/>
  <c r="G94" i="55" s="1"/>
  <c r="G95" i="55" s="1"/>
  <c r="G96" i="55" s="1"/>
  <c r="G97" i="55" s="1"/>
  <c r="G98" i="55" s="1"/>
  <c r="G99" i="55" s="1"/>
  <c r="G100" i="55" s="1"/>
  <c r="G101" i="55" s="1"/>
  <c r="G102" i="55" s="1"/>
  <c r="G103" i="55" s="1"/>
  <c r="G104" i="55" s="1"/>
  <c r="G105" i="55" s="1"/>
  <c r="G106" i="55" s="1"/>
  <c r="G107" i="55" s="1"/>
  <c r="G108" i="55" s="1"/>
  <c r="G109" i="55" s="1"/>
  <c r="G110" i="55" s="1"/>
  <c r="G111" i="55" s="1"/>
  <c r="G112" i="55" s="1"/>
  <c r="G113" i="55" s="1"/>
  <c r="G114" i="55" s="1"/>
  <c r="G115" i="55" s="1"/>
  <c r="G116" i="55" s="1"/>
  <c r="G117" i="55" s="1"/>
  <c r="G118" i="55" s="1"/>
  <c r="G119" i="55" s="1"/>
  <c r="G120" i="55" s="1"/>
  <c r="G121" i="55" s="1"/>
  <c r="G122" i="55" s="1"/>
  <c r="G123" i="55" s="1"/>
  <c r="G124" i="55" s="1"/>
  <c r="G125" i="55" s="1"/>
  <c r="G126" i="55" s="1"/>
  <c r="G127" i="55" s="1"/>
  <c r="G128" i="55" s="1"/>
  <c r="G129" i="55" s="1"/>
  <c r="G130" i="55" s="1"/>
  <c r="G131" i="55" s="1"/>
  <c r="G132" i="55" s="1"/>
  <c r="G133" i="55" s="1"/>
  <c r="G134" i="55" s="1"/>
  <c r="G135" i="55" s="1"/>
  <c r="G136" i="55" s="1"/>
  <c r="G137" i="55" s="1"/>
  <c r="AE12" i="55"/>
  <c r="AC12" i="55"/>
  <c r="Z12" i="55"/>
  <c r="Y12" i="55"/>
  <c r="X12" i="55"/>
  <c r="S12" i="55"/>
  <c r="U12" i="55" s="1"/>
  <c r="Q12" i="55"/>
  <c r="M12" i="55"/>
  <c r="K12" i="55"/>
  <c r="K13" i="55" s="1"/>
  <c r="I12" i="55"/>
  <c r="G12" i="55"/>
  <c r="F12" i="55"/>
  <c r="A12" i="55"/>
  <c r="B12" i="55" s="1"/>
  <c r="G4" i="55"/>
  <c r="G2" i="55"/>
  <c r="A127" i="55" s="1"/>
  <c r="F46" i="56"/>
  <c r="D46" i="56"/>
  <c r="B25" i="56"/>
  <c r="E16" i="56"/>
  <c r="B15" i="56"/>
  <c r="G3" i="30" s="1"/>
  <c r="J81" i="37"/>
  <c r="J80" i="37"/>
  <c r="B43" i="37"/>
  <c r="B32" i="37"/>
  <c r="C27" i="37"/>
  <c r="B27" i="37"/>
  <c r="C26" i="37"/>
  <c r="B26" i="37"/>
  <c r="Y2" i="37"/>
  <c r="X2" i="37"/>
  <c r="R2" i="37"/>
  <c r="S2" i="37" s="1"/>
  <c r="J2" i="37"/>
  <c r="K2" i="37" s="1"/>
  <c r="G2" i="37"/>
  <c r="H2" i="37" s="1"/>
  <c r="B18" i="49" s="1"/>
  <c r="C18" i="49" s="1"/>
  <c r="D2" i="37"/>
  <c r="E2" i="37" s="1"/>
  <c r="B17" i="49" s="1"/>
  <c r="C17" i="49" s="1"/>
  <c r="B2" i="37"/>
  <c r="C2" i="37" s="1"/>
  <c r="AB87" i="49"/>
  <c r="AA87" i="49"/>
  <c r="Z87" i="49"/>
  <c r="Y87" i="49"/>
  <c r="X87" i="49"/>
  <c r="W87" i="49"/>
  <c r="V87" i="49"/>
  <c r="U87" i="49"/>
  <c r="T87" i="49"/>
  <c r="S87" i="49"/>
  <c r="R87" i="49"/>
  <c r="Q87" i="49"/>
  <c r="AB86" i="49"/>
  <c r="AA86" i="49"/>
  <c r="Z86" i="49"/>
  <c r="Y86" i="49"/>
  <c r="X86" i="49"/>
  <c r="W86" i="49"/>
  <c r="V86" i="49"/>
  <c r="U86" i="49"/>
  <c r="T86" i="49"/>
  <c r="S86" i="49"/>
  <c r="R86" i="49"/>
  <c r="Q86" i="49"/>
  <c r="AB85" i="49"/>
  <c r="AA85" i="49"/>
  <c r="Z85" i="49"/>
  <c r="Y85" i="49"/>
  <c r="X85" i="49"/>
  <c r="W85" i="49"/>
  <c r="V85" i="49"/>
  <c r="U85" i="49"/>
  <c r="T85" i="49"/>
  <c r="S85" i="49"/>
  <c r="R85" i="49"/>
  <c r="Q85" i="49"/>
  <c r="AB84" i="49"/>
  <c r="AA84" i="49"/>
  <c r="Z84" i="49"/>
  <c r="Y84" i="49"/>
  <c r="X84" i="49"/>
  <c r="W84" i="49"/>
  <c r="V84" i="49"/>
  <c r="U84" i="49"/>
  <c r="T84" i="49"/>
  <c r="S84" i="49"/>
  <c r="R84" i="49"/>
  <c r="Q84" i="49"/>
  <c r="AB83" i="49"/>
  <c r="AA83" i="49"/>
  <c r="Z83" i="49"/>
  <c r="Y83" i="49"/>
  <c r="X83" i="49"/>
  <c r="W83" i="49"/>
  <c r="V83" i="49"/>
  <c r="U83" i="49"/>
  <c r="T83" i="49"/>
  <c r="S83" i="49"/>
  <c r="R83" i="49"/>
  <c r="Q83" i="49"/>
  <c r="AB82" i="49"/>
  <c r="AA82" i="49"/>
  <c r="Z82" i="49"/>
  <c r="Y82" i="49"/>
  <c r="X82" i="49"/>
  <c r="W82" i="49"/>
  <c r="V82" i="49"/>
  <c r="U82" i="49"/>
  <c r="T82" i="49"/>
  <c r="S82" i="49"/>
  <c r="R82" i="49"/>
  <c r="Q82" i="49"/>
  <c r="AB81" i="49"/>
  <c r="AA81" i="49"/>
  <c r="Z81" i="49"/>
  <c r="Y81" i="49"/>
  <c r="X81" i="49"/>
  <c r="W81" i="49"/>
  <c r="V81" i="49"/>
  <c r="U81" i="49"/>
  <c r="T81" i="49"/>
  <c r="S81" i="49"/>
  <c r="R81" i="49"/>
  <c r="Q81" i="49"/>
  <c r="AB80" i="49"/>
  <c r="AA80" i="49"/>
  <c r="Z80" i="49"/>
  <c r="Y80" i="49"/>
  <c r="X80" i="49"/>
  <c r="W80" i="49"/>
  <c r="V80" i="49"/>
  <c r="U80" i="49"/>
  <c r="T80" i="49"/>
  <c r="S80" i="49"/>
  <c r="R80" i="49"/>
  <c r="Q80" i="49"/>
  <c r="AB79" i="49"/>
  <c r="AA79" i="49"/>
  <c r="Z79" i="49"/>
  <c r="Y79" i="49"/>
  <c r="X79" i="49"/>
  <c r="W79" i="49"/>
  <c r="V79" i="49"/>
  <c r="U79" i="49"/>
  <c r="T79" i="49"/>
  <c r="S79" i="49"/>
  <c r="R79" i="49"/>
  <c r="Q79" i="49"/>
  <c r="AB78" i="49"/>
  <c r="AA78" i="49"/>
  <c r="Z78" i="49"/>
  <c r="Y78" i="49"/>
  <c r="X78" i="49"/>
  <c r="W78" i="49"/>
  <c r="V78" i="49"/>
  <c r="U78" i="49"/>
  <c r="T78" i="49"/>
  <c r="S78" i="49"/>
  <c r="R78" i="49"/>
  <c r="Q78" i="49"/>
  <c r="AB77" i="49"/>
  <c r="AA77" i="49"/>
  <c r="Z77" i="49"/>
  <c r="Y77" i="49"/>
  <c r="X77" i="49"/>
  <c r="W77" i="49"/>
  <c r="V77" i="49"/>
  <c r="U77" i="49"/>
  <c r="T77" i="49"/>
  <c r="S77" i="49"/>
  <c r="R77" i="49"/>
  <c r="Q77" i="49"/>
  <c r="AB76" i="49"/>
  <c r="AA76" i="49"/>
  <c r="Z76" i="49"/>
  <c r="Y76" i="49"/>
  <c r="X76" i="49"/>
  <c r="W76" i="49"/>
  <c r="V76" i="49"/>
  <c r="U76" i="49"/>
  <c r="T76" i="49"/>
  <c r="S76" i="49"/>
  <c r="R76" i="49"/>
  <c r="Q76" i="49"/>
  <c r="AB75" i="49"/>
  <c r="AA75" i="49"/>
  <c r="Z75" i="49"/>
  <c r="Y75" i="49"/>
  <c r="X75" i="49"/>
  <c r="W75" i="49"/>
  <c r="V75" i="49"/>
  <c r="U75" i="49"/>
  <c r="T75" i="49"/>
  <c r="S75" i="49"/>
  <c r="R75" i="49"/>
  <c r="Q75" i="49"/>
  <c r="AB74" i="49"/>
  <c r="AA74" i="49"/>
  <c r="Z74" i="49"/>
  <c r="Y74" i="49"/>
  <c r="X74" i="49"/>
  <c r="W74" i="49"/>
  <c r="V74" i="49"/>
  <c r="U74" i="49"/>
  <c r="T74" i="49"/>
  <c r="S74" i="49"/>
  <c r="R74" i="49"/>
  <c r="Q74" i="49"/>
  <c r="AB73" i="49"/>
  <c r="AA73" i="49"/>
  <c r="Z73" i="49"/>
  <c r="Y73" i="49"/>
  <c r="X73" i="49"/>
  <c r="W73" i="49"/>
  <c r="V73" i="49"/>
  <c r="U73" i="49"/>
  <c r="T73" i="49"/>
  <c r="S73" i="49"/>
  <c r="R73" i="49"/>
  <c r="Q73" i="49"/>
  <c r="AB72" i="49"/>
  <c r="AA72" i="49"/>
  <c r="Z72" i="49"/>
  <c r="Y72" i="49"/>
  <c r="X72" i="49"/>
  <c r="W72" i="49"/>
  <c r="V72" i="49"/>
  <c r="U72" i="49"/>
  <c r="T72" i="49"/>
  <c r="S72" i="49"/>
  <c r="R72" i="49"/>
  <c r="Q72" i="49"/>
  <c r="AB71" i="49"/>
  <c r="AA71" i="49"/>
  <c r="Z71" i="49"/>
  <c r="Y71" i="49"/>
  <c r="X71" i="49"/>
  <c r="W71" i="49"/>
  <c r="V71" i="49"/>
  <c r="U71" i="49"/>
  <c r="T71" i="49"/>
  <c r="S71" i="49"/>
  <c r="R71" i="49"/>
  <c r="Q71" i="49"/>
  <c r="AB70" i="49"/>
  <c r="AA70" i="49"/>
  <c r="Z70" i="49"/>
  <c r="Y70" i="49"/>
  <c r="X70" i="49"/>
  <c r="W70" i="49"/>
  <c r="V70" i="49"/>
  <c r="U70" i="49"/>
  <c r="T70" i="49"/>
  <c r="S70" i="49"/>
  <c r="R70" i="49"/>
  <c r="Q70" i="49"/>
  <c r="AB69" i="49"/>
  <c r="AA69" i="49"/>
  <c r="Z69" i="49"/>
  <c r="Y69" i="49"/>
  <c r="X69" i="49"/>
  <c r="W69" i="49"/>
  <c r="V69" i="49"/>
  <c r="U69" i="49"/>
  <c r="T69" i="49"/>
  <c r="S69" i="49"/>
  <c r="R69" i="49"/>
  <c r="Q69" i="49"/>
  <c r="AB68" i="49"/>
  <c r="AA68" i="49"/>
  <c r="Z68" i="49"/>
  <c r="Y68" i="49"/>
  <c r="X68" i="49"/>
  <c r="W68" i="49"/>
  <c r="V68" i="49"/>
  <c r="U68" i="49"/>
  <c r="T68" i="49"/>
  <c r="S68" i="49"/>
  <c r="R68" i="49"/>
  <c r="Q68" i="49"/>
  <c r="AB67" i="49"/>
  <c r="AA67" i="49"/>
  <c r="Z67" i="49"/>
  <c r="Y67" i="49"/>
  <c r="X67" i="49"/>
  <c r="W67" i="49"/>
  <c r="V67" i="49"/>
  <c r="U67" i="49"/>
  <c r="T67" i="49"/>
  <c r="S67" i="49"/>
  <c r="R67" i="49"/>
  <c r="Q67" i="49"/>
  <c r="AB66" i="49"/>
  <c r="AA66" i="49"/>
  <c r="Z66" i="49"/>
  <c r="Y66" i="49"/>
  <c r="X66" i="49"/>
  <c r="W66" i="49"/>
  <c r="V66" i="49"/>
  <c r="U66" i="49"/>
  <c r="T66" i="49"/>
  <c r="S66" i="49"/>
  <c r="R66" i="49"/>
  <c r="Q66" i="49"/>
  <c r="AB65" i="49"/>
  <c r="AA65" i="49"/>
  <c r="Z65" i="49"/>
  <c r="Y65" i="49"/>
  <c r="X65" i="49"/>
  <c r="W65" i="49"/>
  <c r="V65" i="49"/>
  <c r="U65" i="49"/>
  <c r="T65" i="49"/>
  <c r="S65" i="49"/>
  <c r="R65" i="49"/>
  <c r="Q65" i="49"/>
  <c r="AB64" i="49"/>
  <c r="AA64" i="49"/>
  <c r="Z64" i="49"/>
  <c r="Y64" i="49"/>
  <c r="X64" i="49"/>
  <c r="W64" i="49"/>
  <c r="V64" i="49"/>
  <c r="U64" i="49"/>
  <c r="T64" i="49"/>
  <c r="S64" i="49"/>
  <c r="R64" i="49"/>
  <c r="Q64" i="49"/>
  <c r="AB63" i="49"/>
  <c r="AA63" i="49"/>
  <c r="Z63" i="49"/>
  <c r="Y63" i="49"/>
  <c r="X63" i="49"/>
  <c r="W63" i="49"/>
  <c r="V63" i="49"/>
  <c r="U63" i="49"/>
  <c r="T63" i="49"/>
  <c r="S63" i="49"/>
  <c r="R63" i="49"/>
  <c r="Q63" i="49"/>
  <c r="AB62" i="49"/>
  <c r="AA62" i="49"/>
  <c r="Z62" i="49"/>
  <c r="Y62" i="49"/>
  <c r="X62" i="49"/>
  <c r="W62" i="49"/>
  <c r="V62" i="49"/>
  <c r="U62" i="49"/>
  <c r="T62" i="49"/>
  <c r="S62" i="49"/>
  <c r="R62" i="49"/>
  <c r="Q62" i="49"/>
  <c r="AB61" i="49"/>
  <c r="AA61" i="49"/>
  <c r="Z61" i="49"/>
  <c r="Y61" i="49"/>
  <c r="X61" i="49"/>
  <c r="W61" i="49"/>
  <c r="V61" i="49"/>
  <c r="U61" i="49"/>
  <c r="T61" i="49"/>
  <c r="S61" i="49"/>
  <c r="R61" i="49"/>
  <c r="Q61" i="49"/>
  <c r="AB60" i="49"/>
  <c r="AA60" i="49"/>
  <c r="Z60" i="49"/>
  <c r="Y60" i="49"/>
  <c r="X60" i="49"/>
  <c r="W60" i="49"/>
  <c r="V60" i="49"/>
  <c r="U60" i="49"/>
  <c r="T60" i="49"/>
  <c r="S60" i="49"/>
  <c r="R60" i="49"/>
  <c r="Q60" i="49"/>
  <c r="AB59" i="49"/>
  <c r="AA59" i="49"/>
  <c r="Z59" i="49"/>
  <c r="Y59" i="49"/>
  <c r="X59" i="49"/>
  <c r="W59" i="49"/>
  <c r="V59" i="49"/>
  <c r="U59" i="49"/>
  <c r="T59" i="49"/>
  <c r="S59" i="49"/>
  <c r="R59" i="49"/>
  <c r="Q59" i="49"/>
  <c r="AB58" i="49"/>
  <c r="AA58" i="49"/>
  <c r="Z58" i="49"/>
  <c r="Y58" i="49"/>
  <c r="X58" i="49"/>
  <c r="W58" i="49"/>
  <c r="V58" i="49"/>
  <c r="U58" i="49"/>
  <c r="T58" i="49"/>
  <c r="S58" i="49"/>
  <c r="R58" i="49"/>
  <c r="Q58" i="49"/>
  <c r="AB57" i="49"/>
  <c r="AA57" i="49"/>
  <c r="Z57" i="49"/>
  <c r="Y57" i="49"/>
  <c r="X57" i="49"/>
  <c r="W57" i="49"/>
  <c r="V57" i="49"/>
  <c r="U57" i="49"/>
  <c r="T57" i="49"/>
  <c r="S57" i="49"/>
  <c r="R57" i="49"/>
  <c r="Q57" i="49"/>
  <c r="AB56" i="49"/>
  <c r="AA56" i="49"/>
  <c r="Z56" i="49"/>
  <c r="Y56" i="49"/>
  <c r="X56" i="49"/>
  <c r="W56" i="49"/>
  <c r="V56" i="49"/>
  <c r="U56" i="49"/>
  <c r="T56" i="49"/>
  <c r="S56" i="49"/>
  <c r="R56" i="49"/>
  <c r="Q56" i="49"/>
  <c r="AB55" i="49"/>
  <c r="AA55" i="49"/>
  <c r="Z55" i="49"/>
  <c r="Y55" i="49"/>
  <c r="X55" i="49"/>
  <c r="W55" i="49"/>
  <c r="V55" i="49"/>
  <c r="U55" i="49"/>
  <c r="T55" i="49"/>
  <c r="S55" i="49"/>
  <c r="R55" i="49"/>
  <c r="Q55" i="49"/>
  <c r="AB54" i="49"/>
  <c r="AA54" i="49"/>
  <c r="Z54" i="49"/>
  <c r="Y54" i="49"/>
  <c r="X54" i="49"/>
  <c r="W54" i="49"/>
  <c r="V54" i="49"/>
  <c r="U54" i="49"/>
  <c r="T54" i="49"/>
  <c r="S54" i="49"/>
  <c r="R54" i="49"/>
  <c r="Q54" i="49"/>
  <c r="AB53" i="49"/>
  <c r="AA53" i="49"/>
  <c r="Z53" i="49"/>
  <c r="Y53" i="49"/>
  <c r="X53" i="49"/>
  <c r="W53" i="49"/>
  <c r="V53" i="49"/>
  <c r="U53" i="49"/>
  <c r="T53" i="49"/>
  <c r="S53" i="49"/>
  <c r="R53" i="49"/>
  <c r="Q53" i="49"/>
  <c r="AB52" i="49"/>
  <c r="AA52" i="49"/>
  <c r="Z52" i="49"/>
  <c r="Y52" i="49"/>
  <c r="X52" i="49"/>
  <c r="W52" i="49"/>
  <c r="V52" i="49"/>
  <c r="U52" i="49"/>
  <c r="T52" i="49"/>
  <c r="S52" i="49"/>
  <c r="R52" i="49"/>
  <c r="Q52" i="49"/>
  <c r="AB51" i="49"/>
  <c r="AA51" i="49"/>
  <c r="Z51" i="49"/>
  <c r="Y51" i="49"/>
  <c r="X51" i="49"/>
  <c r="W51" i="49"/>
  <c r="V51" i="49"/>
  <c r="U51" i="49"/>
  <c r="T51" i="49"/>
  <c r="S51" i="49"/>
  <c r="R51" i="49"/>
  <c r="Q51" i="49"/>
  <c r="AB50" i="49"/>
  <c r="AA50" i="49"/>
  <c r="Z50" i="49"/>
  <c r="Y50" i="49"/>
  <c r="X50" i="49"/>
  <c r="W50" i="49"/>
  <c r="V50" i="49"/>
  <c r="U50" i="49"/>
  <c r="T50" i="49"/>
  <c r="S50" i="49"/>
  <c r="R50" i="49"/>
  <c r="Q50" i="49"/>
  <c r="AB49" i="49"/>
  <c r="AA49" i="49"/>
  <c r="Z49" i="49"/>
  <c r="Y49" i="49"/>
  <c r="X49" i="49"/>
  <c r="W49" i="49"/>
  <c r="V49" i="49"/>
  <c r="U49" i="49"/>
  <c r="T49" i="49"/>
  <c r="S49" i="49"/>
  <c r="R49" i="49"/>
  <c r="Q49" i="49"/>
  <c r="AB48" i="49"/>
  <c r="AA48" i="49"/>
  <c r="Z48" i="49"/>
  <c r="Y48" i="49"/>
  <c r="X48" i="49"/>
  <c r="W48" i="49"/>
  <c r="V48" i="49"/>
  <c r="U48" i="49"/>
  <c r="T48" i="49"/>
  <c r="S48" i="49"/>
  <c r="R48" i="49"/>
  <c r="Q48" i="49"/>
  <c r="AB47" i="49"/>
  <c r="AA47" i="49"/>
  <c r="Z47" i="49"/>
  <c r="Y47" i="49"/>
  <c r="X47" i="49"/>
  <c r="W47" i="49"/>
  <c r="V47" i="49"/>
  <c r="U47" i="49"/>
  <c r="T47" i="49"/>
  <c r="S47" i="49"/>
  <c r="R47" i="49"/>
  <c r="Q47" i="49"/>
  <c r="AB46" i="49"/>
  <c r="AA46" i="49"/>
  <c r="Z46" i="49"/>
  <c r="Y46" i="49"/>
  <c r="X46" i="49"/>
  <c r="W46" i="49"/>
  <c r="V46" i="49"/>
  <c r="U46" i="49"/>
  <c r="T46" i="49"/>
  <c r="S46" i="49"/>
  <c r="R46" i="49"/>
  <c r="Q46" i="49"/>
  <c r="AB45" i="49"/>
  <c r="AA45" i="49"/>
  <c r="Z45" i="49"/>
  <c r="Y45" i="49"/>
  <c r="X45" i="49"/>
  <c r="W45" i="49"/>
  <c r="V45" i="49"/>
  <c r="U45" i="49"/>
  <c r="T45" i="49"/>
  <c r="S45" i="49"/>
  <c r="R45" i="49"/>
  <c r="Q45" i="49"/>
  <c r="AB44" i="49"/>
  <c r="AA44" i="49"/>
  <c r="Z44" i="49"/>
  <c r="Y44" i="49"/>
  <c r="X44" i="49"/>
  <c r="W44" i="49"/>
  <c r="V44" i="49"/>
  <c r="U44" i="49"/>
  <c r="T44" i="49"/>
  <c r="S44" i="49"/>
  <c r="R44" i="49"/>
  <c r="Q44" i="49"/>
  <c r="AB43" i="49"/>
  <c r="AA43" i="49"/>
  <c r="Z43" i="49"/>
  <c r="Y43" i="49"/>
  <c r="X43" i="49"/>
  <c r="W43" i="49"/>
  <c r="V43" i="49"/>
  <c r="U43" i="49"/>
  <c r="T43" i="49"/>
  <c r="S43" i="49"/>
  <c r="R43" i="49"/>
  <c r="Q43" i="49"/>
  <c r="AB42" i="49"/>
  <c r="AA42" i="49"/>
  <c r="Z42" i="49"/>
  <c r="Y42" i="49"/>
  <c r="X42" i="49"/>
  <c r="W42" i="49"/>
  <c r="V42" i="49"/>
  <c r="U42" i="49"/>
  <c r="T42" i="49"/>
  <c r="S42" i="49"/>
  <c r="R42" i="49"/>
  <c r="Q42" i="49"/>
  <c r="AB41" i="49"/>
  <c r="AA41" i="49"/>
  <c r="Z41" i="49"/>
  <c r="Y41" i="49"/>
  <c r="X41" i="49"/>
  <c r="W41" i="49"/>
  <c r="V41" i="49"/>
  <c r="U41" i="49"/>
  <c r="T41" i="49"/>
  <c r="S41" i="49"/>
  <c r="R41" i="49"/>
  <c r="Q41" i="49"/>
  <c r="AB40" i="49"/>
  <c r="AA40" i="49"/>
  <c r="Z40" i="49"/>
  <c r="Y40" i="49"/>
  <c r="X40" i="49"/>
  <c r="W40" i="49"/>
  <c r="V40" i="49"/>
  <c r="U40" i="49"/>
  <c r="T40" i="49"/>
  <c r="S40" i="49"/>
  <c r="R40" i="49"/>
  <c r="Q40" i="49"/>
  <c r="AB39" i="49"/>
  <c r="AA39" i="49"/>
  <c r="Z39" i="49"/>
  <c r="Y39" i="49"/>
  <c r="X39" i="49"/>
  <c r="W39" i="49"/>
  <c r="V39" i="49"/>
  <c r="U39" i="49"/>
  <c r="T39" i="49"/>
  <c r="S39" i="49"/>
  <c r="R39" i="49"/>
  <c r="Q39" i="49"/>
  <c r="AB38" i="49"/>
  <c r="AA38" i="49"/>
  <c r="Z38" i="49"/>
  <c r="Y38" i="49"/>
  <c r="X38" i="49"/>
  <c r="W38" i="49"/>
  <c r="V38" i="49"/>
  <c r="U38" i="49"/>
  <c r="T38" i="49"/>
  <c r="S38" i="49"/>
  <c r="R38" i="49"/>
  <c r="Q38" i="49"/>
  <c r="AB37" i="49"/>
  <c r="AA37" i="49"/>
  <c r="Z37" i="49"/>
  <c r="Y37" i="49"/>
  <c r="X37" i="49"/>
  <c r="W37" i="49"/>
  <c r="V37" i="49"/>
  <c r="U37" i="49"/>
  <c r="T37" i="49"/>
  <c r="S37" i="49"/>
  <c r="R37" i="49"/>
  <c r="Q37" i="49"/>
  <c r="AB36" i="49"/>
  <c r="AA36" i="49"/>
  <c r="Z36" i="49"/>
  <c r="Y36" i="49"/>
  <c r="X36" i="49"/>
  <c r="W36" i="49"/>
  <c r="V36" i="49"/>
  <c r="U36" i="49"/>
  <c r="T36" i="49"/>
  <c r="S36" i="49"/>
  <c r="R36" i="49"/>
  <c r="Q36" i="49"/>
  <c r="AB35" i="49"/>
  <c r="AA35" i="49"/>
  <c r="Z35" i="49"/>
  <c r="Y35" i="49"/>
  <c r="X35" i="49"/>
  <c r="W35" i="49"/>
  <c r="V35" i="49"/>
  <c r="U35" i="49"/>
  <c r="T35" i="49"/>
  <c r="S35" i="49"/>
  <c r="R35" i="49"/>
  <c r="Q35" i="49"/>
  <c r="AB34" i="49"/>
  <c r="AA34" i="49"/>
  <c r="Z34" i="49"/>
  <c r="Y34" i="49"/>
  <c r="X34" i="49"/>
  <c r="W34" i="49"/>
  <c r="V34" i="49"/>
  <c r="U34" i="49"/>
  <c r="T34" i="49"/>
  <c r="S34" i="49"/>
  <c r="R34" i="49"/>
  <c r="Q34" i="49"/>
  <c r="AB33" i="49"/>
  <c r="AA33" i="49"/>
  <c r="Z33" i="49"/>
  <c r="Y33" i="49"/>
  <c r="X33" i="49"/>
  <c r="W33" i="49"/>
  <c r="V33" i="49"/>
  <c r="U33" i="49"/>
  <c r="T33" i="49"/>
  <c r="S33" i="49"/>
  <c r="R33" i="49"/>
  <c r="Q33" i="49"/>
  <c r="AB32" i="49"/>
  <c r="AA32" i="49"/>
  <c r="Z32" i="49"/>
  <c r="Y32" i="49"/>
  <c r="X32" i="49"/>
  <c r="W32" i="49"/>
  <c r="V32" i="49"/>
  <c r="U32" i="49"/>
  <c r="T32" i="49"/>
  <c r="S32" i="49"/>
  <c r="R32" i="49"/>
  <c r="Q32" i="49"/>
  <c r="AB31" i="49"/>
  <c r="AA31" i="49"/>
  <c r="Z31" i="49"/>
  <c r="Y31" i="49"/>
  <c r="X31" i="49"/>
  <c r="W31" i="49"/>
  <c r="V31" i="49"/>
  <c r="U31" i="49"/>
  <c r="T31" i="49"/>
  <c r="S31" i="49"/>
  <c r="R31" i="49"/>
  <c r="Q31" i="49"/>
  <c r="AB30" i="49"/>
  <c r="AA30" i="49"/>
  <c r="Z30" i="49"/>
  <c r="Y30" i="49"/>
  <c r="X30" i="49"/>
  <c r="W30" i="49"/>
  <c r="V30" i="49"/>
  <c r="U30" i="49"/>
  <c r="T30" i="49"/>
  <c r="S30" i="49"/>
  <c r="R30" i="49"/>
  <c r="Q30" i="49"/>
  <c r="AB29" i="49"/>
  <c r="AA29" i="49"/>
  <c r="Z29" i="49"/>
  <c r="Y29" i="49"/>
  <c r="X29" i="49"/>
  <c r="W29" i="49"/>
  <c r="V29" i="49"/>
  <c r="U29" i="49"/>
  <c r="T29" i="49"/>
  <c r="S29" i="49"/>
  <c r="R29" i="49"/>
  <c r="Q29" i="49"/>
  <c r="AB28" i="49"/>
  <c r="AA28" i="49"/>
  <c r="Z28" i="49"/>
  <c r="Y28" i="49"/>
  <c r="X28" i="49"/>
  <c r="W28" i="49"/>
  <c r="V28" i="49"/>
  <c r="U28" i="49"/>
  <c r="T28" i="49"/>
  <c r="S28" i="49"/>
  <c r="R28" i="49"/>
  <c r="Q28" i="49"/>
  <c r="AB27" i="49"/>
  <c r="AA27" i="49"/>
  <c r="Z27" i="49"/>
  <c r="Y27" i="49"/>
  <c r="X27" i="49"/>
  <c r="W27" i="49"/>
  <c r="V27" i="49"/>
  <c r="U27" i="49"/>
  <c r="T27" i="49"/>
  <c r="S27" i="49"/>
  <c r="R27" i="49"/>
  <c r="Q27" i="49"/>
  <c r="AB26" i="49"/>
  <c r="AA26" i="49"/>
  <c r="Z26" i="49"/>
  <c r="Y26" i="49"/>
  <c r="X26" i="49"/>
  <c r="W26" i="49"/>
  <c r="V26" i="49"/>
  <c r="U26" i="49"/>
  <c r="T26" i="49"/>
  <c r="S26" i="49"/>
  <c r="R26" i="49"/>
  <c r="Q26" i="49"/>
  <c r="AB25" i="49"/>
  <c r="AA25" i="49"/>
  <c r="Z25" i="49"/>
  <c r="Y25" i="49"/>
  <c r="X25" i="49"/>
  <c r="W25" i="49"/>
  <c r="V25" i="49"/>
  <c r="U25" i="49"/>
  <c r="T25" i="49"/>
  <c r="S25" i="49"/>
  <c r="R25" i="49"/>
  <c r="Q25" i="49"/>
  <c r="B25" i="49"/>
  <c r="C25" i="49" s="1"/>
  <c r="AB24" i="49"/>
  <c r="AA24" i="49"/>
  <c r="Z24" i="49"/>
  <c r="Y24" i="49"/>
  <c r="X24" i="49"/>
  <c r="W24" i="49"/>
  <c r="V24" i="49"/>
  <c r="U24" i="49"/>
  <c r="T24" i="49"/>
  <c r="S24" i="49"/>
  <c r="R24" i="49"/>
  <c r="Q24" i="49"/>
  <c r="B24" i="49"/>
  <c r="AB23" i="49"/>
  <c r="AA23" i="49"/>
  <c r="Z23" i="49"/>
  <c r="Y23" i="49"/>
  <c r="X23" i="49"/>
  <c r="W23" i="49"/>
  <c r="V23" i="49"/>
  <c r="U23" i="49"/>
  <c r="T23" i="49"/>
  <c r="S23" i="49"/>
  <c r="R23" i="49"/>
  <c r="Q23" i="49"/>
  <c r="AB22" i="49"/>
  <c r="AA22" i="49"/>
  <c r="Z22" i="49"/>
  <c r="Y22" i="49"/>
  <c r="X22" i="49"/>
  <c r="W22" i="49"/>
  <c r="V22" i="49"/>
  <c r="U22" i="49"/>
  <c r="T22" i="49"/>
  <c r="S22" i="49"/>
  <c r="R22" i="49"/>
  <c r="Q22" i="49"/>
  <c r="AB21" i="49"/>
  <c r="AA21" i="49"/>
  <c r="Z21" i="49"/>
  <c r="Y21" i="49"/>
  <c r="X21" i="49"/>
  <c r="W21" i="49"/>
  <c r="V21" i="49"/>
  <c r="U21" i="49"/>
  <c r="T21" i="49"/>
  <c r="S21" i="49"/>
  <c r="R21" i="49"/>
  <c r="Q21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C19" i="49"/>
  <c r="B2" i="49" s="1"/>
  <c r="B19" i="49"/>
  <c r="AB18" i="49"/>
  <c r="AA18" i="49"/>
  <c r="Z18" i="49"/>
  <c r="Y18" i="49"/>
  <c r="X18" i="49"/>
  <c r="W18" i="49"/>
  <c r="V18" i="49"/>
  <c r="U18" i="49"/>
  <c r="T18" i="49"/>
  <c r="S18" i="49"/>
  <c r="R18" i="49"/>
  <c r="Q18" i="49"/>
  <c r="AB17" i="49"/>
  <c r="AA17" i="49"/>
  <c r="Z17" i="49"/>
  <c r="Y17" i="49"/>
  <c r="X17" i="49"/>
  <c r="W17" i="49"/>
  <c r="V17" i="49"/>
  <c r="U17" i="49"/>
  <c r="T17" i="49"/>
  <c r="S17" i="49"/>
  <c r="R17" i="49"/>
  <c r="Q17" i="49"/>
  <c r="AB16" i="49"/>
  <c r="AA16" i="49"/>
  <c r="Z16" i="49"/>
  <c r="Y16" i="49"/>
  <c r="X16" i="49"/>
  <c r="W16" i="49"/>
  <c r="V16" i="49"/>
  <c r="U16" i="49"/>
  <c r="T16" i="49"/>
  <c r="S16" i="49"/>
  <c r="R16" i="49"/>
  <c r="Q16" i="49"/>
  <c r="AB15" i="49"/>
  <c r="AA15" i="49"/>
  <c r="Z15" i="49"/>
  <c r="Y15" i="49"/>
  <c r="X15" i="49"/>
  <c r="W15" i="49"/>
  <c r="V15" i="49"/>
  <c r="U15" i="49"/>
  <c r="T15" i="49"/>
  <c r="S15" i="49"/>
  <c r="R15" i="49"/>
  <c r="Q15" i="49"/>
  <c r="AB14" i="49"/>
  <c r="AA14" i="49"/>
  <c r="Z14" i="49"/>
  <c r="Y14" i="49"/>
  <c r="X14" i="49"/>
  <c r="W14" i="49"/>
  <c r="V14" i="49"/>
  <c r="U14" i="49"/>
  <c r="T14" i="49"/>
  <c r="S14" i="49"/>
  <c r="R14" i="49"/>
  <c r="Q14" i="49"/>
  <c r="AB13" i="49"/>
  <c r="AA13" i="49"/>
  <c r="Z13" i="49"/>
  <c r="Y13" i="49"/>
  <c r="X13" i="49"/>
  <c r="W13" i="49"/>
  <c r="V13" i="49"/>
  <c r="U13" i="49"/>
  <c r="T13" i="49"/>
  <c r="S13" i="49"/>
  <c r="R13" i="49"/>
  <c r="Q13" i="49"/>
  <c r="AB12" i="49"/>
  <c r="AA12" i="49"/>
  <c r="Z12" i="49"/>
  <c r="Y12" i="49"/>
  <c r="X12" i="49"/>
  <c r="W12" i="49"/>
  <c r="V12" i="49"/>
  <c r="U12" i="49"/>
  <c r="T12" i="49"/>
  <c r="S12" i="49"/>
  <c r="R12" i="49"/>
  <c r="Q12" i="49"/>
  <c r="AB11" i="49"/>
  <c r="AA11" i="49"/>
  <c r="Z11" i="49"/>
  <c r="Y11" i="49"/>
  <c r="X11" i="49"/>
  <c r="W11" i="49"/>
  <c r="V11" i="49"/>
  <c r="U11" i="49"/>
  <c r="T11" i="49"/>
  <c r="S11" i="49"/>
  <c r="R11" i="49"/>
  <c r="Q11" i="49"/>
  <c r="AB10" i="49"/>
  <c r="AA10" i="49"/>
  <c r="Z10" i="49"/>
  <c r="Y10" i="49"/>
  <c r="X10" i="49"/>
  <c r="W10" i="49"/>
  <c r="V10" i="49"/>
  <c r="U10" i="49"/>
  <c r="T10" i="49"/>
  <c r="S10" i="49"/>
  <c r="R10" i="49"/>
  <c r="Q10" i="49"/>
  <c r="B10" i="49"/>
  <c r="AB9" i="49"/>
  <c r="AA9" i="49"/>
  <c r="Z9" i="49"/>
  <c r="Y9" i="49"/>
  <c r="X9" i="49"/>
  <c r="W9" i="49"/>
  <c r="V9" i="49"/>
  <c r="U9" i="49"/>
  <c r="T9" i="49"/>
  <c r="S9" i="49"/>
  <c r="R9" i="49"/>
  <c r="Q9" i="49"/>
  <c r="AB8" i="49"/>
  <c r="AA8" i="49"/>
  <c r="Z8" i="49"/>
  <c r="Y8" i="49"/>
  <c r="X8" i="49"/>
  <c r="W8" i="49"/>
  <c r="V8" i="49"/>
  <c r="U8" i="49"/>
  <c r="T8" i="49"/>
  <c r="S8" i="49"/>
  <c r="R8" i="49"/>
  <c r="Q8" i="49"/>
  <c r="B8" i="49"/>
  <c r="AB7" i="49"/>
  <c r="AA7" i="49"/>
  <c r="Z7" i="49"/>
  <c r="Y7" i="49"/>
  <c r="X7" i="49"/>
  <c r="W7" i="49"/>
  <c r="V7" i="49"/>
  <c r="U7" i="49"/>
  <c r="T7" i="49"/>
  <c r="S7" i="49"/>
  <c r="R7" i="49"/>
  <c r="Q7" i="49"/>
  <c r="B7" i="49"/>
  <c r="AB6" i="49"/>
  <c r="AA6" i="49"/>
  <c r="Z6" i="49"/>
  <c r="Y6" i="49"/>
  <c r="X6" i="49"/>
  <c r="W6" i="49"/>
  <c r="V6" i="49"/>
  <c r="U6" i="49"/>
  <c r="T6" i="49"/>
  <c r="S6" i="49"/>
  <c r="R6" i="49"/>
  <c r="Q6" i="49"/>
  <c r="B6" i="49"/>
  <c r="AB5" i="49"/>
  <c r="AA5" i="49"/>
  <c r="Z5" i="49"/>
  <c r="Y5" i="49"/>
  <c r="X5" i="49"/>
  <c r="W5" i="49"/>
  <c r="V5" i="49"/>
  <c r="U5" i="49"/>
  <c r="T5" i="49"/>
  <c r="S5" i="49"/>
  <c r="R5" i="49"/>
  <c r="Q5" i="49"/>
  <c r="E5" i="49"/>
  <c r="B5" i="49"/>
  <c r="B12" i="49" s="1"/>
  <c r="AB4" i="49"/>
  <c r="AA4" i="49"/>
  <c r="Z4" i="49"/>
  <c r="Y4" i="49"/>
  <c r="X4" i="49"/>
  <c r="W4" i="49"/>
  <c r="V4" i="49"/>
  <c r="U4" i="49"/>
  <c r="T4" i="49"/>
  <c r="S4" i="49"/>
  <c r="R4" i="49"/>
  <c r="Q4" i="49"/>
  <c r="O4" i="49"/>
  <c r="N4" i="49"/>
  <c r="M4" i="49"/>
  <c r="K4" i="49"/>
  <c r="B3" i="49"/>
  <c r="Q2" i="49"/>
  <c r="E2" i="4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V131" i="19"/>
  <c r="H131" i="19"/>
  <c r="V130" i="19"/>
  <c r="H130" i="19"/>
  <c r="V129" i="19"/>
  <c r="H129" i="19"/>
  <c r="V128" i="19"/>
  <c r="H128" i="19"/>
  <c r="V127" i="19"/>
  <c r="H127" i="19"/>
  <c r="V126" i="19"/>
  <c r="H126" i="19"/>
  <c r="V125" i="19"/>
  <c r="H125" i="19"/>
  <c r="H124" i="19"/>
  <c r="H123" i="19"/>
  <c r="H122" i="19"/>
  <c r="H121" i="19"/>
  <c r="W120" i="19"/>
  <c r="H120" i="19"/>
  <c r="W119" i="19"/>
  <c r="H119" i="19"/>
  <c r="W118" i="19"/>
  <c r="Q116" i="19"/>
  <c r="K113" i="19"/>
  <c r="K112" i="19"/>
  <c r="K111" i="19"/>
  <c r="K110" i="19"/>
  <c r="K109" i="19"/>
  <c r="K108" i="19"/>
  <c r="K107" i="19"/>
  <c r="K106" i="19"/>
  <c r="K105" i="19"/>
  <c r="K104" i="19"/>
  <c r="K103" i="19"/>
  <c r="K102" i="19"/>
  <c r="K101" i="19"/>
  <c r="K100" i="19"/>
  <c r="K99" i="19"/>
  <c r="O98" i="19"/>
  <c r="O99" i="19" s="1"/>
  <c r="M98" i="19"/>
  <c r="M99" i="19" s="1"/>
  <c r="K98" i="19"/>
  <c r="O97" i="19"/>
  <c r="M5" i="49" s="1"/>
  <c r="M97" i="19"/>
  <c r="K97" i="19"/>
  <c r="E97" i="19"/>
  <c r="F97" i="19" s="1"/>
  <c r="J5" i="49" s="1"/>
  <c r="D97" i="19"/>
  <c r="I5" i="49" s="1"/>
  <c r="Q96" i="19"/>
  <c r="R96" i="19" s="1"/>
  <c r="N96" i="19"/>
  <c r="K96" i="19"/>
  <c r="G96" i="19"/>
  <c r="E96" i="19"/>
  <c r="F96" i="19" s="1"/>
  <c r="J4" i="49" s="1"/>
  <c r="D96" i="19"/>
  <c r="I4" i="49" s="1"/>
  <c r="Z90" i="19"/>
  <c r="Y90" i="19"/>
  <c r="Q90" i="19"/>
  <c r="P90" i="19"/>
  <c r="O90" i="19"/>
  <c r="M90" i="19"/>
  <c r="K90" i="19"/>
  <c r="J90" i="19"/>
  <c r="I90" i="19"/>
  <c r="H90" i="19"/>
  <c r="G90" i="19"/>
  <c r="AM90" i="19" s="1"/>
  <c r="AN90" i="19" s="1"/>
  <c r="AO90" i="19" s="1"/>
  <c r="AP90" i="19" s="1"/>
  <c r="AQ90" i="19" s="1"/>
  <c r="AR90" i="19" s="1"/>
  <c r="AS90" i="19" s="1"/>
  <c r="F90" i="19"/>
  <c r="E90" i="19"/>
  <c r="D90" i="19"/>
  <c r="A90" i="19"/>
  <c r="BA89" i="19"/>
  <c r="Z89" i="19"/>
  <c r="Y89" i="19"/>
  <c r="V89" i="19"/>
  <c r="Q89" i="19"/>
  <c r="P89" i="19"/>
  <c r="O89" i="19"/>
  <c r="M89" i="19"/>
  <c r="K89" i="19"/>
  <c r="J89" i="19"/>
  <c r="I89" i="19"/>
  <c r="H89" i="19"/>
  <c r="G89" i="19"/>
  <c r="F89" i="19"/>
  <c r="E89" i="19"/>
  <c r="AT89" i="19" s="1"/>
  <c r="D89" i="19"/>
  <c r="A89" i="19"/>
  <c r="Z88" i="19"/>
  <c r="Y88" i="19"/>
  <c r="Q88" i="19"/>
  <c r="P88" i="19"/>
  <c r="O88" i="19"/>
  <c r="M88" i="19"/>
  <c r="K88" i="19"/>
  <c r="J88" i="19"/>
  <c r="I88" i="19"/>
  <c r="H88" i="19"/>
  <c r="G88" i="19"/>
  <c r="AM88" i="19" s="1"/>
  <c r="AN88" i="19" s="1"/>
  <c r="AO88" i="19" s="1"/>
  <c r="AP88" i="19" s="1"/>
  <c r="AQ88" i="19" s="1"/>
  <c r="AR88" i="19" s="1"/>
  <c r="AS88" i="19" s="1"/>
  <c r="F88" i="19"/>
  <c r="E88" i="19"/>
  <c r="AF88" i="19" s="1"/>
  <c r="AG88" i="19" s="1"/>
  <c r="AH88" i="19" s="1"/>
  <c r="AI88" i="19" s="1"/>
  <c r="AJ88" i="19" s="1"/>
  <c r="AK88" i="19" s="1"/>
  <c r="AL88" i="19" s="1"/>
  <c r="D88" i="19"/>
  <c r="A88" i="19"/>
  <c r="Z87" i="19"/>
  <c r="Y87" i="19"/>
  <c r="Q87" i="19"/>
  <c r="P87" i="19"/>
  <c r="O87" i="19"/>
  <c r="M87" i="19"/>
  <c r="K87" i="19"/>
  <c r="J87" i="19"/>
  <c r="I87" i="19"/>
  <c r="H87" i="19"/>
  <c r="G87" i="19"/>
  <c r="AM87" i="19" s="1"/>
  <c r="AN87" i="19" s="1"/>
  <c r="AO87" i="19" s="1"/>
  <c r="AP87" i="19" s="1"/>
  <c r="AQ87" i="19" s="1"/>
  <c r="AR87" i="19" s="1"/>
  <c r="AS87" i="19" s="1"/>
  <c r="F87" i="19"/>
  <c r="E87" i="19"/>
  <c r="AT87" i="19" s="1"/>
  <c r="D87" i="19"/>
  <c r="A87" i="19"/>
  <c r="Y86" i="19"/>
  <c r="Q86" i="19"/>
  <c r="P86" i="19"/>
  <c r="O86" i="19"/>
  <c r="M86" i="19"/>
  <c r="K86" i="19"/>
  <c r="J86" i="19"/>
  <c r="I86" i="19"/>
  <c r="H86" i="19"/>
  <c r="G86" i="19"/>
  <c r="F86" i="19"/>
  <c r="E86" i="19"/>
  <c r="AT86" i="19" s="1"/>
  <c r="D86" i="19"/>
  <c r="A86" i="19"/>
  <c r="Z85" i="19"/>
  <c r="Y85" i="19"/>
  <c r="Q85" i="19"/>
  <c r="P85" i="19"/>
  <c r="O85" i="19"/>
  <c r="M85" i="19"/>
  <c r="K85" i="19"/>
  <c r="J85" i="19"/>
  <c r="I85" i="19"/>
  <c r="H85" i="19" s="1"/>
  <c r="G85" i="19"/>
  <c r="F85" i="19"/>
  <c r="E85" i="19"/>
  <c r="D85" i="19"/>
  <c r="A85" i="19"/>
  <c r="Z84" i="19"/>
  <c r="Y84" i="19"/>
  <c r="Q84" i="19"/>
  <c r="P84" i="19"/>
  <c r="O84" i="19"/>
  <c r="M84" i="19"/>
  <c r="K84" i="19"/>
  <c r="J84" i="19"/>
  <c r="I84" i="19"/>
  <c r="H84" i="19" s="1"/>
  <c r="G84" i="19"/>
  <c r="AM84" i="19" s="1"/>
  <c r="AN84" i="19" s="1"/>
  <c r="AO84" i="19" s="1"/>
  <c r="AP84" i="19" s="1"/>
  <c r="AQ84" i="19" s="1"/>
  <c r="AR84" i="19" s="1"/>
  <c r="AS84" i="19" s="1"/>
  <c r="F84" i="19"/>
  <c r="E84" i="19"/>
  <c r="AT84" i="19" s="1"/>
  <c r="D84" i="19"/>
  <c r="A84" i="19"/>
  <c r="Y83" i="19"/>
  <c r="Q83" i="19"/>
  <c r="P83" i="19"/>
  <c r="O83" i="19"/>
  <c r="M83" i="19"/>
  <c r="K83" i="19"/>
  <c r="J83" i="19"/>
  <c r="I83" i="19"/>
  <c r="H83" i="19" s="1"/>
  <c r="G83" i="19"/>
  <c r="AM83" i="19" s="1"/>
  <c r="AN83" i="19" s="1"/>
  <c r="AO83" i="19" s="1"/>
  <c r="AP83" i="19" s="1"/>
  <c r="AQ83" i="19" s="1"/>
  <c r="AR83" i="19" s="1"/>
  <c r="AS83" i="19" s="1"/>
  <c r="F83" i="19"/>
  <c r="E83" i="19"/>
  <c r="D83" i="19"/>
  <c r="A83" i="19"/>
  <c r="Y82" i="19"/>
  <c r="V82" i="19"/>
  <c r="Q82" i="19"/>
  <c r="P82" i="19"/>
  <c r="O82" i="19"/>
  <c r="M82" i="19"/>
  <c r="K82" i="19"/>
  <c r="J82" i="19"/>
  <c r="I82" i="19"/>
  <c r="H82" i="19"/>
  <c r="G82" i="19"/>
  <c r="AM82" i="19" s="1"/>
  <c r="AN82" i="19" s="1"/>
  <c r="AO82" i="19" s="1"/>
  <c r="AP82" i="19" s="1"/>
  <c r="AQ82" i="19" s="1"/>
  <c r="AR82" i="19" s="1"/>
  <c r="AS82" i="19" s="1"/>
  <c r="F82" i="19"/>
  <c r="E82" i="19"/>
  <c r="D82" i="19"/>
  <c r="A82" i="19"/>
  <c r="BA81" i="19"/>
  <c r="Z81" i="19"/>
  <c r="Y81" i="19"/>
  <c r="Q81" i="19"/>
  <c r="P81" i="19"/>
  <c r="O81" i="19"/>
  <c r="M81" i="19"/>
  <c r="K81" i="19"/>
  <c r="J81" i="19"/>
  <c r="I81" i="19"/>
  <c r="H81" i="19"/>
  <c r="G81" i="19"/>
  <c r="AM81" i="19" s="1"/>
  <c r="AN81" i="19" s="1"/>
  <c r="AO81" i="19" s="1"/>
  <c r="AP81" i="19" s="1"/>
  <c r="AQ81" i="19" s="1"/>
  <c r="AR81" i="19" s="1"/>
  <c r="AS81" i="19" s="1"/>
  <c r="F81" i="19"/>
  <c r="E81" i="19"/>
  <c r="AT81" i="19" s="1"/>
  <c r="D81" i="19"/>
  <c r="A81" i="19"/>
  <c r="Y80" i="19"/>
  <c r="X80" i="19"/>
  <c r="Q80" i="19"/>
  <c r="P80" i="19"/>
  <c r="O80" i="19"/>
  <c r="M80" i="19"/>
  <c r="K80" i="19"/>
  <c r="J80" i="19"/>
  <c r="I80" i="19"/>
  <c r="H80" i="19"/>
  <c r="G80" i="19"/>
  <c r="AM80" i="19" s="1"/>
  <c r="AN80" i="19" s="1"/>
  <c r="AO80" i="19" s="1"/>
  <c r="AP80" i="19" s="1"/>
  <c r="AQ80" i="19" s="1"/>
  <c r="AR80" i="19" s="1"/>
  <c r="AS80" i="19" s="1"/>
  <c r="F80" i="19"/>
  <c r="E80" i="19"/>
  <c r="AT80" i="19" s="1"/>
  <c r="D80" i="19"/>
  <c r="A80" i="19"/>
  <c r="Y79" i="19"/>
  <c r="Q79" i="19"/>
  <c r="P79" i="19"/>
  <c r="O79" i="19"/>
  <c r="M79" i="19"/>
  <c r="K79" i="19"/>
  <c r="J79" i="19"/>
  <c r="I79" i="19"/>
  <c r="H79" i="19"/>
  <c r="G79" i="19"/>
  <c r="AM79" i="19" s="1"/>
  <c r="AN79" i="19" s="1"/>
  <c r="AO79" i="19" s="1"/>
  <c r="AP79" i="19" s="1"/>
  <c r="AQ79" i="19" s="1"/>
  <c r="AR79" i="19" s="1"/>
  <c r="AS79" i="19" s="1"/>
  <c r="F79" i="19"/>
  <c r="E79" i="19"/>
  <c r="D79" i="19"/>
  <c r="A79" i="19"/>
  <c r="Z78" i="19"/>
  <c r="Y78" i="19"/>
  <c r="Q78" i="19"/>
  <c r="P78" i="19"/>
  <c r="O78" i="19"/>
  <c r="M78" i="19"/>
  <c r="K78" i="19"/>
  <c r="J78" i="19"/>
  <c r="I78" i="19"/>
  <c r="H78" i="19"/>
  <c r="G78" i="19"/>
  <c r="F78" i="19"/>
  <c r="E78" i="19"/>
  <c r="AF78" i="19" s="1"/>
  <c r="AG78" i="19" s="1"/>
  <c r="AH78" i="19" s="1"/>
  <c r="AI78" i="19" s="1"/>
  <c r="AJ78" i="19" s="1"/>
  <c r="AK78" i="19" s="1"/>
  <c r="AL78" i="19" s="1"/>
  <c r="D78" i="19"/>
  <c r="A78" i="19"/>
  <c r="Y77" i="19"/>
  <c r="Q77" i="19"/>
  <c r="P77" i="19"/>
  <c r="O77" i="19"/>
  <c r="M77" i="19"/>
  <c r="K77" i="19"/>
  <c r="J77" i="19"/>
  <c r="I77" i="19"/>
  <c r="H77" i="19" s="1"/>
  <c r="G77" i="19"/>
  <c r="F77" i="19"/>
  <c r="E77" i="19"/>
  <c r="AT77" i="19" s="1"/>
  <c r="D77" i="19"/>
  <c r="A77" i="19"/>
  <c r="Z76" i="19"/>
  <c r="Y76" i="19"/>
  <c r="Q76" i="19"/>
  <c r="P76" i="19"/>
  <c r="O76" i="19"/>
  <c r="M76" i="19"/>
  <c r="K76" i="19"/>
  <c r="J76" i="19"/>
  <c r="I76" i="19"/>
  <c r="H76" i="19" s="1"/>
  <c r="G76" i="19"/>
  <c r="AM76" i="19" s="1"/>
  <c r="AN76" i="19" s="1"/>
  <c r="AO76" i="19" s="1"/>
  <c r="AP76" i="19" s="1"/>
  <c r="AQ76" i="19" s="1"/>
  <c r="AR76" i="19" s="1"/>
  <c r="AS76" i="19" s="1"/>
  <c r="F76" i="19"/>
  <c r="E76" i="19"/>
  <c r="AT76" i="19" s="1"/>
  <c r="D76" i="19"/>
  <c r="A76" i="19"/>
  <c r="Z75" i="19"/>
  <c r="Y75" i="19"/>
  <c r="X75" i="19"/>
  <c r="Q75" i="19"/>
  <c r="P75" i="19"/>
  <c r="O75" i="19"/>
  <c r="M75" i="19"/>
  <c r="K75" i="19"/>
  <c r="J75" i="19"/>
  <c r="I75" i="19"/>
  <c r="H75" i="19" s="1"/>
  <c r="G75" i="19"/>
  <c r="AM75" i="19" s="1"/>
  <c r="AN75" i="19" s="1"/>
  <c r="AO75" i="19" s="1"/>
  <c r="AP75" i="19" s="1"/>
  <c r="AQ75" i="19" s="1"/>
  <c r="AR75" i="19" s="1"/>
  <c r="AS75" i="19" s="1"/>
  <c r="F75" i="19"/>
  <c r="E75" i="19"/>
  <c r="D75" i="19"/>
  <c r="A75" i="19"/>
  <c r="Y74" i="19"/>
  <c r="Q74" i="19"/>
  <c r="P74" i="19"/>
  <c r="O74" i="19"/>
  <c r="M74" i="19"/>
  <c r="K74" i="19"/>
  <c r="J74" i="19"/>
  <c r="I74" i="19"/>
  <c r="H74" i="19"/>
  <c r="G74" i="19"/>
  <c r="AM74" i="19" s="1"/>
  <c r="AN74" i="19" s="1"/>
  <c r="AO74" i="19" s="1"/>
  <c r="AP74" i="19" s="1"/>
  <c r="AQ74" i="19" s="1"/>
  <c r="AR74" i="19" s="1"/>
  <c r="AS74" i="19" s="1"/>
  <c r="F74" i="19"/>
  <c r="E74" i="19"/>
  <c r="D74" i="19"/>
  <c r="A74" i="19"/>
  <c r="Y73" i="19"/>
  <c r="Q73" i="19"/>
  <c r="P73" i="19"/>
  <c r="O73" i="19"/>
  <c r="M73" i="19"/>
  <c r="K73" i="19"/>
  <c r="J73" i="19"/>
  <c r="I73" i="19"/>
  <c r="H73" i="19"/>
  <c r="G73" i="19"/>
  <c r="AM73" i="19" s="1"/>
  <c r="AN73" i="19" s="1"/>
  <c r="AO73" i="19" s="1"/>
  <c r="AP73" i="19" s="1"/>
  <c r="AQ73" i="19" s="1"/>
  <c r="AR73" i="19" s="1"/>
  <c r="AS73" i="19" s="1"/>
  <c r="F73" i="19"/>
  <c r="E73" i="19"/>
  <c r="AT73" i="19" s="1"/>
  <c r="D73" i="19"/>
  <c r="A73" i="19"/>
  <c r="Z72" i="19"/>
  <c r="Y72" i="19"/>
  <c r="Q72" i="19"/>
  <c r="P72" i="19"/>
  <c r="O72" i="19"/>
  <c r="M72" i="19"/>
  <c r="K72" i="19"/>
  <c r="J72" i="19"/>
  <c r="I72" i="19"/>
  <c r="H72" i="19"/>
  <c r="G72" i="19"/>
  <c r="AM72" i="19" s="1"/>
  <c r="AN72" i="19" s="1"/>
  <c r="AO72" i="19" s="1"/>
  <c r="AP72" i="19" s="1"/>
  <c r="AQ72" i="19" s="1"/>
  <c r="AR72" i="19" s="1"/>
  <c r="AS72" i="19" s="1"/>
  <c r="F72" i="19"/>
  <c r="E72" i="19"/>
  <c r="D72" i="19"/>
  <c r="A72" i="19"/>
  <c r="Y71" i="19"/>
  <c r="Q71" i="19"/>
  <c r="P71" i="19"/>
  <c r="O71" i="19"/>
  <c r="M71" i="19"/>
  <c r="K71" i="19"/>
  <c r="J71" i="19"/>
  <c r="I71" i="19"/>
  <c r="H71" i="19" s="1"/>
  <c r="G71" i="19"/>
  <c r="AM71" i="19" s="1"/>
  <c r="AN71" i="19" s="1"/>
  <c r="AO71" i="19" s="1"/>
  <c r="AP71" i="19" s="1"/>
  <c r="AQ71" i="19" s="1"/>
  <c r="AR71" i="19" s="1"/>
  <c r="AS71" i="19" s="1"/>
  <c r="F71" i="19"/>
  <c r="E71" i="19"/>
  <c r="D71" i="19"/>
  <c r="A71" i="19"/>
  <c r="Y70" i="19"/>
  <c r="V70" i="19"/>
  <c r="Q70" i="19"/>
  <c r="P70" i="19"/>
  <c r="O70" i="19"/>
  <c r="M70" i="19"/>
  <c r="K70" i="19"/>
  <c r="J70" i="19"/>
  <c r="I70" i="19"/>
  <c r="H70" i="19"/>
  <c r="G70" i="19"/>
  <c r="F70" i="19"/>
  <c r="E70" i="19"/>
  <c r="AT70" i="19" s="1"/>
  <c r="D70" i="19"/>
  <c r="A70" i="19"/>
  <c r="BA69" i="19"/>
  <c r="Z69" i="19"/>
  <c r="Y69" i="19"/>
  <c r="X69" i="19"/>
  <c r="Q69" i="19"/>
  <c r="P69" i="19"/>
  <c r="O69" i="19"/>
  <c r="M69" i="19"/>
  <c r="K69" i="19"/>
  <c r="J69" i="19"/>
  <c r="I69" i="19"/>
  <c r="H69" i="19" s="1"/>
  <c r="G69" i="19"/>
  <c r="F69" i="19"/>
  <c r="E69" i="19"/>
  <c r="AT69" i="19" s="1"/>
  <c r="D69" i="19"/>
  <c r="A69" i="19"/>
  <c r="Z68" i="19"/>
  <c r="Y68" i="19"/>
  <c r="X68" i="19"/>
  <c r="Q68" i="19"/>
  <c r="P68" i="19"/>
  <c r="O68" i="19"/>
  <c r="M68" i="19"/>
  <c r="K68" i="19"/>
  <c r="J68" i="19"/>
  <c r="I68" i="19"/>
  <c r="H68" i="19"/>
  <c r="G68" i="19"/>
  <c r="F68" i="19"/>
  <c r="E68" i="19"/>
  <c r="AF68" i="19" s="1"/>
  <c r="AG68" i="19" s="1"/>
  <c r="AH68" i="19" s="1"/>
  <c r="AI68" i="19" s="1"/>
  <c r="AJ68" i="19" s="1"/>
  <c r="AK68" i="19" s="1"/>
  <c r="AL68" i="19" s="1"/>
  <c r="D68" i="19"/>
  <c r="A68" i="19"/>
  <c r="Z67" i="19"/>
  <c r="Y67" i="19"/>
  <c r="Q67" i="19"/>
  <c r="P67" i="19"/>
  <c r="O67" i="19"/>
  <c r="M67" i="19"/>
  <c r="K67" i="19"/>
  <c r="J67" i="19"/>
  <c r="I67" i="19"/>
  <c r="H67" i="19" s="1"/>
  <c r="G67" i="19"/>
  <c r="AM67" i="19" s="1"/>
  <c r="AN67" i="19" s="1"/>
  <c r="AO67" i="19" s="1"/>
  <c r="AP67" i="19" s="1"/>
  <c r="AQ67" i="19" s="1"/>
  <c r="AR67" i="19" s="1"/>
  <c r="AS67" i="19" s="1"/>
  <c r="F67" i="19"/>
  <c r="E67" i="19"/>
  <c r="D67" i="19"/>
  <c r="A67" i="19"/>
  <c r="Y66" i="19"/>
  <c r="Q66" i="19"/>
  <c r="P66" i="19"/>
  <c r="O66" i="19"/>
  <c r="M66" i="19"/>
  <c r="K66" i="19"/>
  <c r="J66" i="19"/>
  <c r="I66" i="19"/>
  <c r="H66" i="19"/>
  <c r="G66" i="19"/>
  <c r="AM66" i="19" s="1"/>
  <c r="AN66" i="19" s="1"/>
  <c r="AO66" i="19" s="1"/>
  <c r="AP66" i="19" s="1"/>
  <c r="AQ66" i="19" s="1"/>
  <c r="AR66" i="19" s="1"/>
  <c r="AS66" i="19" s="1"/>
  <c r="F66" i="19"/>
  <c r="E66" i="19"/>
  <c r="D66" i="19"/>
  <c r="A66" i="19"/>
  <c r="BA65" i="19"/>
  <c r="Z65" i="19"/>
  <c r="Y65" i="19"/>
  <c r="Q65" i="19"/>
  <c r="P65" i="19"/>
  <c r="O65" i="19"/>
  <c r="M65" i="19"/>
  <c r="K65" i="19"/>
  <c r="J65" i="19"/>
  <c r="I65" i="19"/>
  <c r="H65" i="19"/>
  <c r="G65" i="19"/>
  <c r="F65" i="19"/>
  <c r="E65" i="19"/>
  <c r="AT65" i="19" s="1"/>
  <c r="D65" i="19"/>
  <c r="A65" i="19"/>
  <c r="Z64" i="19"/>
  <c r="Y64" i="19"/>
  <c r="Q64" i="19"/>
  <c r="P64" i="19"/>
  <c r="O64" i="19"/>
  <c r="M64" i="19"/>
  <c r="K64" i="19"/>
  <c r="J64" i="19"/>
  <c r="I64" i="19"/>
  <c r="H64" i="19"/>
  <c r="G64" i="19"/>
  <c r="AM64" i="19" s="1"/>
  <c r="AN64" i="19" s="1"/>
  <c r="AO64" i="19" s="1"/>
  <c r="AP64" i="19" s="1"/>
  <c r="AQ64" i="19" s="1"/>
  <c r="AR64" i="19" s="1"/>
  <c r="AS64" i="19" s="1"/>
  <c r="F64" i="19"/>
  <c r="E64" i="19"/>
  <c r="AT64" i="19" s="1"/>
  <c r="D64" i="19"/>
  <c r="A64" i="19"/>
  <c r="Z63" i="19"/>
  <c r="Y63" i="19"/>
  <c r="V63" i="19"/>
  <c r="Q63" i="19"/>
  <c r="P63" i="19"/>
  <c r="O63" i="19"/>
  <c r="M63" i="19"/>
  <c r="K63" i="19"/>
  <c r="J63" i="19"/>
  <c r="I63" i="19"/>
  <c r="H63" i="19" s="1"/>
  <c r="G63" i="19"/>
  <c r="AM63" i="19" s="1"/>
  <c r="AN63" i="19" s="1"/>
  <c r="AO63" i="19" s="1"/>
  <c r="AP63" i="19" s="1"/>
  <c r="AQ63" i="19" s="1"/>
  <c r="AR63" i="19" s="1"/>
  <c r="AS63" i="19" s="1"/>
  <c r="F63" i="19"/>
  <c r="E63" i="19"/>
  <c r="AT63" i="19" s="1"/>
  <c r="D63" i="19"/>
  <c r="A63" i="19"/>
  <c r="Z62" i="19"/>
  <c r="Y62" i="19"/>
  <c r="X62" i="19"/>
  <c r="Q62" i="19"/>
  <c r="P62" i="19"/>
  <c r="O62" i="19"/>
  <c r="M62" i="19"/>
  <c r="K62" i="19"/>
  <c r="J62" i="19"/>
  <c r="I62" i="19"/>
  <c r="H62" i="19" s="1"/>
  <c r="G62" i="19"/>
  <c r="AM62" i="19" s="1"/>
  <c r="AN62" i="19" s="1"/>
  <c r="AO62" i="19" s="1"/>
  <c r="AP62" i="19" s="1"/>
  <c r="AQ62" i="19" s="1"/>
  <c r="AR62" i="19" s="1"/>
  <c r="AS62" i="19" s="1"/>
  <c r="F62" i="19"/>
  <c r="E62" i="19"/>
  <c r="AF62" i="19" s="1"/>
  <c r="AG62" i="19" s="1"/>
  <c r="AH62" i="19" s="1"/>
  <c r="AI62" i="19" s="1"/>
  <c r="AJ62" i="19" s="1"/>
  <c r="AK62" i="19" s="1"/>
  <c r="AL62" i="19" s="1"/>
  <c r="D62" i="19"/>
  <c r="A62" i="19"/>
  <c r="BA61" i="19"/>
  <c r="Y61" i="19"/>
  <c r="Q61" i="19"/>
  <c r="P61" i="19"/>
  <c r="O61" i="19"/>
  <c r="M61" i="19"/>
  <c r="K61" i="19"/>
  <c r="J61" i="19"/>
  <c r="I61" i="19"/>
  <c r="H61" i="19" s="1"/>
  <c r="G61" i="19"/>
  <c r="F61" i="19"/>
  <c r="E61" i="19"/>
  <c r="AT61" i="19" s="1"/>
  <c r="D61" i="19"/>
  <c r="A61" i="19"/>
  <c r="Z60" i="19"/>
  <c r="Y60" i="19"/>
  <c r="X60" i="19"/>
  <c r="V60" i="19"/>
  <c r="Q60" i="19"/>
  <c r="P60" i="19"/>
  <c r="O60" i="19"/>
  <c r="M60" i="19"/>
  <c r="K60" i="19"/>
  <c r="J60" i="19"/>
  <c r="I60" i="19"/>
  <c r="H60" i="19"/>
  <c r="G60" i="19"/>
  <c r="F60" i="19"/>
  <c r="E60" i="19"/>
  <c r="AF60" i="19" s="1"/>
  <c r="AG60" i="19" s="1"/>
  <c r="AH60" i="19" s="1"/>
  <c r="AI60" i="19" s="1"/>
  <c r="AJ60" i="19" s="1"/>
  <c r="AK60" i="19" s="1"/>
  <c r="AL60" i="19" s="1"/>
  <c r="D60" i="19"/>
  <c r="A60" i="19"/>
  <c r="Z59" i="19"/>
  <c r="Y59" i="19"/>
  <c r="V59" i="19"/>
  <c r="Q59" i="19"/>
  <c r="P59" i="19"/>
  <c r="O59" i="19"/>
  <c r="M59" i="19"/>
  <c r="K59" i="19"/>
  <c r="J59" i="19"/>
  <c r="I59" i="19"/>
  <c r="H59" i="19"/>
  <c r="G59" i="19"/>
  <c r="AM59" i="19" s="1"/>
  <c r="AN59" i="19" s="1"/>
  <c r="AO59" i="19" s="1"/>
  <c r="AP59" i="19" s="1"/>
  <c r="AQ59" i="19" s="1"/>
  <c r="AR59" i="19" s="1"/>
  <c r="AS59" i="19" s="1"/>
  <c r="F59" i="19"/>
  <c r="E59" i="19"/>
  <c r="D59" i="19"/>
  <c r="A59" i="19"/>
  <c r="Y58" i="19"/>
  <c r="Q58" i="19"/>
  <c r="P58" i="19"/>
  <c r="O58" i="19"/>
  <c r="M58" i="19"/>
  <c r="K58" i="19"/>
  <c r="J58" i="19"/>
  <c r="I58" i="19"/>
  <c r="H58" i="19" s="1"/>
  <c r="G58" i="19"/>
  <c r="AM58" i="19" s="1"/>
  <c r="AN58" i="19" s="1"/>
  <c r="AO58" i="19" s="1"/>
  <c r="AP58" i="19" s="1"/>
  <c r="AQ58" i="19" s="1"/>
  <c r="AR58" i="19" s="1"/>
  <c r="AS58" i="19" s="1"/>
  <c r="F58" i="19"/>
  <c r="E58" i="19"/>
  <c r="AF58" i="19" s="1"/>
  <c r="AG58" i="19" s="1"/>
  <c r="AH58" i="19" s="1"/>
  <c r="AI58" i="19" s="1"/>
  <c r="AJ58" i="19" s="1"/>
  <c r="AK58" i="19" s="1"/>
  <c r="AL58" i="19" s="1"/>
  <c r="D58" i="19"/>
  <c r="A58" i="19"/>
  <c r="BA57" i="19"/>
  <c r="Z57" i="19"/>
  <c r="Y57" i="19"/>
  <c r="Q57" i="19"/>
  <c r="P57" i="19"/>
  <c r="O57" i="19"/>
  <c r="M57" i="19"/>
  <c r="K57" i="19"/>
  <c r="J57" i="19"/>
  <c r="I57" i="19"/>
  <c r="H57" i="19"/>
  <c r="G57" i="19"/>
  <c r="F57" i="19"/>
  <c r="E57" i="19"/>
  <c r="AT57" i="19" s="1"/>
  <c r="D57" i="19"/>
  <c r="A57" i="19"/>
  <c r="Z56" i="19"/>
  <c r="Y56" i="19"/>
  <c r="Q56" i="19"/>
  <c r="P56" i="19"/>
  <c r="O56" i="19"/>
  <c r="M56" i="19"/>
  <c r="K56" i="19"/>
  <c r="J56" i="19"/>
  <c r="I56" i="19"/>
  <c r="H56" i="19"/>
  <c r="G56" i="19"/>
  <c r="AM56" i="19" s="1"/>
  <c r="AN56" i="19" s="1"/>
  <c r="AO56" i="19" s="1"/>
  <c r="AP56" i="19" s="1"/>
  <c r="AQ56" i="19" s="1"/>
  <c r="AR56" i="19" s="1"/>
  <c r="AS56" i="19" s="1"/>
  <c r="F56" i="19"/>
  <c r="E56" i="19"/>
  <c r="AT56" i="19" s="1"/>
  <c r="D56" i="19"/>
  <c r="A56" i="19"/>
  <c r="Y55" i="19"/>
  <c r="X55" i="19"/>
  <c r="Q55" i="19"/>
  <c r="P55" i="19"/>
  <c r="O55" i="19"/>
  <c r="M55" i="19"/>
  <c r="K55" i="19"/>
  <c r="J55" i="19"/>
  <c r="I55" i="19"/>
  <c r="H55" i="19" s="1"/>
  <c r="G55" i="19"/>
  <c r="AM55" i="19" s="1"/>
  <c r="AN55" i="19" s="1"/>
  <c r="AO55" i="19" s="1"/>
  <c r="AP55" i="19" s="1"/>
  <c r="AQ55" i="19" s="1"/>
  <c r="AR55" i="19" s="1"/>
  <c r="AS55" i="19" s="1"/>
  <c r="F55" i="19"/>
  <c r="E55" i="19"/>
  <c r="D55" i="19"/>
  <c r="A55" i="19"/>
  <c r="Z54" i="19"/>
  <c r="Y54" i="19"/>
  <c r="X54" i="19"/>
  <c r="Q54" i="19"/>
  <c r="P54" i="19"/>
  <c r="O54" i="19"/>
  <c r="M54" i="19"/>
  <c r="K54" i="19"/>
  <c r="J54" i="19"/>
  <c r="I54" i="19"/>
  <c r="H54" i="19" s="1"/>
  <c r="G54" i="19"/>
  <c r="F54" i="19"/>
  <c r="E54" i="19"/>
  <c r="AT54" i="19" s="1"/>
  <c r="D54" i="19"/>
  <c r="A54" i="19"/>
  <c r="BA53" i="19"/>
  <c r="Y53" i="19"/>
  <c r="Q53" i="19"/>
  <c r="P53" i="19"/>
  <c r="O53" i="19"/>
  <c r="M53" i="19"/>
  <c r="K53" i="19"/>
  <c r="J53" i="19"/>
  <c r="I53" i="19"/>
  <c r="H53" i="19"/>
  <c r="G53" i="19"/>
  <c r="F53" i="19"/>
  <c r="E53" i="19"/>
  <c r="AF53" i="19" s="1"/>
  <c r="AG53" i="19" s="1"/>
  <c r="AH53" i="19" s="1"/>
  <c r="AI53" i="19" s="1"/>
  <c r="AJ53" i="19" s="1"/>
  <c r="AK53" i="19" s="1"/>
  <c r="AL53" i="19" s="1"/>
  <c r="D53" i="19"/>
  <c r="A53" i="19"/>
  <c r="Y52" i="19"/>
  <c r="Q52" i="19"/>
  <c r="P52" i="19"/>
  <c r="O52" i="19"/>
  <c r="M52" i="19"/>
  <c r="K52" i="19"/>
  <c r="J52" i="19"/>
  <c r="I52" i="19"/>
  <c r="H52" i="19" s="1"/>
  <c r="G52" i="19"/>
  <c r="AM52" i="19" s="1"/>
  <c r="AN52" i="19" s="1"/>
  <c r="AO52" i="19" s="1"/>
  <c r="AP52" i="19" s="1"/>
  <c r="AQ52" i="19" s="1"/>
  <c r="AR52" i="19" s="1"/>
  <c r="AS52" i="19" s="1"/>
  <c r="F52" i="19"/>
  <c r="E52" i="19"/>
  <c r="AT52" i="19" s="1"/>
  <c r="D52" i="19"/>
  <c r="A52" i="19"/>
  <c r="Y51" i="19"/>
  <c r="Q51" i="19"/>
  <c r="P51" i="19"/>
  <c r="O51" i="19"/>
  <c r="M51" i="19"/>
  <c r="K51" i="19"/>
  <c r="J51" i="19"/>
  <c r="I51" i="19"/>
  <c r="H51" i="19"/>
  <c r="G51" i="19"/>
  <c r="AM51" i="19" s="1"/>
  <c r="AN51" i="19" s="1"/>
  <c r="AO51" i="19" s="1"/>
  <c r="AP51" i="19" s="1"/>
  <c r="AQ51" i="19" s="1"/>
  <c r="AR51" i="19" s="1"/>
  <c r="AS51" i="19" s="1"/>
  <c r="F51" i="19"/>
  <c r="E51" i="19"/>
  <c r="AT51" i="19" s="1"/>
  <c r="D51" i="19"/>
  <c r="A51" i="19"/>
  <c r="Z50" i="19"/>
  <c r="Y50" i="19"/>
  <c r="Q50" i="19"/>
  <c r="P50" i="19"/>
  <c r="O50" i="19"/>
  <c r="M50" i="19"/>
  <c r="K50" i="19"/>
  <c r="J50" i="19"/>
  <c r="I50" i="19"/>
  <c r="H50" i="19"/>
  <c r="G50" i="19"/>
  <c r="AM50" i="19" s="1"/>
  <c r="AN50" i="19" s="1"/>
  <c r="AO50" i="19" s="1"/>
  <c r="AP50" i="19" s="1"/>
  <c r="AQ50" i="19" s="1"/>
  <c r="AR50" i="19" s="1"/>
  <c r="AS50" i="19" s="1"/>
  <c r="F50" i="19"/>
  <c r="E50" i="19"/>
  <c r="AT50" i="19" s="1"/>
  <c r="D50" i="19"/>
  <c r="A50" i="19"/>
  <c r="BA49" i="19"/>
  <c r="Y49" i="19"/>
  <c r="X49" i="19"/>
  <c r="Q49" i="19"/>
  <c r="P49" i="19"/>
  <c r="O49" i="19"/>
  <c r="M49" i="19"/>
  <c r="K49" i="19"/>
  <c r="J49" i="19"/>
  <c r="I49" i="19"/>
  <c r="H49" i="19"/>
  <c r="G49" i="19"/>
  <c r="F49" i="19"/>
  <c r="E49" i="19"/>
  <c r="AF49" i="19" s="1"/>
  <c r="AG49" i="19" s="1"/>
  <c r="AH49" i="19" s="1"/>
  <c r="AI49" i="19" s="1"/>
  <c r="AJ49" i="19" s="1"/>
  <c r="AK49" i="19" s="1"/>
  <c r="AL49" i="19" s="1"/>
  <c r="D49" i="19"/>
  <c r="A49" i="19"/>
  <c r="Y48" i="19"/>
  <c r="V48" i="19"/>
  <c r="Q48" i="19"/>
  <c r="P48" i="19"/>
  <c r="O48" i="19"/>
  <c r="M48" i="19"/>
  <c r="K48" i="19"/>
  <c r="J48" i="19"/>
  <c r="I48" i="19"/>
  <c r="H48" i="19"/>
  <c r="G48" i="19"/>
  <c r="F48" i="19"/>
  <c r="E48" i="19"/>
  <c r="D48" i="19"/>
  <c r="A48" i="19"/>
  <c r="Z47" i="19"/>
  <c r="Y47" i="19"/>
  <c r="Q47" i="19"/>
  <c r="P47" i="19"/>
  <c r="O47" i="19"/>
  <c r="M47" i="19"/>
  <c r="K47" i="19"/>
  <c r="J47" i="19"/>
  <c r="I47" i="19"/>
  <c r="H47" i="19" s="1"/>
  <c r="G47" i="19"/>
  <c r="F47" i="19"/>
  <c r="E47" i="19"/>
  <c r="AT47" i="19" s="1"/>
  <c r="D47" i="19"/>
  <c r="A47" i="19"/>
  <c r="Y46" i="19"/>
  <c r="V46" i="19"/>
  <c r="Q46" i="19"/>
  <c r="P46" i="19"/>
  <c r="O46" i="19"/>
  <c r="M46" i="19"/>
  <c r="K46" i="19"/>
  <c r="J46" i="19"/>
  <c r="I46" i="19"/>
  <c r="H46" i="19" s="1"/>
  <c r="G46" i="19"/>
  <c r="AM46" i="19" s="1"/>
  <c r="AN46" i="19" s="1"/>
  <c r="AO46" i="19" s="1"/>
  <c r="AP46" i="19" s="1"/>
  <c r="AQ46" i="19" s="1"/>
  <c r="AR46" i="19" s="1"/>
  <c r="AS46" i="19" s="1"/>
  <c r="F46" i="19"/>
  <c r="E46" i="19"/>
  <c r="AF46" i="19" s="1"/>
  <c r="AG46" i="19" s="1"/>
  <c r="AH46" i="19" s="1"/>
  <c r="AI46" i="19" s="1"/>
  <c r="AJ46" i="19" s="1"/>
  <c r="AK46" i="19" s="1"/>
  <c r="AL46" i="19" s="1"/>
  <c r="D46" i="19"/>
  <c r="A46" i="19"/>
  <c r="BA45" i="19"/>
  <c r="Z45" i="19"/>
  <c r="Y45" i="19"/>
  <c r="Q45" i="19"/>
  <c r="P45" i="19"/>
  <c r="O45" i="19"/>
  <c r="M45" i="19"/>
  <c r="K45" i="19"/>
  <c r="J45" i="19"/>
  <c r="I45" i="19"/>
  <c r="H45" i="19"/>
  <c r="G45" i="19"/>
  <c r="F45" i="19"/>
  <c r="E45" i="19"/>
  <c r="AT45" i="19" s="1"/>
  <c r="D45" i="19"/>
  <c r="A45" i="19"/>
  <c r="Z44" i="19"/>
  <c r="Y44" i="19"/>
  <c r="Q44" i="19"/>
  <c r="P44" i="19"/>
  <c r="O44" i="19"/>
  <c r="M44" i="19"/>
  <c r="K44" i="19"/>
  <c r="J44" i="19"/>
  <c r="I44" i="19"/>
  <c r="H44" i="19"/>
  <c r="G44" i="19"/>
  <c r="AM44" i="19" s="1"/>
  <c r="AN44" i="19" s="1"/>
  <c r="AO44" i="19" s="1"/>
  <c r="AP44" i="19" s="1"/>
  <c r="AQ44" i="19" s="1"/>
  <c r="AR44" i="19" s="1"/>
  <c r="AS44" i="19" s="1"/>
  <c r="F44" i="19"/>
  <c r="E44" i="19"/>
  <c r="AT44" i="19" s="1"/>
  <c r="D44" i="19"/>
  <c r="A44" i="19"/>
  <c r="BA43" i="19"/>
  <c r="Z43" i="19"/>
  <c r="Y43" i="19"/>
  <c r="Q43" i="19"/>
  <c r="P43" i="19"/>
  <c r="O43" i="19"/>
  <c r="M43" i="19"/>
  <c r="K43" i="19"/>
  <c r="J43" i="19"/>
  <c r="I43" i="19"/>
  <c r="H43" i="19" s="1"/>
  <c r="G43" i="19"/>
  <c r="AM43" i="19" s="1"/>
  <c r="AN43" i="19" s="1"/>
  <c r="AO43" i="19" s="1"/>
  <c r="AP43" i="19" s="1"/>
  <c r="AQ43" i="19" s="1"/>
  <c r="AR43" i="19" s="1"/>
  <c r="AS43" i="19" s="1"/>
  <c r="F43" i="19"/>
  <c r="E43" i="19"/>
  <c r="AT43" i="19" s="1"/>
  <c r="D43" i="19"/>
  <c r="A43" i="19"/>
  <c r="Z42" i="19"/>
  <c r="Y42" i="19"/>
  <c r="Q42" i="19"/>
  <c r="P42" i="19"/>
  <c r="O42" i="19"/>
  <c r="M42" i="19"/>
  <c r="K42" i="19"/>
  <c r="J42" i="19"/>
  <c r="I42" i="19"/>
  <c r="H42" i="19" s="1"/>
  <c r="G42" i="19"/>
  <c r="AM42" i="19" s="1"/>
  <c r="AN42" i="19" s="1"/>
  <c r="AO42" i="19" s="1"/>
  <c r="AP42" i="19" s="1"/>
  <c r="AQ42" i="19" s="1"/>
  <c r="AR42" i="19" s="1"/>
  <c r="AS42" i="19" s="1"/>
  <c r="F42" i="19"/>
  <c r="E42" i="19"/>
  <c r="D42" i="19"/>
  <c r="A42" i="19"/>
  <c r="BA41" i="19"/>
  <c r="Z41" i="19"/>
  <c r="Y41" i="19"/>
  <c r="Q41" i="19"/>
  <c r="P41" i="19"/>
  <c r="O41" i="19"/>
  <c r="M41" i="19"/>
  <c r="K41" i="19"/>
  <c r="J41" i="19"/>
  <c r="I41" i="19"/>
  <c r="H41" i="19" s="1"/>
  <c r="G41" i="19"/>
  <c r="AM41" i="19" s="1"/>
  <c r="AN41" i="19" s="1"/>
  <c r="AO41" i="19" s="1"/>
  <c r="AP41" i="19" s="1"/>
  <c r="AQ41" i="19" s="1"/>
  <c r="AR41" i="19" s="1"/>
  <c r="AS41" i="19" s="1"/>
  <c r="F41" i="19"/>
  <c r="E41" i="19"/>
  <c r="D41" i="19"/>
  <c r="A41" i="19"/>
  <c r="Z40" i="19"/>
  <c r="Y40" i="19"/>
  <c r="Q40" i="19"/>
  <c r="P40" i="19"/>
  <c r="O40" i="19"/>
  <c r="M40" i="19"/>
  <c r="K40" i="19"/>
  <c r="J40" i="19"/>
  <c r="I40" i="19"/>
  <c r="H40" i="19" s="1"/>
  <c r="G40" i="19"/>
  <c r="AM40" i="19" s="1"/>
  <c r="AN40" i="19" s="1"/>
  <c r="AO40" i="19" s="1"/>
  <c r="AP40" i="19" s="1"/>
  <c r="AQ40" i="19" s="1"/>
  <c r="AR40" i="19" s="1"/>
  <c r="AS40" i="19" s="1"/>
  <c r="F40" i="19"/>
  <c r="E40" i="19"/>
  <c r="AT40" i="19" s="1"/>
  <c r="D40" i="19"/>
  <c r="A40" i="19"/>
  <c r="Y39" i="19"/>
  <c r="V39" i="19"/>
  <c r="Q39" i="19"/>
  <c r="P39" i="19"/>
  <c r="O39" i="19"/>
  <c r="M39" i="19"/>
  <c r="K39" i="19"/>
  <c r="J39" i="19"/>
  <c r="I39" i="19"/>
  <c r="H39" i="19" s="1"/>
  <c r="G39" i="19"/>
  <c r="F39" i="19"/>
  <c r="E39" i="19"/>
  <c r="AF39" i="19" s="1"/>
  <c r="AG39" i="19" s="1"/>
  <c r="AH39" i="19" s="1"/>
  <c r="AI39" i="19" s="1"/>
  <c r="AJ39" i="19" s="1"/>
  <c r="AK39" i="19" s="1"/>
  <c r="AL39" i="19" s="1"/>
  <c r="D39" i="19"/>
  <c r="A39" i="19"/>
  <c r="Z38" i="19"/>
  <c r="Y38" i="19"/>
  <c r="Q38" i="19"/>
  <c r="P38" i="19"/>
  <c r="O38" i="19"/>
  <c r="M38" i="19"/>
  <c r="K38" i="19"/>
  <c r="J38" i="19"/>
  <c r="I38" i="19"/>
  <c r="H38" i="19" s="1"/>
  <c r="G38" i="19"/>
  <c r="AM38" i="19" s="1"/>
  <c r="AN38" i="19" s="1"/>
  <c r="AO38" i="19" s="1"/>
  <c r="AP38" i="19" s="1"/>
  <c r="AQ38" i="19" s="1"/>
  <c r="AR38" i="19" s="1"/>
  <c r="AS38" i="19" s="1"/>
  <c r="F38" i="19"/>
  <c r="E38" i="19"/>
  <c r="AT38" i="19" s="1"/>
  <c r="D38" i="19"/>
  <c r="A38" i="19"/>
  <c r="BA37" i="19"/>
  <c r="Y37" i="19"/>
  <c r="X37" i="19"/>
  <c r="Q37" i="19"/>
  <c r="P37" i="19"/>
  <c r="O37" i="19"/>
  <c r="M37" i="19"/>
  <c r="K37" i="19"/>
  <c r="J37" i="19"/>
  <c r="I37" i="19"/>
  <c r="H37" i="19" s="1"/>
  <c r="G37" i="19"/>
  <c r="F37" i="19"/>
  <c r="E37" i="19"/>
  <c r="AT37" i="19" s="1"/>
  <c r="D37" i="19"/>
  <c r="A37" i="19"/>
  <c r="Y36" i="19"/>
  <c r="X36" i="19"/>
  <c r="V36" i="19"/>
  <c r="Q36" i="19"/>
  <c r="P36" i="19"/>
  <c r="O36" i="19"/>
  <c r="M36" i="19"/>
  <c r="K36" i="19"/>
  <c r="J36" i="19"/>
  <c r="I36" i="19"/>
  <c r="H36" i="19" s="1"/>
  <c r="G36" i="19"/>
  <c r="F36" i="19"/>
  <c r="E36" i="19"/>
  <c r="AF36" i="19" s="1"/>
  <c r="AG36" i="19" s="1"/>
  <c r="AH36" i="19" s="1"/>
  <c r="AI36" i="19" s="1"/>
  <c r="AJ36" i="19" s="1"/>
  <c r="AK36" i="19" s="1"/>
  <c r="AL36" i="19" s="1"/>
  <c r="D36" i="19"/>
  <c r="A36" i="19"/>
  <c r="Y35" i="19"/>
  <c r="V35" i="19"/>
  <c r="Q35" i="19"/>
  <c r="P35" i="19"/>
  <c r="O35" i="19"/>
  <c r="M35" i="19"/>
  <c r="K35" i="19"/>
  <c r="J35" i="19"/>
  <c r="I35" i="19"/>
  <c r="H35" i="19"/>
  <c r="G35" i="19"/>
  <c r="F35" i="19"/>
  <c r="E35" i="19"/>
  <c r="AT35" i="19" s="1"/>
  <c r="D35" i="19"/>
  <c r="A35" i="19"/>
  <c r="Y34" i="19"/>
  <c r="V34" i="19"/>
  <c r="Q34" i="19"/>
  <c r="P34" i="19"/>
  <c r="O34" i="19"/>
  <c r="M34" i="19"/>
  <c r="K34" i="19"/>
  <c r="J34" i="19"/>
  <c r="I34" i="19"/>
  <c r="H34" i="19"/>
  <c r="G34" i="19"/>
  <c r="AM34" i="19" s="1"/>
  <c r="AN34" i="19" s="1"/>
  <c r="AO34" i="19" s="1"/>
  <c r="AP34" i="19" s="1"/>
  <c r="AQ34" i="19" s="1"/>
  <c r="AR34" i="19" s="1"/>
  <c r="AS34" i="19" s="1"/>
  <c r="F34" i="19"/>
  <c r="E34" i="19"/>
  <c r="AT34" i="19" s="1"/>
  <c r="D34" i="19"/>
  <c r="A34" i="19"/>
  <c r="BA33" i="19"/>
  <c r="Y33" i="19"/>
  <c r="Q33" i="19"/>
  <c r="P33" i="19"/>
  <c r="O33" i="19"/>
  <c r="M33" i="19"/>
  <c r="K33" i="19"/>
  <c r="J33" i="19"/>
  <c r="I33" i="19"/>
  <c r="H33" i="19"/>
  <c r="G33" i="19"/>
  <c r="AM33" i="19" s="1"/>
  <c r="AN33" i="19" s="1"/>
  <c r="AO33" i="19" s="1"/>
  <c r="AP33" i="19" s="1"/>
  <c r="AQ33" i="19" s="1"/>
  <c r="AR33" i="19" s="1"/>
  <c r="AS33" i="19" s="1"/>
  <c r="F33" i="19"/>
  <c r="E33" i="19"/>
  <c r="AT33" i="19" s="1"/>
  <c r="D33" i="19"/>
  <c r="A33" i="19"/>
  <c r="Z32" i="19"/>
  <c r="Y32" i="19"/>
  <c r="Q32" i="19"/>
  <c r="P32" i="19"/>
  <c r="O32" i="19"/>
  <c r="M32" i="19"/>
  <c r="K32" i="19"/>
  <c r="J32" i="19"/>
  <c r="I32" i="19"/>
  <c r="H32" i="19"/>
  <c r="G32" i="19"/>
  <c r="AM32" i="19" s="1"/>
  <c r="AN32" i="19" s="1"/>
  <c r="AO32" i="19" s="1"/>
  <c r="AP32" i="19" s="1"/>
  <c r="AQ32" i="19" s="1"/>
  <c r="AR32" i="19" s="1"/>
  <c r="AS32" i="19" s="1"/>
  <c r="F32" i="19"/>
  <c r="E32" i="19"/>
  <c r="AT32" i="19" s="1"/>
  <c r="D32" i="19"/>
  <c r="A32" i="19"/>
  <c r="Z31" i="19"/>
  <c r="Y31" i="19"/>
  <c r="X31" i="19"/>
  <c r="Q31" i="19"/>
  <c r="P31" i="19"/>
  <c r="O31" i="19"/>
  <c r="M31" i="19"/>
  <c r="K31" i="19"/>
  <c r="J31" i="19"/>
  <c r="I31" i="19"/>
  <c r="H31" i="19"/>
  <c r="G31" i="19"/>
  <c r="AM31" i="19" s="1"/>
  <c r="AN31" i="19" s="1"/>
  <c r="AO31" i="19" s="1"/>
  <c r="AP31" i="19" s="1"/>
  <c r="AQ31" i="19" s="1"/>
  <c r="AR31" i="19" s="1"/>
  <c r="AS31" i="19" s="1"/>
  <c r="F31" i="19"/>
  <c r="E31" i="19"/>
  <c r="D31" i="19"/>
  <c r="A31" i="19"/>
  <c r="Y30" i="19"/>
  <c r="X30" i="19"/>
  <c r="Q30" i="19"/>
  <c r="P30" i="19"/>
  <c r="O30" i="19"/>
  <c r="M30" i="19"/>
  <c r="K30" i="19"/>
  <c r="J30" i="19"/>
  <c r="I30" i="19"/>
  <c r="H30" i="19" s="1"/>
  <c r="G30" i="19"/>
  <c r="F30" i="19"/>
  <c r="E30" i="19"/>
  <c r="AT30" i="19" s="1"/>
  <c r="D30" i="19"/>
  <c r="A30" i="19"/>
  <c r="BA29" i="19"/>
  <c r="Z29" i="19"/>
  <c r="Y29" i="19"/>
  <c r="V29" i="19"/>
  <c r="Q29" i="19"/>
  <c r="P29" i="19"/>
  <c r="O29" i="19"/>
  <c r="M29" i="19"/>
  <c r="K29" i="19"/>
  <c r="J29" i="19"/>
  <c r="I29" i="19"/>
  <c r="H29" i="19"/>
  <c r="G29" i="19"/>
  <c r="F29" i="19"/>
  <c r="E29" i="19"/>
  <c r="AT29" i="19" s="1"/>
  <c r="D29" i="19"/>
  <c r="A29" i="19"/>
  <c r="Z28" i="19"/>
  <c r="Y28" i="19"/>
  <c r="X28" i="19"/>
  <c r="Q28" i="19"/>
  <c r="P28" i="19"/>
  <c r="O28" i="19"/>
  <c r="M28" i="19"/>
  <c r="K28" i="19"/>
  <c r="J28" i="19"/>
  <c r="I28" i="19"/>
  <c r="H28" i="19"/>
  <c r="G28" i="19"/>
  <c r="F28" i="19"/>
  <c r="E28" i="19"/>
  <c r="AF28" i="19" s="1"/>
  <c r="AG28" i="19" s="1"/>
  <c r="AH28" i="19" s="1"/>
  <c r="AI28" i="19" s="1"/>
  <c r="AJ28" i="19" s="1"/>
  <c r="AK28" i="19" s="1"/>
  <c r="AL28" i="19" s="1"/>
  <c r="D28" i="19"/>
  <c r="A28" i="19"/>
  <c r="Y27" i="19"/>
  <c r="V27" i="19"/>
  <c r="Q27" i="19"/>
  <c r="P27" i="19"/>
  <c r="O27" i="19"/>
  <c r="M27" i="19"/>
  <c r="K27" i="19"/>
  <c r="J27" i="19"/>
  <c r="I27" i="19"/>
  <c r="H27" i="19"/>
  <c r="G27" i="19"/>
  <c r="AM27" i="19" s="1"/>
  <c r="AN27" i="19" s="1"/>
  <c r="AO27" i="19" s="1"/>
  <c r="AP27" i="19" s="1"/>
  <c r="AQ27" i="19" s="1"/>
  <c r="AR27" i="19" s="1"/>
  <c r="AS27" i="19" s="1"/>
  <c r="F27" i="19"/>
  <c r="E27" i="19"/>
  <c r="AF27" i="19" s="1"/>
  <c r="AG27" i="19" s="1"/>
  <c r="AH27" i="19" s="1"/>
  <c r="AI27" i="19" s="1"/>
  <c r="AJ27" i="19" s="1"/>
  <c r="AK27" i="19" s="1"/>
  <c r="AL27" i="19" s="1"/>
  <c r="D27" i="19"/>
  <c r="A27" i="19"/>
  <c r="Y26" i="19"/>
  <c r="Q26" i="19"/>
  <c r="P26" i="19"/>
  <c r="O26" i="19"/>
  <c r="M26" i="19"/>
  <c r="K26" i="19"/>
  <c r="J26" i="19"/>
  <c r="I26" i="19"/>
  <c r="H26" i="19" s="1"/>
  <c r="G26" i="19"/>
  <c r="F26" i="19"/>
  <c r="E26" i="19"/>
  <c r="AF26" i="19" s="1"/>
  <c r="AG26" i="19" s="1"/>
  <c r="AH26" i="19" s="1"/>
  <c r="AI26" i="19" s="1"/>
  <c r="AJ26" i="19" s="1"/>
  <c r="AK26" i="19" s="1"/>
  <c r="AL26" i="19" s="1"/>
  <c r="D26" i="19"/>
  <c r="A26" i="19"/>
  <c r="BA25" i="19"/>
  <c r="Z25" i="19"/>
  <c r="Y25" i="19"/>
  <c r="X25" i="19"/>
  <c r="Q25" i="19"/>
  <c r="P25" i="19"/>
  <c r="O25" i="19"/>
  <c r="M25" i="19"/>
  <c r="K25" i="19"/>
  <c r="J25" i="19"/>
  <c r="I25" i="19"/>
  <c r="H25" i="19"/>
  <c r="G25" i="19"/>
  <c r="AM25" i="19" s="1"/>
  <c r="AN25" i="19" s="1"/>
  <c r="AO25" i="19" s="1"/>
  <c r="AP25" i="19" s="1"/>
  <c r="AQ25" i="19" s="1"/>
  <c r="AR25" i="19" s="1"/>
  <c r="AS25" i="19" s="1"/>
  <c r="F25" i="19"/>
  <c r="E25" i="19"/>
  <c r="AF25" i="19" s="1"/>
  <c r="AG25" i="19" s="1"/>
  <c r="AH25" i="19" s="1"/>
  <c r="AI25" i="19" s="1"/>
  <c r="AJ25" i="19" s="1"/>
  <c r="AK25" i="19" s="1"/>
  <c r="AL25" i="19" s="1"/>
  <c r="D25" i="19"/>
  <c r="A25" i="19"/>
  <c r="Y24" i="19"/>
  <c r="V24" i="19"/>
  <c r="Q24" i="19"/>
  <c r="P24" i="19"/>
  <c r="O24" i="19"/>
  <c r="M24" i="19"/>
  <c r="K24" i="19"/>
  <c r="J24" i="19"/>
  <c r="I24" i="19"/>
  <c r="H24" i="19"/>
  <c r="G24" i="19"/>
  <c r="F24" i="19"/>
  <c r="E24" i="19"/>
  <c r="AT24" i="19" s="1"/>
  <c r="D24" i="19"/>
  <c r="A24" i="19"/>
  <c r="Y23" i="19"/>
  <c r="Q23" i="19"/>
  <c r="P23" i="19"/>
  <c r="O23" i="19"/>
  <c r="M23" i="19"/>
  <c r="K23" i="19"/>
  <c r="J23" i="19"/>
  <c r="I23" i="19"/>
  <c r="H23" i="19"/>
  <c r="G23" i="19"/>
  <c r="AM23" i="19" s="1"/>
  <c r="AN23" i="19" s="1"/>
  <c r="AO23" i="19" s="1"/>
  <c r="AP23" i="19" s="1"/>
  <c r="AQ23" i="19" s="1"/>
  <c r="AR23" i="19" s="1"/>
  <c r="AS23" i="19" s="1"/>
  <c r="F23" i="19"/>
  <c r="E23" i="19"/>
  <c r="AT23" i="19" s="1"/>
  <c r="D23" i="19"/>
  <c r="A23" i="19"/>
  <c r="Z22" i="19"/>
  <c r="Y22" i="19"/>
  <c r="Q22" i="19"/>
  <c r="P22" i="19"/>
  <c r="O22" i="19"/>
  <c r="M22" i="19"/>
  <c r="K22" i="19"/>
  <c r="J22" i="19"/>
  <c r="I22" i="19"/>
  <c r="H22" i="19"/>
  <c r="G22" i="19"/>
  <c r="AM22" i="19" s="1"/>
  <c r="AN22" i="19" s="1"/>
  <c r="AO22" i="19" s="1"/>
  <c r="AP22" i="19" s="1"/>
  <c r="AQ22" i="19" s="1"/>
  <c r="AR22" i="19" s="1"/>
  <c r="AS22" i="19" s="1"/>
  <c r="F22" i="19"/>
  <c r="E22" i="19"/>
  <c r="AT22" i="19" s="1"/>
  <c r="D22" i="19"/>
  <c r="A22" i="19"/>
  <c r="BA21" i="19"/>
  <c r="Y21" i="19"/>
  <c r="X21" i="19"/>
  <c r="Q21" i="19"/>
  <c r="P21" i="19"/>
  <c r="O21" i="19"/>
  <c r="M21" i="19"/>
  <c r="K21" i="19"/>
  <c r="J21" i="19"/>
  <c r="I21" i="19"/>
  <c r="H21" i="19"/>
  <c r="G21" i="19"/>
  <c r="AM21" i="19" s="1"/>
  <c r="AN21" i="19" s="1"/>
  <c r="AO21" i="19" s="1"/>
  <c r="AP21" i="19" s="1"/>
  <c r="AQ21" i="19" s="1"/>
  <c r="AR21" i="19" s="1"/>
  <c r="AS21" i="19" s="1"/>
  <c r="F21" i="19"/>
  <c r="E21" i="19"/>
  <c r="D21" i="19"/>
  <c r="A21" i="19"/>
  <c r="Y20" i="19"/>
  <c r="Q20" i="19"/>
  <c r="P20" i="19"/>
  <c r="O20" i="19"/>
  <c r="M20" i="19"/>
  <c r="K20" i="19"/>
  <c r="J20" i="19"/>
  <c r="I20" i="19"/>
  <c r="H20" i="19"/>
  <c r="G20" i="19"/>
  <c r="AM20" i="19" s="1"/>
  <c r="AN20" i="19" s="1"/>
  <c r="AO20" i="19" s="1"/>
  <c r="AP20" i="19" s="1"/>
  <c r="AQ20" i="19" s="1"/>
  <c r="AR20" i="19" s="1"/>
  <c r="AS20" i="19" s="1"/>
  <c r="F20" i="19"/>
  <c r="E20" i="19"/>
  <c r="D20" i="19"/>
  <c r="A20" i="19"/>
  <c r="Z19" i="19"/>
  <c r="Y19" i="19"/>
  <c r="Q19" i="19"/>
  <c r="P19" i="19"/>
  <c r="O19" i="19"/>
  <c r="M19" i="19"/>
  <c r="K19" i="19"/>
  <c r="J19" i="19"/>
  <c r="I19" i="19"/>
  <c r="H19" i="19"/>
  <c r="G19" i="19"/>
  <c r="F19" i="19"/>
  <c r="E19" i="19"/>
  <c r="AT19" i="19" s="1"/>
  <c r="D19" i="19"/>
  <c r="A19" i="19"/>
  <c r="Z18" i="19"/>
  <c r="Y18" i="19"/>
  <c r="Q18" i="19"/>
  <c r="P18" i="19"/>
  <c r="O18" i="19"/>
  <c r="M18" i="19"/>
  <c r="K18" i="19"/>
  <c r="J18" i="19"/>
  <c r="I18" i="19"/>
  <c r="H18" i="19"/>
  <c r="G18" i="19"/>
  <c r="F18" i="19"/>
  <c r="E18" i="19"/>
  <c r="AT18" i="19" s="1"/>
  <c r="D18" i="19"/>
  <c r="A18" i="19"/>
  <c r="BA17" i="19"/>
  <c r="Z17" i="19"/>
  <c r="Y17" i="19"/>
  <c r="V17" i="19"/>
  <c r="Q17" i="19"/>
  <c r="P17" i="19"/>
  <c r="O17" i="19"/>
  <c r="M17" i="19"/>
  <c r="K17" i="19"/>
  <c r="J17" i="19"/>
  <c r="I17" i="19"/>
  <c r="H17" i="19"/>
  <c r="G17" i="19"/>
  <c r="AM17" i="19" s="1"/>
  <c r="AN17" i="19" s="1"/>
  <c r="AO17" i="19" s="1"/>
  <c r="AP17" i="19" s="1"/>
  <c r="AQ17" i="19" s="1"/>
  <c r="AR17" i="19" s="1"/>
  <c r="AS17" i="19" s="1"/>
  <c r="F17" i="19"/>
  <c r="E17" i="19"/>
  <c r="AF17" i="19" s="1"/>
  <c r="AG17" i="19" s="1"/>
  <c r="AH17" i="19" s="1"/>
  <c r="AI17" i="19" s="1"/>
  <c r="AJ17" i="19" s="1"/>
  <c r="AK17" i="19" s="1"/>
  <c r="AL17" i="19" s="1"/>
  <c r="D17" i="19"/>
  <c r="A17" i="19"/>
  <c r="Y16" i="19"/>
  <c r="Q16" i="19"/>
  <c r="P16" i="19"/>
  <c r="O16" i="19"/>
  <c r="M16" i="19"/>
  <c r="K16" i="19"/>
  <c r="J16" i="19"/>
  <c r="I16" i="19"/>
  <c r="H16" i="19"/>
  <c r="G16" i="19"/>
  <c r="AM16" i="19" s="1"/>
  <c r="AN16" i="19" s="1"/>
  <c r="AO16" i="19" s="1"/>
  <c r="AP16" i="19" s="1"/>
  <c r="AQ16" i="19" s="1"/>
  <c r="AR16" i="19" s="1"/>
  <c r="AS16" i="19" s="1"/>
  <c r="F16" i="19"/>
  <c r="E16" i="19"/>
  <c r="AT16" i="19" s="1"/>
  <c r="D16" i="19"/>
  <c r="A16" i="19"/>
  <c r="BA15" i="19"/>
  <c r="Y15" i="19"/>
  <c r="U15" i="19"/>
  <c r="Q15" i="19"/>
  <c r="P15" i="19"/>
  <c r="O15" i="19"/>
  <c r="M15" i="19"/>
  <c r="L15" i="19"/>
  <c r="K15" i="19"/>
  <c r="J15" i="19"/>
  <c r="I15" i="19"/>
  <c r="H15" i="19"/>
  <c r="G15" i="19"/>
  <c r="AM15" i="19" s="1"/>
  <c r="AN15" i="19" s="1"/>
  <c r="AO15" i="19" s="1"/>
  <c r="AP15" i="19" s="1"/>
  <c r="AQ15" i="19" s="1"/>
  <c r="AR15" i="19" s="1"/>
  <c r="AS15" i="19" s="1"/>
  <c r="F15" i="19"/>
  <c r="E15" i="19"/>
  <c r="AT15" i="19" s="1"/>
  <c r="D15" i="19"/>
  <c r="A15" i="19"/>
  <c r="Y14" i="19"/>
  <c r="Q14" i="19"/>
  <c r="P14" i="19"/>
  <c r="O14" i="19"/>
  <c r="M14" i="19"/>
  <c r="K14" i="19"/>
  <c r="J14" i="19"/>
  <c r="I14" i="19"/>
  <c r="H14" i="19"/>
  <c r="G14" i="19"/>
  <c r="F14" i="19"/>
  <c r="E14" i="19"/>
  <c r="AT14" i="19" s="1"/>
  <c r="D14" i="19"/>
  <c r="A14" i="19"/>
  <c r="BA13" i="19"/>
  <c r="Z13" i="19"/>
  <c r="Y13" i="19"/>
  <c r="Q13" i="19"/>
  <c r="P13" i="19"/>
  <c r="O13" i="19"/>
  <c r="M13" i="19"/>
  <c r="K13" i="19"/>
  <c r="J13" i="19"/>
  <c r="I13" i="19"/>
  <c r="H13" i="19"/>
  <c r="G13" i="19"/>
  <c r="AM13" i="19" s="1"/>
  <c r="AN13" i="19" s="1"/>
  <c r="AO13" i="19" s="1"/>
  <c r="AP13" i="19" s="1"/>
  <c r="AQ13" i="19" s="1"/>
  <c r="AR13" i="19" s="1"/>
  <c r="AS13" i="19" s="1"/>
  <c r="F13" i="19"/>
  <c r="E13" i="19"/>
  <c r="AT13" i="19" s="1"/>
  <c r="D13" i="19"/>
  <c r="A13" i="19"/>
  <c r="Z12" i="19"/>
  <c r="Y12" i="19"/>
  <c r="Q12" i="19"/>
  <c r="P12" i="19"/>
  <c r="O12" i="19"/>
  <c r="M12" i="19"/>
  <c r="K12" i="19"/>
  <c r="J12" i="19"/>
  <c r="I12" i="19"/>
  <c r="H12" i="19"/>
  <c r="G12" i="19"/>
  <c r="AM12" i="19" s="1"/>
  <c r="AN12" i="19" s="1"/>
  <c r="AO12" i="19" s="1"/>
  <c r="AP12" i="19" s="1"/>
  <c r="AQ12" i="19" s="1"/>
  <c r="AR12" i="19" s="1"/>
  <c r="AS12" i="19" s="1"/>
  <c r="F12" i="19"/>
  <c r="E12" i="19"/>
  <c r="AT12" i="19" s="1"/>
  <c r="D12" i="19"/>
  <c r="A12" i="19"/>
  <c r="Y11" i="19"/>
  <c r="X11" i="19"/>
  <c r="Q11" i="19"/>
  <c r="P11" i="19"/>
  <c r="O11" i="19"/>
  <c r="M11" i="19"/>
  <c r="K11" i="19"/>
  <c r="J11" i="19"/>
  <c r="I11" i="19"/>
  <c r="H11" i="19"/>
  <c r="G11" i="19"/>
  <c r="F11" i="19"/>
  <c r="E11" i="19"/>
  <c r="AT11" i="19" s="1"/>
  <c r="D11" i="19"/>
  <c r="A11" i="19"/>
  <c r="Y10" i="19"/>
  <c r="X10" i="19"/>
  <c r="V10" i="19"/>
  <c r="R10" i="19"/>
  <c r="Q10" i="19"/>
  <c r="P10" i="19"/>
  <c r="O10" i="19"/>
  <c r="M10" i="19"/>
  <c r="L10" i="19"/>
  <c r="K10" i="19"/>
  <c r="J10" i="19"/>
  <c r="I10" i="19"/>
  <c r="H10" i="19"/>
  <c r="G10" i="19"/>
  <c r="AM10" i="19" s="1"/>
  <c r="AN10" i="19" s="1"/>
  <c r="AO10" i="19" s="1"/>
  <c r="AP10" i="19" s="1"/>
  <c r="AQ10" i="19" s="1"/>
  <c r="AR10" i="19" s="1"/>
  <c r="AS10" i="19" s="1"/>
  <c r="F10" i="19"/>
  <c r="E10" i="19"/>
  <c r="AT10" i="19" s="1"/>
  <c r="D10" i="19"/>
  <c r="A10" i="19"/>
  <c r="BA9" i="19"/>
  <c r="Z9" i="19"/>
  <c r="Y9" i="19"/>
  <c r="Q9" i="19"/>
  <c r="P9" i="19"/>
  <c r="O9" i="19"/>
  <c r="M9" i="19"/>
  <c r="K9" i="19"/>
  <c r="J9" i="19"/>
  <c r="I9" i="19"/>
  <c r="H9" i="19"/>
  <c r="G9" i="19"/>
  <c r="AM9" i="19" s="1"/>
  <c r="AN9" i="19" s="1"/>
  <c r="AO9" i="19" s="1"/>
  <c r="AP9" i="19" s="1"/>
  <c r="AQ9" i="19" s="1"/>
  <c r="AR9" i="19" s="1"/>
  <c r="AS9" i="19" s="1"/>
  <c r="F9" i="19"/>
  <c r="E9" i="19"/>
  <c r="AF9" i="19" s="1"/>
  <c r="AG9" i="19" s="1"/>
  <c r="AH9" i="19" s="1"/>
  <c r="AI9" i="19" s="1"/>
  <c r="AJ9" i="19" s="1"/>
  <c r="AK9" i="19" s="1"/>
  <c r="AL9" i="19" s="1"/>
  <c r="D9" i="19"/>
  <c r="A9" i="19"/>
  <c r="Z8" i="19"/>
  <c r="Y8" i="19"/>
  <c r="Q8" i="19"/>
  <c r="P8" i="19"/>
  <c r="O8" i="19"/>
  <c r="M8" i="19"/>
  <c r="K8" i="19"/>
  <c r="J8" i="19"/>
  <c r="I8" i="19"/>
  <c r="H8" i="19"/>
  <c r="G8" i="19"/>
  <c r="AM8" i="19" s="1"/>
  <c r="AN8" i="19" s="1"/>
  <c r="AO8" i="19" s="1"/>
  <c r="AP8" i="19" s="1"/>
  <c r="AQ8" i="19" s="1"/>
  <c r="AR8" i="19" s="1"/>
  <c r="AS8" i="19" s="1"/>
  <c r="F8" i="19"/>
  <c r="E8" i="19"/>
  <c r="AF8" i="19" s="1"/>
  <c r="AG8" i="19" s="1"/>
  <c r="AH8" i="19" s="1"/>
  <c r="AI8" i="19" s="1"/>
  <c r="AJ8" i="19" s="1"/>
  <c r="AK8" i="19" s="1"/>
  <c r="AL8" i="19" s="1"/>
  <c r="D8" i="19"/>
  <c r="C8" i="19"/>
  <c r="A8" i="19"/>
  <c r="Y7" i="19"/>
  <c r="S7" i="19"/>
  <c r="Q7" i="19"/>
  <c r="P7" i="19"/>
  <c r="O7" i="19"/>
  <c r="M7" i="19"/>
  <c r="K7" i="19"/>
  <c r="J7" i="19"/>
  <c r="I7" i="19"/>
  <c r="H7" i="19"/>
  <c r="G7" i="19"/>
  <c r="F7" i="19"/>
  <c r="E7" i="19"/>
  <c r="AT7" i="19" s="1"/>
  <c r="AU7" i="19" s="1"/>
  <c r="D7" i="19"/>
  <c r="C7" i="19"/>
  <c r="B7" i="19"/>
  <c r="A7" i="19"/>
  <c r="BF6" i="19"/>
  <c r="BE6" i="19"/>
  <c r="BD6" i="19"/>
  <c r="BC6" i="19"/>
  <c r="BA6" i="19"/>
  <c r="B363" i="46"/>
  <c r="B359" i="46"/>
  <c r="B358" i="46"/>
  <c r="B355" i="46"/>
  <c r="B354" i="46"/>
  <c r="B24" i="37" s="1"/>
  <c r="B351" i="46"/>
  <c r="G117" i="19" s="1"/>
  <c r="B350" i="46"/>
  <c r="F117" i="19" s="1"/>
  <c r="B347" i="46"/>
  <c r="C117" i="19" s="1"/>
  <c r="B346" i="46"/>
  <c r="B117" i="19" s="1"/>
  <c r="B343" i="46"/>
  <c r="B342" i="46"/>
  <c r="B339" i="46"/>
  <c r="B338" i="46"/>
  <c r="B335" i="46"/>
  <c r="B334" i="46"/>
  <c r="B331" i="46"/>
  <c r="B330" i="46"/>
  <c r="B327" i="46"/>
  <c r="B326" i="46"/>
  <c r="B323" i="46"/>
  <c r="B322" i="46"/>
  <c r="B319" i="46"/>
  <c r="B318" i="46"/>
  <c r="B315" i="46"/>
  <c r="B314" i="46"/>
  <c r="B311" i="46"/>
  <c r="B310" i="46"/>
  <c r="B307" i="46"/>
  <c r="B306" i="46"/>
  <c r="B303" i="46"/>
  <c r="B302" i="46"/>
  <c r="B299" i="46"/>
  <c r="B298" i="46"/>
  <c r="B295" i="46"/>
  <c r="B294" i="46"/>
  <c r="B291" i="46"/>
  <c r="N7" i="30" s="1"/>
  <c r="B290" i="46"/>
  <c r="B287" i="46"/>
  <c r="G95" i="19" s="1"/>
  <c r="B286" i="46"/>
  <c r="F95" i="19" s="1"/>
  <c r="B283" i="46"/>
  <c r="B95" i="19" s="1"/>
  <c r="B282" i="46"/>
  <c r="B279" i="46"/>
  <c r="X4" i="19" s="1"/>
  <c r="B278" i="46"/>
  <c r="W4" i="19" s="1"/>
  <c r="B275" i="46"/>
  <c r="T4" i="19" s="1"/>
  <c r="B274" i="46"/>
  <c r="S4" i="19" s="1"/>
  <c r="B271" i="46"/>
  <c r="P4" i="19" s="1"/>
  <c r="B270" i="46"/>
  <c r="B267" i="46"/>
  <c r="L4" i="19" s="1"/>
  <c r="B266" i="46"/>
  <c r="K4" i="19" s="1"/>
  <c r="B263" i="46"/>
  <c r="G4" i="19" s="1"/>
  <c r="B262" i="46"/>
  <c r="F4" i="19" s="1"/>
  <c r="B259" i="46"/>
  <c r="C4" i="19" s="1"/>
  <c r="B258" i="46"/>
  <c r="B4" i="19" s="1"/>
  <c r="B255" i="46"/>
  <c r="N10" i="37" s="1"/>
  <c r="B254" i="46"/>
  <c r="N9" i="37" s="1"/>
  <c r="B251" i="46"/>
  <c r="N6" i="37" s="1"/>
  <c r="B250" i="46"/>
  <c r="B247" i="46"/>
  <c r="B246" i="46"/>
  <c r="B243" i="46"/>
  <c r="B242" i="46"/>
  <c r="B239" i="46"/>
  <c r="B238" i="46"/>
  <c r="B235" i="46"/>
  <c r="B234" i="46"/>
  <c r="M9" i="28" s="1"/>
  <c r="B231" i="46"/>
  <c r="I9" i="28" s="1"/>
  <c r="B230" i="46"/>
  <c r="G9" i="28" s="1"/>
  <c r="B227" i="46"/>
  <c r="C9" i="28" s="1"/>
  <c r="B226" i="46"/>
  <c r="B9" i="28" s="1"/>
  <c r="B223" i="46"/>
  <c r="F8" i="28" s="1"/>
  <c r="B222" i="46"/>
  <c r="F7" i="28" s="1"/>
  <c r="B219" i="46"/>
  <c r="A8" i="28" s="1"/>
  <c r="B218" i="46"/>
  <c r="A7" i="28" s="1"/>
  <c r="B215" i="46"/>
  <c r="C1" i="28" s="1"/>
  <c r="B214" i="46"/>
  <c r="B211" i="46"/>
  <c r="K10" i="1" s="1"/>
  <c r="B210" i="46"/>
  <c r="J10" i="1" s="1"/>
  <c r="B207" i="46"/>
  <c r="N9" i="1" s="1"/>
  <c r="B206" i="46"/>
  <c r="L9" i="1" s="1"/>
  <c r="B203" i="46"/>
  <c r="U7" i="1" s="1"/>
  <c r="B202" i="46"/>
  <c r="S7" i="1" s="1"/>
  <c r="B199" i="46"/>
  <c r="H7" i="1" s="1"/>
  <c r="B198" i="46"/>
  <c r="F7" i="1" s="1"/>
  <c r="R7" i="30" s="1"/>
  <c r="B195" i="46"/>
  <c r="B7" i="1" s="1"/>
  <c r="B194" i="46"/>
  <c r="A7" i="1" s="1"/>
  <c r="B191" i="46"/>
  <c r="E2" i="1" s="1"/>
  <c r="B190" i="46"/>
  <c r="A6" i="1" s="1"/>
  <c r="B187" i="46"/>
  <c r="A3" i="1" s="1"/>
  <c r="B186" i="46"/>
  <c r="A2" i="1" s="1"/>
  <c r="B183" i="46"/>
  <c r="B182" i="46"/>
  <c r="B179" i="46"/>
  <c r="B178" i="46"/>
  <c r="B175" i="46"/>
  <c r="B174" i="46"/>
  <c r="B171" i="46"/>
  <c r="C6" i="51" s="1"/>
  <c r="B170" i="46"/>
  <c r="B6" i="51" s="1"/>
  <c r="B167" i="46"/>
  <c r="B166" i="46"/>
  <c r="A95" i="43" s="1"/>
  <c r="B163" i="46"/>
  <c r="I6" i="43" s="1"/>
  <c r="B162" i="46"/>
  <c r="H6" i="43" s="1"/>
  <c r="B159" i="46"/>
  <c r="B158" i="46"/>
  <c r="C7" i="43" s="1"/>
  <c r="B155" i="46"/>
  <c r="A6" i="43" s="1"/>
  <c r="B154" i="46"/>
  <c r="A5" i="43" s="1"/>
  <c r="B151" i="46"/>
  <c r="E1" i="43" s="1"/>
  <c r="B150" i="46"/>
  <c r="C1" i="43" s="1"/>
  <c r="B148" i="46"/>
  <c r="J1" i="43" s="1"/>
  <c r="B147" i="46"/>
  <c r="B146" i="46"/>
  <c r="AJ7" i="30" s="1"/>
  <c r="B143" i="46"/>
  <c r="AG7" i="30" s="1"/>
  <c r="B142" i="46"/>
  <c r="AF11" i="30" s="1"/>
  <c r="B140" i="46"/>
  <c r="B139" i="46"/>
  <c r="AC11" i="30" s="1"/>
  <c r="B138" i="46"/>
  <c r="AC9" i="30" s="1"/>
  <c r="B135" i="46"/>
  <c r="Z11" i="30" s="1"/>
  <c r="B134" i="46"/>
  <c r="Z9" i="30" s="1"/>
  <c r="B132" i="46"/>
  <c r="X7" i="30" s="1"/>
  <c r="B131" i="46"/>
  <c r="B130" i="46"/>
  <c r="B127" i="46"/>
  <c r="T11" i="30" s="1"/>
  <c r="B126" i="46"/>
  <c r="T9" i="30" s="1"/>
  <c r="B124" i="46"/>
  <c r="B123" i="46"/>
  <c r="B122" i="46"/>
  <c r="M11" i="30" s="1"/>
  <c r="B119" i="46"/>
  <c r="J12" i="30" s="1"/>
  <c r="B118" i="46"/>
  <c r="I12" i="30" s="1"/>
  <c r="B116" i="46"/>
  <c r="G12" i="30" s="1"/>
  <c r="B115" i="46"/>
  <c r="F12" i="30" s="1"/>
  <c r="B114" i="46"/>
  <c r="F11" i="30" s="1"/>
  <c r="B111" i="46"/>
  <c r="E7" i="30" s="1"/>
  <c r="B110" i="46"/>
  <c r="D7" i="30" s="1"/>
  <c r="B108" i="46"/>
  <c r="B107" i="46"/>
  <c r="B106" i="46"/>
  <c r="B103" i="46"/>
  <c r="B102" i="46"/>
  <c r="B100" i="46"/>
  <c r="P1" i="30" s="1"/>
  <c r="B99" i="46"/>
  <c r="U10" i="55" s="1"/>
  <c r="B98" i="46"/>
  <c r="T10" i="55" s="1"/>
  <c r="B95" i="46"/>
  <c r="B94" i="46"/>
  <c r="D10" i="55" s="1"/>
  <c r="B92" i="46"/>
  <c r="B91" i="46"/>
  <c r="A5" i="30" s="1"/>
  <c r="B90" i="46"/>
  <c r="A7" i="55" s="1"/>
  <c r="B87" i="46"/>
  <c r="A3" i="55" s="1"/>
  <c r="B86" i="46"/>
  <c r="A1" i="55" s="1"/>
  <c r="B84" i="46"/>
  <c r="AF9" i="55" s="1"/>
  <c r="B83" i="46"/>
  <c r="AD10" i="55" s="1"/>
  <c r="B82" i="46"/>
  <c r="AB10" i="55" s="1"/>
  <c r="B79" i="46"/>
  <c r="Y10" i="55" s="1"/>
  <c r="B78" i="46"/>
  <c r="B76" i="46"/>
  <c r="O11" i="55" s="1"/>
  <c r="B75" i="46"/>
  <c r="N11" i="55" s="1"/>
  <c r="B74" i="46"/>
  <c r="B71" i="46"/>
  <c r="L9" i="55" s="1"/>
  <c r="B70" i="46"/>
  <c r="K10" i="55" s="1"/>
  <c r="B68" i="46"/>
  <c r="H10" i="55" s="1"/>
  <c r="B67" i="46"/>
  <c r="G10" i="55" s="1"/>
  <c r="B66" i="46"/>
  <c r="B63" i="46"/>
  <c r="B9" i="55" s="1"/>
  <c r="B62" i="46"/>
  <c r="B60" i="46"/>
  <c r="E46" i="56" s="1"/>
  <c r="B59" i="46"/>
  <c r="A45" i="56" s="1"/>
  <c r="B58" i="46"/>
  <c r="B55" i="46"/>
  <c r="B54" i="46"/>
  <c r="B52" i="46"/>
  <c r="B51" i="46"/>
  <c r="B40" i="56" s="1"/>
  <c r="B50" i="46"/>
  <c r="B39" i="56" s="1"/>
  <c r="B47" i="46"/>
  <c r="B37" i="56" s="1"/>
  <c r="B46" i="46"/>
  <c r="B36" i="56" s="1"/>
  <c r="B44" i="46"/>
  <c r="B34" i="56" s="1"/>
  <c r="B43" i="46"/>
  <c r="B33" i="56" s="1"/>
  <c r="B42" i="46"/>
  <c r="B32" i="56" s="1"/>
  <c r="B39" i="46"/>
  <c r="B29" i="56" s="1"/>
  <c r="B38" i="46"/>
  <c r="B28" i="56" s="1"/>
  <c r="B36" i="46"/>
  <c r="A40" i="56" s="1"/>
  <c r="B35" i="46"/>
  <c r="A39" i="56" s="1"/>
  <c r="B34" i="46"/>
  <c r="A38" i="56" s="1"/>
  <c r="B31" i="46"/>
  <c r="A36" i="56" s="1"/>
  <c r="B30" i="46"/>
  <c r="A35" i="56" s="1"/>
  <c r="B29" i="46"/>
  <c r="A34" i="56" s="1"/>
  <c r="B28" i="46"/>
  <c r="A33" i="56" s="1"/>
  <c r="B27" i="46"/>
  <c r="A32" i="56" s="1"/>
  <c r="B26" i="46"/>
  <c r="A31" i="56" s="1"/>
  <c r="B23" i="46"/>
  <c r="A28" i="56" s="1"/>
  <c r="B22" i="46"/>
  <c r="B21" i="46"/>
  <c r="B20" i="46"/>
  <c r="A26" i="56" s="1"/>
  <c r="B19" i="46"/>
  <c r="A24" i="56" s="1"/>
  <c r="B18" i="46"/>
  <c r="A23" i="56" s="1"/>
  <c r="B15" i="46"/>
  <c r="A20" i="56" s="1"/>
  <c r="B14" i="46"/>
  <c r="A19" i="56" s="1"/>
  <c r="B13" i="46"/>
  <c r="A18" i="56" s="1"/>
  <c r="B12" i="46"/>
  <c r="B11" i="46"/>
  <c r="B10" i="46"/>
  <c r="A8" i="56" s="1"/>
  <c r="B7" i="46"/>
  <c r="A5" i="56" s="1"/>
  <c r="B6" i="46"/>
  <c r="A4" i="56" s="1"/>
  <c r="B5" i="46"/>
  <c r="A3" i="56" s="1"/>
  <c r="B4" i="46"/>
  <c r="B3" i="46"/>
  <c r="A1" i="56" s="1"/>
  <c r="B2" i="46"/>
  <c r="B1" i="46"/>
  <c r="B356" i="46" s="1"/>
  <c r="S33" i="30" l="1"/>
  <c r="Q88" i="30"/>
  <c r="Q98" i="30"/>
  <c r="S22" i="30"/>
  <c r="Q58" i="30"/>
  <c r="J10" i="51"/>
  <c r="H10" i="51"/>
  <c r="D51" i="37"/>
  <c r="D10" i="37"/>
  <c r="B37" i="46"/>
  <c r="B45" i="46"/>
  <c r="B35" i="56" s="1"/>
  <c r="B53" i="46"/>
  <c r="B61" i="46"/>
  <c r="P1" i="55" s="1"/>
  <c r="B69" i="46"/>
  <c r="J10" i="55" s="1"/>
  <c r="B77" i="46"/>
  <c r="V10" i="55" s="1"/>
  <c r="B85" i="46"/>
  <c r="B93" i="46"/>
  <c r="C10" i="55" s="1"/>
  <c r="B101" i="46"/>
  <c r="B109" i="46"/>
  <c r="C7" i="30" s="1"/>
  <c r="B117" i="46"/>
  <c r="H12" i="30" s="1"/>
  <c r="B125" i="46"/>
  <c r="T7" i="30" s="1"/>
  <c r="B133" i="46"/>
  <c r="Z7" i="30" s="1"/>
  <c r="B141" i="46"/>
  <c r="B149" i="46"/>
  <c r="A1" i="43" s="1"/>
  <c r="B157" i="46"/>
  <c r="B7" i="43" s="1"/>
  <c r="B165" i="46"/>
  <c r="K6" i="43" s="1"/>
  <c r="B173" i="46"/>
  <c r="D10" i="51" s="1"/>
  <c r="B181" i="46"/>
  <c r="F10" i="51" s="1"/>
  <c r="B189" i="46"/>
  <c r="A5" i="1" s="1"/>
  <c r="B197" i="46"/>
  <c r="B205" i="46"/>
  <c r="Y7" i="1" s="1"/>
  <c r="B213" i="46"/>
  <c r="B221" i="46"/>
  <c r="F6" i="28" s="1"/>
  <c r="B229" i="46"/>
  <c r="E9" i="28" s="1"/>
  <c r="B237" i="46"/>
  <c r="B245" i="46"/>
  <c r="B253" i="46"/>
  <c r="B261" i="46"/>
  <c r="E4" i="19" s="1"/>
  <c r="B269" i="46"/>
  <c r="N4" i="19" s="1"/>
  <c r="B277" i="46"/>
  <c r="V4" i="19" s="1"/>
  <c r="B285" i="46"/>
  <c r="E95" i="19" s="1"/>
  <c r="B293" i="46"/>
  <c r="B301" i="46"/>
  <c r="B309" i="46"/>
  <c r="B317" i="46"/>
  <c r="B325" i="46"/>
  <c r="B333" i="46"/>
  <c r="B341" i="46"/>
  <c r="B349" i="46"/>
  <c r="E117" i="19" s="1"/>
  <c r="B357" i="46"/>
  <c r="S11" i="55"/>
  <c r="F10" i="55"/>
  <c r="Q11" i="55"/>
  <c r="M10" i="55"/>
  <c r="X11" i="55"/>
  <c r="AE11" i="55"/>
  <c r="AC11" i="55"/>
  <c r="I11" i="55"/>
  <c r="Y11" i="55"/>
  <c r="V11" i="30"/>
  <c r="N11" i="30"/>
  <c r="H118" i="19" s="1"/>
  <c r="A2" i="51"/>
  <c r="A2" i="30"/>
  <c r="N10" i="55"/>
  <c r="Z11" i="55"/>
  <c r="A7" i="30"/>
  <c r="A9" i="55"/>
  <c r="I10" i="51"/>
  <c r="E10" i="51"/>
  <c r="G10" i="51"/>
  <c r="D15" i="37"/>
  <c r="D56" i="37"/>
  <c r="L7" i="43"/>
  <c r="E7" i="43"/>
  <c r="E6" i="51"/>
  <c r="D47" i="37"/>
  <c r="D6" i="37"/>
  <c r="A3" i="51"/>
  <c r="A3" i="30"/>
  <c r="M7" i="43"/>
  <c r="F7" i="43"/>
  <c r="B8" i="46"/>
  <c r="A10" i="56" s="1"/>
  <c r="B16" i="46"/>
  <c r="A21" i="56" s="1"/>
  <c r="B24" i="46"/>
  <c r="A29" i="56" s="1"/>
  <c r="B32" i="46"/>
  <c r="A37" i="56" s="1"/>
  <c r="B40" i="46"/>
  <c r="B30" i="56" s="1"/>
  <c r="B48" i="46"/>
  <c r="B56" i="46"/>
  <c r="A42" i="56" s="1"/>
  <c r="B64" i="46"/>
  <c r="E9" i="55" s="1"/>
  <c r="B72" i="46"/>
  <c r="L10" i="55" s="1"/>
  <c r="B80" i="46"/>
  <c r="AA10" i="55" s="1"/>
  <c r="B88" i="46"/>
  <c r="A5" i="55" s="1"/>
  <c r="B96" i="46"/>
  <c r="R10" i="55" s="1"/>
  <c r="B104" i="46"/>
  <c r="A4" i="30" s="1"/>
  <c r="B112" i="46"/>
  <c r="B120" i="46"/>
  <c r="K12" i="30" s="1"/>
  <c r="B128" i="46"/>
  <c r="U11" i="30" s="1"/>
  <c r="B136" i="46"/>
  <c r="B144" i="46"/>
  <c r="AG9" i="30" s="1"/>
  <c r="B152" i="46"/>
  <c r="B160" i="46"/>
  <c r="B168" i="46"/>
  <c r="K1" i="51" s="1"/>
  <c r="B176" i="46"/>
  <c r="G6" i="51" s="1"/>
  <c r="B184" i="46"/>
  <c r="O1" i="1" s="1"/>
  <c r="B192" i="46"/>
  <c r="H2" i="1" s="1"/>
  <c r="B200" i="46"/>
  <c r="L7" i="1" s="1"/>
  <c r="B208" i="46"/>
  <c r="B216" i="46"/>
  <c r="A5" i="28" s="1"/>
  <c r="B224" i="46"/>
  <c r="B232" i="46"/>
  <c r="K9" i="28" s="1"/>
  <c r="B240" i="46"/>
  <c r="B248" i="46"/>
  <c r="B256" i="46"/>
  <c r="B264" i="46"/>
  <c r="H4" i="19" s="1"/>
  <c r="B272" i="46"/>
  <c r="Q4" i="19" s="1"/>
  <c r="B280" i="46"/>
  <c r="Y4" i="19" s="1"/>
  <c r="B288" i="46"/>
  <c r="H95" i="19" s="1"/>
  <c r="B296" i="46"/>
  <c r="B304" i="46"/>
  <c r="B312" i="46"/>
  <c r="B320" i="46"/>
  <c r="B328" i="46"/>
  <c r="B336" i="46"/>
  <c r="B344" i="46"/>
  <c r="B352" i="46"/>
  <c r="B361" i="46"/>
  <c r="A5" i="51"/>
  <c r="A6" i="30"/>
  <c r="X10" i="1"/>
  <c r="T10" i="1"/>
  <c r="N10" i="1"/>
  <c r="V10" i="1"/>
  <c r="D55" i="37"/>
  <c r="D14" i="37"/>
  <c r="H95" i="43"/>
  <c r="D6" i="43"/>
  <c r="D7" i="37"/>
  <c r="D48" i="37"/>
  <c r="B9" i="46"/>
  <c r="A7" i="56" s="1"/>
  <c r="B17" i="46"/>
  <c r="A22" i="56" s="1"/>
  <c r="B25" i="46"/>
  <c r="A30" i="56" s="1"/>
  <c r="B33" i="46"/>
  <c r="B41" i="46"/>
  <c r="B31" i="56" s="1"/>
  <c r="B49" i="46"/>
  <c r="B38" i="56" s="1"/>
  <c r="B57" i="46"/>
  <c r="A43" i="56" s="1"/>
  <c r="B65" i="46"/>
  <c r="B73" i="46"/>
  <c r="P10" i="55" s="1"/>
  <c r="B81" i="46"/>
  <c r="AB9" i="55" s="1"/>
  <c r="B89" i="46"/>
  <c r="A6" i="55" s="1"/>
  <c r="B97" i="46"/>
  <c r="R9" i="55" s="1"/>
  <c r="B105" i="46"/>
  <c r="A4" i="51" s="1"/>
  <c r="B113" i="46"/>
  <c r="F7" i="30" s="1"/>
  <c r="B121" i="46"/>
  <c r="L12" i="30" s="1"/>
  <c r="B129" i="46"/>
  <c r="V9" i="30" s="1"/>
  <c r="B137" i="46"/>
  <c r="B145" i="46"/>
  <c r="AH9" i="30" s="1"/>
  <c r="B153" i="46"/>
  <c r="B161" i="46"/>
  <c r="H5" i="43" s="1"/>
  <c r="B169" i="46"/>
  <c r="A6" i="51" s="1"/>
  <c r="B177" i="46"/>
  <c r="I6" i="51" s="1"/>
  <c r="B185" i="46"/>
  <c r="A1" i="1" s="1"/>
  <c r="B193" i="46"/>
  <c r="B201" i="46"/>
  <c r="P7" i="1" s="1"/>
  <c r="B209" i="46"/>
  <c r="B217" i="46"/>
  <c r="A6" i="28" s="1"/>
  <c r="B225" i="46"/>
  <c r="A9" i="28" s="1"/>
  <c r="B233" i="46"/>
  <c r="L9" i="28" s="1"/>
  <c r="B241" i="46"/>
  <c r="B249" i="46"/>
  <c r="B257" i="46"/>
  <c r="B265" i="46"/>
  <c r="J4" i="19" s="1"/>
  <c r="B273" i="46"/>
  <c r="O4" i="19" s="1"/>
  <c r="B281" i="46"/>
  <c r="Z4" i="19" s="1"/>
  <c r="B289" i="46"/>
  <c r="J95" i="19" s="1"/>
  <c r="B297" i="46"/>
  <c r="B305" i="46"/>
  <c r="B313" i="46"/>
  <c r="B321" i="46"/>
  <c r="B329" i="46"/>
  <c r="B337" i="46"/>
  <c r="B345" i="46"/>
  <c r="B353" i="46"/>
  <c r="B362" i="46"/>
  <c r="A13" i="1" s="1"/>
  <c r="M100" i="19"/>
  <c r="D99" i="19"/>
  <c r="I7" i="49" s="1"/>
  <c r="B7" i="30"/>
  <c r="B10" i="55"/>
  <c r="R4" i="19"/>
  <c r="N7" i="49"/>
  <c r="Q99" i="19"/>
  <c r="H7" i="49" s="1"/>
  <c r="O7" i="49"/>
  <c r="M7" i="49"/>
  <c r="K7" i="49"/>
  <c r="O100" i="19"/>
  <c r="E99" i="19"/>
  <c r="F99" i="19" s="1"/>
  <c r="J7" i="49" s="1"/>
  <c r="G10" i="43"/>
  <c r="F10" i="43"/>
  <c r="E10" i="43"/>
  <c r="D10" i="43"/>
  <c r="N18" i="37"/>
  <c r="N5" i="37"/>
  <c r="A14" i="56"/>
  <c r="A2" i="55"/>
  <c r="W11" i="30"/>
  <c r="O11" i="30"/>
  <c r="D52" i="37"/>
  <c r="D11" i="37"/>
  <c r="A4" i="55"/>
  <c r="A17" i="56"/>
  <c r="AD11" i="30"/>
  <c r="V11" i="55"/>
  <c r="B156" i="46"/>
  <c r="B6" i="43" s="1"/>
  <c r="B164" i="46"/>
  <c r="J6" i="43" s="1"/>
  <c r="B172" i="46"/>
  <c r="C10" i="51" s="1"/>
  <c r="B180" i="46"/>
  <c r="K6" i="51" s="1"/>
  <c r="B188" i="46"/>
  <c r="A4" i="1" s="1"/>
  <c r="B196" i="46"/>
  <c r="C7" i="1" s="1"/>
  <c r="B204" i="46"/>
  <c r="W7" i="1" s="1"/>
  <c r="B212" i="46"/>
  <c r="B220" i="46"/>
  <c r="F5" i="28" s="1"/>
  <c r="B228" i="46"/>
  <c r="B236" i="46"/>
  <c r="B244" i="46"/>
  <c r="B252" i="46"/>
  <c r="N7" i="37" s="1"/>
  <c r="B260" i="46"/>
  <c r="D4" i="19" s="1"/>
  <c r="B268" i="46"/>
  <c r="M4" i="19" s="1"/>
  <c r="B276" i="46"/>
  <c r="U4" i="19" s="1"/>
  <c r="B284" i="46"/>
  <c r="D95" i="19" s="1"/>
  <c r="B292" i="46"/>
  <c r="B300" i="46"/>
  <c r="B308" i="46"/>
  <c r="B316" i="46"/>
  <c r="B324" i="46"/>
  <c r="B332" i="46"/>
  <c r="B340" i="46"/>
  <c r="B348" i="46"/>
  <c r="D117" i="19" s="1"/>
  <c r="K6" i="49"/>
  <c r="AA12" i="55"/>
  <c r="H96" i="19" s="1"/>
  <c r="L96" i="19" s="1"/>
  <c r="K5" i="49"/>
  <c r="G97" i="19"/>
  <c r="Q97" i="19"/>
  <c r="H5" i="49" s="1"/>
  <c r="N5" i="49"/>
  <c r="M6" i="49"/>
  <c r="D98" i="19"/>
  <c r="I6" i="49" s="1"/>
  <c r="O5" i="49"/>
  <c r="N6" i="49"/>
  <c r="E98" i="19"/>
  <c r="F98" i="19" s="1"/>
  <c r="J6" i="49" s="1"/>
  <c r="G98" i="19"/>
  <c r="O6" i="49"/>
  <c r="Q98" i="19"/>
  <c r="H6" i="49" s="1"/>
  <c r="K27" i="55"/>
  <c r="K28" i="55" s="1"/>
  <c r="K29" i="55" s="1"/>
  <c r="K30" i="55" s="1"/>
  <c r="K31" i="55" s="1"/>
  <c r="K32" i="55" s="1"/>
  <c r="K33" i="55" s="1"/>
  <c r="K34" i="55" s="1"/>
  <c r="K35" i="55" s="1"/>
  <c r="K36" i="55" s="1"/>
  <c r="K37" i="55" s="1"/>
  <c r="K38" i="55" s="1"/>
  <c r="K39" i="55" s="1"/>
  <c r="K40" i="55" s="1"/>
  <c r="K41" i="55" s="1"/>
  <c r="K42" i="55" s="1"/>
  <c r="K43" i="55" s="1"/>
  <c r="K44" i="55" s="1"/>
  <c r="K45" i="55" s="1"/>
  <c r="K46" i="55" s="1"/>
  <c r="K47" i="55" s="1"/>
  <c r="T26" i="55"/>
  <c r="B23" i="49"/>
  <c r="Y19" i="55"/>
  <c r="B22" i="49"/>
  <c r="J98" i="19"/>
  <c r="U33" i="55"/>
  <c r="G99" i="19" s="1"/>
  <c r="T33" i="55"/>
  <c r="U40" i="55"/>
  <c r="T40" i="55"/>
  <c r="U47" i="55"/>
  <c r="G118" i="19"/>
  <c r="B13" i="1" s="1"/>
  <c r="V13" i="1" s="1"/>
  <c r="K13" i="28" s="1"/>
  <c r="J99" i="19"/>
  <c r="Y40" i="55"/>
  <c r="Y47" i="55"/>
  <c r="T12" i="55"/>
  <c r="T19" i="55"/>
  <c r="Y26" i="55"/>
  <c r="A55" i="55"/>
  <c r="A101" i="55"/>
  <c r="D16" i="30"/>
  <c r="R19" i="30"/>
  <c r="X21" i="1"/>
  <c r="W21" i="1"/>
  <c r="R14" i="19" s="1"/>
  <c r="S24" i="1"/>
  <c r="L24" i="1"/>
  <c r="O25" i="30"/>
  <c r="J21" i="43"/>
  <c r="L28" i="1"/>
  <c r="L21" i="19" s="1"/>
  <c r="S28" i="1"/>
  <c r="J25" i="43"/>
  <c r="L31" i="1"/>
  <c r="S31" i="1"/>
  <c r="J28" i="43"/>
  <c r="O32" i="30"/>
  <c r="S33" i="1"/>
  <c r="L33" i="1"/>
  <c r="J30" i="43"/>
  <c r="R36" i="30"/>
  <c r="L36" i="1"/>
  <c r="L29" i="19" s="1"/>
  <c r="S36" i="1"/>
  <c r="J33" i="43"/>
  <c r="O37" i="30"/>
  <c r="T47" i="1"/>
  <c r="X40" i="19" s="1"/>
  <c r="R48" i="30"/>
  <c r="X76" i="1"/>
  <c r="W76" i="1"/>
  <c r="R69" i="19" s="1"/>
  <c r="W77" i="30"/>
  <c r="X14" i="1"/>
  <c r="W14" i="1"/>
  <c r="R7" i="19" s="1"/>
  <c r="S15" i="1"/>
  <c r="L15" i="1"/>
  <c r="J12" i="43"/>
  <c r="X22" i="1"/>
  <c r="M15" i="28" s="1"/>
  <c r="W22" i="1"/>
  <c r="R15" i="19" s="1"/>
  <c r="W23" i="30"/>
  <c r="L25" i="1"/>
  <c r="L18" i="19" s="1"/>
  <c r="S25" i="1"/>
  <c r="O26" i="30"/>
  <c r="J22" i="43"/>
  <c r="X27" i="1"/>
  <c r="M16" i="28" s="1"/>
  <c r="W27" i="1"/>
  <c r="R20" i="19" s="1"/>
  <c r="X29" i="1"/>
  <c r="W29" i="1"/>
  <c r="R22" i="19" s="1"/>
  <c r="W30" i="30"/>
  <c r="W32" i="1"/>
  <c r="R25" i="19" s="1"/>
  <c r="X32" i="1"/>
  <c r="M17" i="28" s="1"/>
  <c r="T33" i="1"/>
  <c r="R34" i="30"/>
  <c r="X40" i="1"/>
  <c r="W40" i="1"/>
  <c r="R33" i="19" s="1"/>
  <c r="L41" i="1"/>
  <c r="S41" i="1"/>
  <c r="J38" i="43"/>
  <c r="L52" i="1"/>
  <c r="S52" i="1"/>
  <c r="J49" i="43"/>
  <c r="C5" i="28"/>
  <c r="E1" i="1"/>
  <c r="W15" i="30"/>
  <c r="W16" i="30" s="1"/>
  <c r="O16" i="30"/>
  <c r="L14" i="28"/>
  <c r="T19" i="1"/>
  <c r="R20" i="30"/>
  <c r="X23" i="1"/>
  <c r="W23" i="1"/>
  <c r="R16" i="19" s="1"/>
  <c r="W24" i="30"/>
  <c r="S26" i="1"/>
  <c r="L26" i="1"/>
  <c r="L19" i="19" s="1"/>
  <c r="J23" i="43"/>
  <c r="O27" i="30"/>
  <c r="W28" i="30"/>
  <c r="X30" i="1"/>
  <c r="W30" i="1"/>
  <c r="R23" i="19" s="1"/>
  <c r="W31" i="30"/>
  <c r="W33" i="30"/>
  <c r="L34" i="1"/>
  <c r="L27" i="19" s="1"/>
  <c r="S34" i="1"/>
  <c r="J31" i="43"/>
  <c r="X35" i="1"/>
  <c r="W35" i="1"/>
  <c r="R28" i="19" s="1"/>
  <c r="W36" i="30"/>
  <c r="W41" i="30"/>
  <c r="O42" i="30"/>
  <c r="L48" i="1"/>
  <c r="S48" i="1"/>
  <c r="J45" i="43"/>
  <c r="X51" i="1"/>
  <c r="W51" i="1"/>
  <c r="R44" i="19" s="1"/>
  <c r="O53" i="30"/>
  <c r="L53" i="1"/>
  <c r="L46" i="19" s="1"/>
  <c r="S53" i="1"/>
  <c r="J50" i="43"/>
  <c r="T57" i="1"/>
  <c r="X50" i="19" s="1"/>
  <c r="R58" i="30"/>
  <c r="P16" i="30"/>
  <c r="X24" i="1"/>
  <c r="W24" i="1"/>
  <c r="R17" i="19" s="1"/>
  <c r="W25" i="30"/>
  <c r="W33" i="1"/>
  <c r="R26" i="19" s="1"/>
  <c r="X33" i="1"/>
  <c r="O35" i="30"/>
  <c r="L42" i="1"/>
  <c r="L35" i="19" s="1"/>
  <c r="S42" i="1"/>
  <c r="O43" i="30"/>
  <c r="J39" i="43"/>
  <c r="X47" i="1"/>
  <c r="M20" i="28" s="1"/>
  <c r="W47" i="1"/>
  <c r="R40" i="19" s="1"/>
  <c r="O49" i="30"/>
  <c r="L49" i="1"/>
  <c r="L42" i="19" s="1"/>
  <c r="S49" i="1"/>
  <c r="O50" i="30"/>
  <c r="J46" i="43"/>
  <c r="L50" i="1"/>
  <c r="S50" i="1"/>
  <c r="J47" i="43"/>
  <c r="O51" i="30"/>
  <c r="W52" i="30"/>
  <c r="X52" i="1"/>
  <c r="M21" i="28" s="1"/>
  <c r="W52" i="1"/>
  <c r="R45" i="19" s="1"/>
  <c r="O54" i="30"/>
  <c r="L54" i="1"/>
  <c r="S54" i="1"/>
  <c r="J51" i="43"/>
  <c r="L66" i="1"/>
  <c r="S66" i="1"/>
  <c r="J63" i="43"/>
  <c r="T68" i="1"/>
  <c r="R69" i="30"/>
  <c r="L73" i="1"/>
  <c r="S73" i="1"/>
  <c r="O74" i="30"/>
  <c r="J70" i="43"/>
  <c r="T21" i="1"/>
  <c r="R22" i="30"/>
  <c r="X25" i="1"/>
  <c r="W25" i="1"/>
  <c r="R18" i="19" s="1"/>
  <c r="W26" i="30"/>
  <c r="S35" i="1"/>
  <c r="L35" i="1"/>
  <c r="J32" i="43"/>
  <c r="T45" i="1"/>
  <c r="R46" i="30"/>
  <c r="X53" i="1"/>
  <c r="W53" i="1"/>
  <c r="R46" i="19" s="1"/>
  <c r="T54" i="1"/>
  <c r="H54" i="51" s="1"/>
  <c r="R55" i="30"/>
  <c r="L55" i="1"/>
  <c r="L48" i="19" s="1"/>
  <c r="S55" i="1"/>
  <c r="J52" i="43"/>
  <c r="O56" i="30"/>
  <c r="L58" i="1"/>
  <c r="L51" i="19" s="1"/>
  <c r="S58" i="1"/>
  <c r="J55" i="43"/>
  <c r="O59" i="30"/>
  <c r="L59" i="1"/>
  <c r="L52" i="19" s="1"/>
  <c r="S59" i="1"/>
  <c r="O60" i="30"/>
  <c r="J56" i="43"/>
  <c r="S60" i="1"/>
  <c r="L60" i="1"/>
  <c r="J57" i="43"/>
  <c r="O61" i="30"/>
  <c r="T63" i="1"/>
  <c r="R64" i="30"/>
  <c r="L64" i="1"/>
  <c r="S64" i="1"/>
  <c r="J61" i="43"/>
  <c r="L65" i="1"/>
  <c r="L58" i="19" s="1"/>
  <c r="S65" i="1"/>
  <c r="J62" i="43"/>
  <c r="O66" i="30"/>
  <c r="L72" i="1"/>
  <c r="L65" i="19" s="1"/>
  <c r="S72" i="1"/>
  <c r="O73" i="30"/>
  <c r="J69" i="43"/>
  <c r="L14" i="1"/>
  <c r="S14" i="1"/>
  <c r="J11" i="43"/>
  <c r="S16" i="1"/>
  <c r="O17" i="30"/>
  <c r="L16" i="1"/>
  <c r="L9" i="19" s="1"/>
  <c r="J13" i="43"/>
  <c r="X28" i="1"/>
  <c r="W28" i="1"/>
  <c r="R21" i="19" s="1"/>
  <c r="L29" i="1"/>
  <c r="S29" i="1"/>
  <c r="J26" i="43"/>
  <c r="W34" i="1"/>
  <c r="R27" i="19" s="1"/>
  <c r="X34" i="1"/>
  <c r="W38" i="1"/>
  <c r="R31" i="19" s="1"/>
  <c r="X38" i="1"/>
  <c r="S39" i="1"/>
  <c r="L39" i="1"/>
  <c r="J36" i="43"/>
  <c r="X41" i="1"/>
  <c r="W41" i="1"/>
  <c r="R34" i="19" s="1"/>
  <c r="W42" i="30"/>
  <c r="W48" i="1"/>
  <c r="R41" i="19" s="1"/>
  <c r="X48" i="1"/>
  <c r="W49" i="30"/>
  <c r="X49" i="1"/>
  <c r="W49" i="1"/>
  <c r="R42" i="19" s="1"/>
  <c r="W50" i="30"/>
  <c r="O65" i="30"/>
  <c r="X65" i="1"/>
  <c r="W65" i="1"/>
  <c r="R58" i="19" s="1"/>
  <c r="L70" i="1"/>
  <c r="S70" i="1"/>
  <c r="J67" i="43"/>
  <c r="O71" i="30"/>
  <c r="T71" i="1"/>
  <c r="R72" i="30"/>
  <c r="L77" i="1"/>
  <c r="S77" i="1"/>
  <c r="J74" i="43"/>
  <c r="O78" i="30"/>
  <c r="O15" i="30"/>
  <c r="AF15" i="30"/>
  <c r="X19" i="1"/>
  <c r="W19" i="1"/>
  <c r="R12" i="19" s="1"/>
  <c r="L20" i="1"/>
  <c r="L13" i="19" s="1"/>
  <c r="S20" i="1"/>
  <c r="J17" i="43"/>
  <c r="L27" i="1"/>
  <c r="S27" i="1"/>
  <c r="J24" i="43"/>
  <c r="W29" i="30"/>
  <c r="O30" i="30"/>
  <c r="W35" i="30"/>
  <c r="W39" i="30"/>
  <c r="O40" i="30"/>
  <c r="L40" i="1"/>
  <c r="L33" i="19" s="1"/>
  <c r="S40" i="1"/>
  <c r="J37" i="43"/>
  <c r="T46" i="1"/>
  <c r="R47" i="30"/>
  <c r="X54" i="1"/>
  <c r="W54" i="1"/>
  <c r="R47" i="19" s="1"/>
  <c r="W55" i="30"/>
  <c r="X57" i="1"/>
  <c r="M22" i="28" s="1"/>
  <c r="W57" i="1"/>
  <c r="R50" i="19" s="1"/>
  <c r="W58" i="30"/>
  <c r="X58" i="1"/>
  <c r="W58" i="1"/>
  <c r="R51" i="19" s="1"/>
  <c r="W59" i="30"/>
  <c r="X59" i="1"/>
  <c r="W59" i="1"/>
  <c r="R52" i="19" s="1"/>
  <c r="W60" i="30"/>
  <c r="X63" i="1"/>
  <c r="W63" i="1"/>
  <c r="R56" i="19" s="1"/>
  <c r="X64" i="1"/>
  <c r="W64" i="1"/>
  <c r="R57" i="19" s="1"/>
  <c r="W65" i="30"/>
  <c r="W66" i="30"/>
  <c r="R67" i="30"/>
  <c r="W71" i="1"/>
  <c r="R64" i="19" s="1"/>
  <c r="X71" i="1"/>
  <c r="W72" i="30"/>
  <c r="X72" i="1"/>
  <c r="M25" i="28" s="1"/>
  <c r="W72" i="1"/>
  <c r="R65" i="19" s="1"/>
  <c r="W73" i="30"/>
  <c r="P15" i="30"/>
  <c r="X15" i="1"/>
  <c r="W15" i="1"/>
  <c r="R8" i="19" s="1"/>
  <c r="W20" i="30"/>
  <c r="O21" i="30"/>
  <c r="L23" i="1"/>
  <c r="L16" i="19" s="1"/>
  <c r="S23" i="1"/>
  <c r="O24" i="30"/>
  <c r="J20" i="43"/>
  <c r="X26" i="1"/>
  <c r="W26" i="1"/>
  <c r="R19" i="19" s="1"/>
  <c r="O28" i="30"/>
  <c r="L30" i="1"/>
  <c r="L23" i="19" s="1"/>
  <c r="S30" i="1"/>
  <c r="O31" i="30"/>
  <c r="J27" i="43"/>
  <c r="R33" i="30"/>
  <c r="R38" i="30"/>
  <c r="X39" i="1"/>
  <c r="W39" i="1"/>
  <c r="R32" i="19" s="1"/>
  <c r="O41" i="30"/>
  <c r="T51" i="1"/>
  <c r="R52" i="30"/>
  <c r="W64" i="30"/>
  <c r="X69" i="1"/>
  <c r="W69" i="1"/>
  <c r="R62" i="19" s="1"/>
  <c r="W70" i="30"/>
  <c r="X45" i="1"/>
  <c r="W45" i="1"/>
  <c r="R38" i="19" s="1"/>
  <c r="L46" i="1"/>
  <c r="S46" i="1"/>
  <c r="W50" i="1"/>
  <c r="R43" i="19" s="1"/>
  <c r="X50" i="1"/>
  <c r="L51" i="1"/>
  <c r="L44" i="19" s="1"/>
  <c r="S51" i="1"/>
  <c r="X62" i="1"/>
  <c r="M23" i="28" s="1"/>
  <c r="W62" i="1"/>
  <c r="R55" i="19" s="1"/>
  <c r="L63" i="1"/>
  <c r="L56" i="19" s="1"/>
  <c r="S63" i="1"/>
  <c r="X67" i="1"/>
  <c r="M24" i="28" s="1"/>
  <c r="W67" i="1"/>
  <c r="R60" i="19" s="1"/>
  <c r="L68" i="1"/>
  <c r="S68" i="1"/>
  <c r="R70" i="30"/>
  <c r="R77" i="30"/>
  <c r="X81" i="1"/>
  <c r="W81" i="1"/>
  <c r="R74" i="19" s="1"/>
  <c r="L82" i="1"/>
  <c r="L75" i="19" s="1"/>
  <c r="S82" i="1"/>
  <c r="X84" i="1"/>
  <c r="W84" i="1"/>
  <c r="R77" i="19" s="1"/>
  <c r="S85" i="1"/>
  <c r="L85" i="1"/>
  <c r="X86" i="1"/>
  <c r="W86" i="1"/>
  <c r="R79" i="19" s="1"/>
  <c r="S87" i="1"/>
  <c r="L87" i="1"/>
  <c r="J84" i="43"/>
  <c r="BA12" i="19"/>
  <c r="BA23" i="19"/>
  <c r="BA31" i="19"/>
  <c r="BA39" i="19"/>
  <c r="BA47" i="19"/>
  <c r="BA55" i="19"/>
  <c r="D59" i="43" s="1"/>
  <c r="K59" i="43" s="1"/>
  <c r="BA63" i="19"/>
  <c r="F67" i="43" s="1"/>
  <c r="M67" i="43" s="1"/>
  <c r="BA71" i="19"/>
  <c r="BA79" i="19"/>
  <c r="BA82" i="19"/>
  <c r="BA85" i="19"/>
  <c r="X78" i="19"/>
  <c r="H85" i="51"/>
  <c r="X91" i="1"/>
  <c r="W91" i="1"/>
  <c r="R84" i="19" s="1"/>
  <c r="L92" i="1"/>
  <c r="L85" i="19" s="1"/>
  <c r="S92" i="1"/>
  <c r="X93" i="1"/>
  <c r="W93" i="1"/>
  <c r="R86" i="19" s="1"/>
  <c r="L94" i="1"/>
  <c r="L87" i="19" s="1"/>
  <c r="S94" i="1"/>
  <c r="J48" i="43"/>
  <c r="U23" i="1"/>
  <c r="U25" i="1"/>
  <c r="W73" i="1"/>
  <c r="R66" i="19" s="1"/>
  <c r="X73" i="1"/>
  <c r="L74" i="1"/>
  <c r="L67" i="19" s="1"/>
  <c r="S74" i="1"/>
  <c r="X78" i="1"/>
  <c r="W78" i="1"/>
  <c r="R71" i="19" s="1"/>
  <c r="L79" i="1"/>
  <c r="S79" i="1"/>
  <c r="W92" i="30"/>
  <c r="O93" i="30"/>
  <c r="W94" i="30"/>
  <c r="O95" i="30"/>
  <c r="E9" i="43"/>
  <c r="J43" i="43"/>
  <c r="J89" i="43"/>
  <c r="W16" i="1"/>
  <c r="R9" i="19" s="1"/>
  <c r="X16" i="1"/>
  <c r="L19" i="1"/>
  <c r="S19" i="1"/>
  <c r="X37" i="1"/>
  <c r="M18" i="28" s="1"/>
  <c r="W37" i="1"/>
  <c r="R30" i="19" s="1"/>
  <c r="L38" i="1"/>
  <c r="L31" i="19" s="1"/>
  <c r="S38" i="1"/>
  <c r="X42" i="1"/>
  <c r="M19" i="28" s="1"/>
  <c r="W42" i="1"/>
  <c r="R35" i="19" s="1"/>
  <c r="L43" i="1"/>
  <c r="S43" i="1"/>
  <c r="R45" i="30"/>
  <c r="R57" i="30"/>
  <c r="X61" i="1"/>
  <c r="W61" i="1"/>
  <c r="R54" i="19" s="1"/>
  <c r="S62" i="1"/>
  <c r="L62" i="1"/>
  <c r="X66" i="1"/>
  <c r="W66" i="1"/>
  <c r="R59" i="19" s="1"/>
  <c r="L67" i="1"/>
  <c r="L60" i="19" s="1"/>
  <c r="S67" i="1"/>
  <c r="W74" i="30"/>
  <c r="O75" i="30"/>
  <c r="R76" i="30"/>
  <c r="W79" i="30"/>
  <c r="O80" i="30"/>
  <c r="X80" i="1"/>
  <c r="W80" i="1"/>
  <c r="R73" i="19" s="1"/>
  <c r="L81" i="1"/>
  <c r="S81" i="1"/>
  <c r="X83" i="1"/>
  <c r="W83" i="1"/>
  <c r="R76" i="19" s="1"/>
  <c r="L84" i="1"/>
  <c r="L77" i="19" s="1"/>
  <c r="S84" i="1"/>
  <c r="R86" i="30"/>
  <c r="X88" i="1"/>
  <c r="W88" i="1"/>
  <c r="R81" i="19" s="1"/>
  <c r="L89" i="1"/>
  <c r="S89" i="1"/>
  <c r="X90" i="1"/>
  <c r="W90" i="1"/>
  <c r="R83" i="19" s="1"/>
  <c r="L91" i="1"/>
  <c r="S91" i="1"/>
  <c r="J88" i="43"/>
  <c r="X95" i="1"/>
  <c r="W95" i="1"/>
  <c r="R88" i="19" s="1"/>
  <c r="L96" i="1"/>
  <c r="S96" i="1"/>
  <c r="R98" i="30"/>
  <c r="F9" i="43"/>
  <c r="J78" i="43"/>
  <c r="U17" i="1"/>
  <c r="W18" i="1"/>
  <c r="R11" i="19" s="1"/>
  <c r="H43" i="51"/>
  <c r="X44" i="1"/>
  <c r="W44" i="1"/>
  <c r="R37" i="19" s="1"/>
  <c r="L45" i="1"/>
  <c r="S45" i="1"/>
  <c r="W46" i="1"/>
  <c r="R39" i="19" s="1"/>
  <c r="X46" i="1"/>
  <c r="L47" i="1"/>
  <c r="L40" i="19" s="1"/>
  <c r="S47" i="1"/>
  <c r="X56" i="1"/>
  <c r="W56" i="1"/>
  <c r="R49" i="19" s="1"/>
  <c r="L57" i="1"/>
  <c r="L50" i="19" s="1"/>
  <c r="S57" i="1"/>
  <c r="L24" i="28"/>
  <c r="H67" i="51"/>
  <c r="X68" i="1"/>
  <c r="W68" i="1"/>
  <c r="R61" i="19" s="1"/>
  <c r="L69" i="1"/>
  <c r="L62" i="19" s="1"/>
  <c r="S69" i="1"/>
  <c r="R83" i="30"/>
  <c r="X85" i="1"/>
  <c r="W85" i="1"/>
  <c r="R78" i="19" s="1"/>
  <c r="L86" i="1"/>
  <c r="L79" i="19" s="1"/>
  <c r="S86" i="1"/>
  <c r="R88" i="30"/>
  <c r="W96" i="30"/>
  <c r="O97" i="30"/>
  <c r="BA8" i="19"/>
  <c r="F12" i="43" s="1"/>
  <c r="M12" i="43" s="1"/>
  <c r="J14" i="43"/>
  <c r="BA19" i="19"/>
  <c r="BA27" i="19"/>
  <c r="BA35" i="19"/>
  <c r="BA51" i="19"/>
  <c r="BA59" i="19"/>
  <c r="J65" i="43"/>
  <c r="BA67" i="19"/>
  <c r="E71" i="43" s="1"/>
  <c r="L71" i="43" s="1"/>
  <c r="BA75" i="19"/>
  <c r="J81" i="43"/>
  <c r="S17" i="1"/>
  <c r="X70" i="1"/>
  <c r="W70" i="1"/>
  <c r="R63" i="19" s="1"/>
  <c r="L71" i="1"/>
  <c r="S71" i="1"/>
  <c r="X75" i="1"/>
  <c r="W75" i="1"/>
  <c r="R68" i="19" s="1"/>
  <c r="L76" i="1"/>
  <c r="L69" i="19" s="1"/>
  <c r="S76" i="1"/>
  <c r="X77" i="1"/>
  <c r="M26" i="28" s="1"/>
  <c r="W77" i="1"/>
  <c r="R70" i="19" s="1"/>
  <c r="L78" i="1"/>
  <c r="L71" i="19" s="1"/>
  <c r="S78" i="1"/>
  <c r="X87" i="1"/>
  <c r="M28" i="28" s="1"/>
  <c r="W87" i="1"/>
  <c r="R80" i="19" s="1"/>
  <c r="L88" i="1"/>
  <c r="L81" i="19" s="1"/>
  <c r="S88" i="1"/>
  <c r="X92" i="1"/>
  <c r="M29" i="28" s="1"/>
  <c r="W92" i="1"/>
  <c r="R85" i="19" s="1"/>
  <c r="L93" i="1"/>
  <c r="S93" i="1"/>
  <c r="X97" i="1"/>
  <c r="M30" i="28" s="1"/>
  <c r="W97" i="1"/>
  <c r="R90" i="19" s="1"/>
  <c r="BA11" i="19"/>
  <c r="BA22" i="19"/>
  <c r="BA30" i="19"/>
  <c r="BA38" i="19"/>
  <c r="J44" i="43"/>
  <c r="BA46" i="19"/>
  <c r="BA54" i="19"/>
  <c r="F58" i="43" s="1"/>
  <c r="M58" i="43" s="1"/>
  <c r="J60" i="43"/>
  <c r="BA62" i="19"/>
  <c r="J68" i="43"/>
  <c r="BA70" i="19"/>
  <c r="J76" i="43"/>
  <c r="J90" i="43"/>
  <c r="X17" i="1"/>
  <c r="M14" i="28" s="1"/>
  <c r="U20" i="1"/>
  <c r="U26" i="1"/>
  <c r="U28" i="1"/>
  <c r="X82" i="1"/>
  <c r="M27" i="28" s="1"/>
  <c r="W82" i="1"/>
  <c r="R75" i="19" s="1"/>
  <c r="S83" i="1"/>
  <c r="L83" i="1"/>
  <c r="W93" i="30"/>
  <c r="O94" i="30"/>
  <c r="W94" i="1"/>
  <c r="R87" i="19" s="1"/>
  <c r="X94" i="1"/>
  <c r="L95" i="1"/>
  <c r="L88" i="19" s="1"/>
  <c r="S95" i="1"/>
  <c r="J92" i="43"/>
  <c r="J71" i="43"/>
  <c r="J79" i="43"/>
  <c r="U16" i="1"/>
  <c r="L18" i="1"/>
  <c r="S18" i="1"/>
  <c r="X20" i="1"/>
  <c r="W20" i="1"/>
  <c r="R13" i="19" s="1"/>
  <c r="L21" i="1"/>
  <c r="L14" i="19" s="1"/>
  <c r="S21" i="1"/>
  <c r="X31" i="1"/>
  <c r="W31" i="1"/>
  <c r="R24" i="19" s="1"/>
  <c r="L32" i="1"/>
  <c r="L25" i="19" s="1"/>
  <c r="S32" i="1"/>
  <c r="W36" i="1"/>
  <c r="R29" i="19" s="1"/>
  <c r="X36" i="1"/>
  <c r="S37" i="1"/>
  <c r="L37" i="1"/>
  <c r="R39" i="30"/>
  <c r="X43" i="1"/>
  <c r="W43" i="1"/>
  <c r="R36" i="19" s="1"/>
  <c r="L44" i="1"/>
  <c r="L37" i="19" s="1"/>
  <c r="S44" i="1"/>
  <c r="X55" i="1"/>
  <c r="W55" i="1"/>
  <c r="R48" i="19" s="1"/>
  <c r="L56" i="1"/>
  <c r="S56" i="1"/>
  <c r="X60" i="1"/>
  <c r="W60" i="1"/>
  <c r="R53" i="19" s="1"/>
  <c r="L61" i="1"/>
  <c r="L54" i="19" s="1"/>
  <c r="S61" i="1"/>
  <c r="R63" i="30"/>
  <c r="X74" i="1"/>
  <c r="W74" i="1"/>
  <c r="R67" i="19" s="1"/>
  <c r="L75" i="1"/>
  <c r="L68" i="19" s="1"/>
  <c r="S75" i="1"/>
  <c r="X79" i="1"/>
  <c r="W79" i="1"/>
  <c r="R72" i="19" s="1"/>
  <c r="L80" i="1"/>
  <c r="L73" i="19" s="1"/>
  <c r="S80" i="1"/>
  <c r="R82" i="30"/>
  <c r="W83" i="30"/>
  <c r="O84" i="30"/>
  <c r="R85" i="30"/>
  <c r="R87" i="30"/>
  <c r="X89" i="1"/>
  <c r="W89" i="1"/>
  <c r="R82" i="19" s="1"/>
  <c r="L90" i="1"/>
  <c r="L83" i="19" s="1"/>
  <c r="S90" i="1"/>
  <c r="R92" i="30"/>
  <c r="W95" i="30"/>
  <c r="O96" i="30"/>
  <c r="W96" i="1"/>
  <c r="R89" i="19" s="1"/>
  <c r="X96" i="1"/>
  <c r="L97" i="1"/>
  <c r="L90" i="19" s="1"/>
  <c r="S97" i="1"/>
  <c r="J15" i="43"/>
  <c r="J34" i="43"/>
  <c r="BA36" i="19"/>
  <c r="J42" i="43"/>
  <c r="BA44" i="19"/>
  <c r="BA52" i="19"/>
  <c r="J58" i="43"/>
  <c r="BA60" i="19"/>
  <c r="J66" i="43"/>
  <c r="BA68" i="19"/>
  <c r="BA76" i="19"/>
  <c r="J82" i="43"/>
  <c r="J85" i="43"/>
  <c r="J18" i="51"/>
  <c r="U38" i="1"/>
  <c r="J36" i="51"/>
  <c r="U42" i="1"/>
  <c r="U47" i="1"/>
  <c r="U49" i="1"/>
  <c r="U51" i="1"/>
  <c r="U53" i="1"/>
  <c r="U55" i="1"/>
  <c r="U57" i="1"/>
  <c r="U59" i="1"/>
  <c r="U61" i="1"/>
  <c r="U63" i="1"/>
  <c r="U65" i="1"/>
  <c r="U67" i="1"/>
  <c r="U95" i="1"/>
  <c r="J24" i="51"/>
  <c r="BA90" i="19"/>
  <c r="J20" i="51"/>
  <c r="J30" i="51"/>
  <c r="U36" i="1"/>
  <c r="U44" i="1"/>
  <c r="U30" i="1"/>
  <c r="U34" i="1"/>
  <c r="U58" i="1"/>
  <c r="U72" i="1"/>
  <c r="U74" i="1"/>
  <c r="U76" i="1"/>
  <c r="U78" i="1"/>
  <c r="U80" i="1"/>
  <c r="U82" i="1"/>
  <c r="U86" i="1"/>
  <c r="U88" i="1"/>
  <c r="U92" i="1"/>
  <c r="U94" i="1"/>
  <c r="J19" i="51"/>
  <c r="J23" i="51"/>
  <c r="J31" i="51"/>
  <c r="U40" i="1"/>
  <c r="BA78" i="19"/>
  <c r="BA86" i="19"/>
  <c r="J29" i="51"/>
  <c r="J48" i="51"/>
  <c r="J50" i="1"/>
  <c r="J71" i="1"/>
  <c r="J96" i="51"/>
  <c r="J54" i="51"/>
  <c r="J58" i="51"/>
  <c r="J60" i="51"/>
  <c r="J41" i="51"/>
  <c r="J43" i="51"/>
  <c r="J66" i="51"/>
  <c r="J68" i="1"/>
  <c r="J70" i="51"/>
  <c r="J89" i="51"/>
  <c r="J34" i="51"/>
  <c r="J53" i="51"/>
  <c r="J80" i="1"/>
  <c r="J84" i="51"/>
  <c r="J44" i="1"/>
  <c r="J46" i="51"/>
  <c r="J65" i="51"/>
  <c r="J92" i="1"/>
  <c r="Z16" i="19"/>
  <c r="V11" i="19"/>
  <c r="S69" i="30"/>
  <c r="AW58" i="19"/>
  <c r="Z39" i="19"/>
  <c r="Z58" i="19"/>
  <c r="S28" i="30"/>
  <c r="Q78" i="30"/>
  <c r="AF76" i="19"/>
  <c r="AG76" i="19" s="1"/>
  <c r="AH76" i="19" s="1"/>
  <c r="AI76" i="19" s="1"/>
  <c r="AJ76" i="19" s="1"/>
  <c r="AK76" i="19" s="1"/>
  <c r="AL76" i="19" s="1"/>
  <c r="S18" i="30"/>
  <c r="V14" i="1"/>
  <c r="J14" i="51" s="1"/>
  <c r="V55" i="19"/>
  <c r="S90" i="30"/>
  <c r="Q93" i="30"/>
  <c r="S93" i="30"/>
  <c r="AW45" i="19"/>
  <c r="AW48" i="19"/>
  <c r="AF44" i="19"/>
  <c r="AG44" i="19" s="1"/>
  <c r="AH44" i="19" s="1"/>
  <c r="AI44" i="19" s="1"/>
  <c r="AJ44" i="19" s="1"/>
  <c r="AK44" i="19" s="1"/>
  <c r="AL44" i="19" s="1"/>
  <c r="Z30" i="19"/>
  <c r="AT46" i="19"/>
  <c r="AW18" i="19"/>
  <c r="S78" i="30"/>
  <c r="S34" i="30"/>
  <c r="AW41" i="19"/>
  <c r="AW71" i="19"/>
  <c r="Z23" i="19"/>
  <c r="Z77" i="19"/>
  <c r="Z10" i="19"/>
  <c r="AF65" i="19"/>
  <c r="AG65" i="19" s="1"/>
  <c r="AH65" i="19" s="1"/>
  <c r="AI65" i="19" s="1"/>
  <c r="AJ65" i="19" s="1"/>
  <c r="AK65" i="19" s="1"/>
  <c r="AL65" i="19" s="1"/>
  <c r="AF77" i="19"/>
  <c r="AG77" i="19" s="1"/>
  <c r="AH77" i="19" s="1"/>
  <c r="AI77" i="19" s="1"/>
  <c r="AJ77" i="19" s="1"/>
  <c r="AK77" i="19" s="1"/>
  <c r="AL77" i="19" s="1"/>
  <c r="AW43" i="19"/>
  <c r="AT39" i="19"/>
  <c r="AT49" i="19"/>
  <c r="AF80" i="19"/>
  <c r="AG80" i="19" s="1"/>
  <c r="AH80" i="19" s="1"/>
  <c r="AI80" i="19" s="1"/>
  <c r="AJ80" i="19" s="1"/>
  <c r="AK80" i="19" s="1"/>
  <c r="AL80" i="19" s="1"/>
  <c r="AF10" i="19"/>
  <c r="AG10" i="19" s="1"/>
  <c r="AH10" i="19" s="1"/>
  <c r="AI10" i="19" s="1"/>
  <c r="AJ10" i="19" s="1"/>
  <c r="AK10" i="19" s="1"/>
  <c r="AL10" i="19" s="1"/>
  <c r="S41" i="30"/>
  <c r="AT26" i="19"/>
  <c r="AW75" i="19"/>
  <c r="Q43" i="30"/>
  <c r="V23" i="19"/>
  <c r="S63" i="30"/>
  <c r="S29" i="30"/>
  <c r="Z7" i="19"/>
  <c r="S23" i="30"/>
  <c r="S57" i="30"/>
  <c r="S94" i="30"/>
  <c r="AW29" i="19"/>
  <c r="AF40" i="19"/>
  <c r="AG40" i="19" s="1"/>
  <c r="AH40" i="19" s="1"/>
  <c r="AI40" i="19" s="1"/>
  <c r="AJ40" i="19" s="1"/>
  <c r="AK40" i="19" s="1"/>
  <c r="AL40" i="19" s="1"/>
  <c r="V41" i="19"/>
  <c r="V47" i="19"/>
  <c r="Z51" i="19"/>
  <c r="J62" i="51"/>
  <c r="Z24" i="19"/>
  <c r="Z11" i="19"/>
  <c r="AW28" i="19"/>
  <c r="Q23" i="30"/>
  <c r="Z46" i="19"/>
  <c r="AW53" i="19"/>
  <c r="S44" i="30"/>
  <c r="S79" i="30"/>
  <c r="Z20" i="19"/>
  <c r="Z35" i="19"/>
  <c r="AT53" i="19"/>
  <c r="Z70" i="19"/>
  <c r="S38" i="30"/>
  <c r="Q73" i="30"/>
  <c r="AW24" i="19"/>
  <c r="AF35" i="19"/>
  <c r="AG35" i="19" s="1"/>
  <c r="AH35" i="19" s="1"/>
  <c r="AI35" i="19" s="1"/>
  <c r="AJ35" i="19" s="1"/>
  <c r="AK35" i="19" s="1"/>
  <c r="AL35" i="19" s="1"/>
  <c r="AW39" i="19"/>
  <c r="AW44" i="19"/>
  <c r="Z73" i="19"/>
  <c r="Z74" i="19"/>
  <c r="AW77" i="19"/>
  <c r="Q18" i="30"/>
  <c r="Z52" i="19"/>
  <c r="Z15" i="19"/>
  <c r="V16" i="19"/>
  <c r="AW40" i="19"/>
  <c r="AF47" i="19"/>
  <c r="AG47" i="19" s="1"/>
  <c r="AH47" i="19" s="1"/>
  <c r="AI47" i="19" s="1"/>
  <c r="AJ47" i="19" s="1"/>
  <c r="AK47" i="19" s="1"/>
  <c r="AL47" i="19" s="1"/>
  <c r="AM28" i="19"/>
  <c r="AN28" i="19" s="1"/>
  <c r="AO28" i="19" s="1"/>
  <c r="AP28" i="19" s="1"/>
  <c r="AQ28" i="19" s="1"/>
  <c r="AR28" i="19" s="1"/>
  <c r="AS28" i="19" s="1"/>
  <c r="Q33" i="30"/>
  <c r="S53" i="30"/>
  <c r="AF22" i="19"/>
  <c r="AG22" i="19" s="1"/>
  <c r="AH22" i="19" s="1"/>
  <c r="AI22" i="19" s="1"/>
  <c r="AJ22" i="19" s="1"/>
  <c r="AK22" i="19" s="1"/>
  <c r="AL22" i="19" s="1"/>
  <c r="AW32" i="19"/>
  <c r="Z55" i="19"/>
  <c r="AT62" i="19"/>
  <c r="Q48" i="30"/>
  <c r="Q68" i="30"/>
  <c r="AW35" i="19"/>
  <c r="AW47" i="19"/>
  <c r="AF15" i="19"/>
  <c r="AG15" i="19" s="1"/>
  <c r="AH15" i="19" s="1"/>
  <c r="AI15" i="19" s="1"/>
  <c r="AJ15" i="19" s="1"/>
  <c r="AK15" i="19" s="1"/>
  <c r="AL15" i="19" s="1"/>
  <c r="AW22" i="19"/>
  <c r="AF29" i="19"/>
  <c r="AG29" i="19" s="1"/>
  <c r="AH29" i="19" s="1"/>
  <c r="AI29" i="19" s="1"/>
  <c r="AJ29" i="19" s="1"/>
  <c r="AK29" i="19" s="1"/>
  <c r="AL29" i="19" s="1"/>
  <c r="O55" i="55"/>
  <c r="J63" i="51"/>
  <c r="V56" i="19"/>
  <c r="V53" i="19"/>
  <c r="Z83" i="19"/>
  <c r="J74" i="1"/>
  <c r="V56" i="1"/>
  <c r="V12" i="19"/>
  <c r="AW82" i="19"/>
  <c r="J39" i="51"/>
  <c r="V32" i="19"/>
  <c r="AT9" i="19"/>
  <c r="AT25" i="19"/>
  <c r="AT36" i="19"/>
  <c r="AW46" i="19"/>
  <c r="V51" i="19"/>
  <c r="AF56" i="19"/>
  <c r="AG56" i="19" s="1"/>
  <c r="AH56" i="19" s="1"/>
  <c r="AI56" i="19" s="1"/>
  <c r="AJ56" i="19" s="1"/>
  <c r="AK56" i="19" s="1"/>
  <c r="AL56" i="19" s="1"/>
  <c r="AW62" i="19"/>
  <c r="AW64" i="19"/>
  <c r="Q38" i="30"/>
  <c r="V13" i="19"/>
  <c r="AT28" i="19"/>
  <c r="AW30" i="19"/>
  <c r="AW36" i="19"/>
  <c r="Z37" i="19"/>
  <c r="AW52" i="19"/>
  <c r="Z53" i="19"/>
  <c r="AW79" i="19"/>
  <c r="I27" i="28"/>
  <c r="AF16" i="19"/>
  <c r="AG16" i="19" s="1"/>
  <c r="AH16" i="19" s="1"/>
  <c r="AI16" i="19" s="1"/>
  <c r="AJ16" i="19" s="1"/>
  <c r="AK16" i="19" s="1"/>
  <c r="AL16" i="19" s="1"/>
  <c r="AW11" i="19"/>
  <c r="AW19" i="19"/>
  <c r="AW9" i="19"/>
  <c r="AW14" i="19"/>
  <c r="AW25" i="19"/>
  <c r="V58" i="19"/>
  <c r="Z66" i="19"/>
  <c r="AW68" i="19"/>
  <c r="AF70" i="19"/>
  <c r="AG70" i="19" s="1"/>
  <c r="AH70" i="19" s="1"/>
  <c r="AI70" i="19" s="1"/>
  <c r="AJ70" i="19" s="1"/>
  <c r="AK70" i="19" s="1"/>
  <c r="AL70" i="19" s="1"/>
  <c r="AM77" i="19"/>
  <c r="AN77" i="19" s="1"/>
  <c r="AO77" i="19" s="1"/>
  <c r="AP77" i="19" s="1"/>
  <c r="AQ77" i="19" s="1"/>
  <c r="AR77" i="19" s="1"/>
  <c r="AS77" i="19" s="1"/>
  <c r="AF81" i="19"/>
  <c r="AG81" i="19" s="1"/>
  <c r="AH81" i="19" s="1"/>
  <c r="AI81" i="19" s="1"/>
  <c r="AJ81" i="19" s="1"/>
  <c r="AK81" i="19" s="1"/>
  <c r="AL81" i="19" s="1"/>
  <c r="AW21" i="19"/>
  <c r="AF33" i="19"/>
  <c r="AG33" i="19" s="1"/>
  <c r="AH33" i="19" s="1"/>
  <c r="AI33" i="19" s="1"/>
  <c r="AJ33" i="19" s="1"/>
  <c r="AK33" i="19" s="1"/>
  <c r="AL33" i="19" s="1"/>
  <c r="AM35" i="19"/>
  <c r="AN35" i="19" s="1"/>
  <c r="AO35" i="19" s="1"/>
  <c r="AP35" i="19" s="1"/>
  <c r="AQ35" i="19" s="1"/>
  <c r="AR35" i="19" s="1"/>
  <c r="AS35" i="19" s="1"/>
  <c r="AF41" i="19"/>
  <c r="AG41" i="19" s="1"/>
  <c r="AH41" i="19" s="1"/>
  <c r="AI41" i="19" s="1"/>
  <c r="AJ41" i="19" s="1"/>
  <c r="AK41" i="19" s="1"/>
  <c r="AL41" i="19" s="1"/>
  <c r="AW49" i="19"/>
  <c r="AM53" i="19"/>
  <c r="AN53" i="19" s="1"/>
  <c r="AO53" i="19" s="1"/>
  <c r="AP53" i="19" s="1"/>
  <c r="AQ53" i="19" s="1"/>
  <c r="AR53" i="19" s="1"/>
  <c r="AS53" i="19" s="1"/>
  <c r="AW66" i="19"/>
  <c r="J39" i="1"/>
  <c r="J95" i="1"/>
  <c r="AW16" i="19"/>
  <c r="AM18" i="19"/>
  <c r="AN18" i="19" s="1"/>
  <c r="AO18" i="19" s="1"/>
  <c r="AP18" i="19" s="1"/>
  <c r="AQ18" i="19" s="1"/>
  <c r="AR18" i="19" s="1"/>
  <c r="AS18" i="19" s="1"/>
  <c r="Z27" i="19"/>
  <c r="AM29" i="19"/>
  <c r="AN29" i="19" s="1"/>
  <c r="AO29" i="19" s="1"/>
  <c r="AP29" i="19" s="1"/>
  <c r="AQ29" i="19" s="1"/>
  <c r="AR29" i="19" s="1"/>
  <c r="AS29" i="19" s="1"/>
  <c r="AF51" i="19"/>
  <c r="AG51" i="19" s="1"/>
  <c r="AH51" i="19" s="1"/>
  <c r="AI51" i="19" s="1"/>
  <c r="AJ51" i="19" s="1"/>
  <c r="AK51" i="19" s="1"/>
  <c r="AL51" i="19" s="1"/>
  <c r="AW56" i="19"/>
  <c r="Q28" i="30"/>
  <c r="J85" i="1"/>
  <c r="AT27" i="19"/>
  <c r="AM39" i="19"/>
  <c r="AN39" i="19" s="1"/>
  <c r="AO39" i="19" s="1"/>
  <c r="AP39" i="19" s="1"/>
  <c r="AQ39" i="19" s="1"/>
  <c r="AR39" i="19" s="1"/>
  <c r="AS39" i="19" s="1"/>
  <c r="AM48" i="19"/>
  <c r="AN48" i="19" s="1"/>
  <c r="AO48" i="19" s="1"/>
  <c r="AP48" i="19" s="1"/>
  <c r="AQ48" i="19" s="1"/>
  <c r="AR48" i="19" s="1"/>
  <c r="AS48" i="19" s="1"/>
  <c r="AT60" i="19"/>
  <c r="AW73" i="19"/>
  <c r="V32" i="1"/>
  <c r="J32" i="51" s="1"/>
  <c r="J62" i="1"/>
  <c r="AF19" i="19"/>
  <c r="AG19" i="19" s="1"/>
  <c r="AH19" i="19" s="1"/>
  <c r="AI19" i="19" s="1"/>
  <c r="AJ19" i="19" s="1"/>
  <c r="AK19" i="19" s="1"/>
  <c r="AL19" i="19" s="1"/>
  <c r="AW27" i="19"/>
  <c r="AF30" i="19"/>
  <c r="AG30" i="19" s="1"/>
  <c r="AH30" i="19" s="1"/>
  <c r="AI30" i="19" s="1"/>
  <c r="AJ30" i="19" s="1"/>
  <c r="AK30" i="19" s="1"/>
  <c r="AL30" i="19" s="1"/>
  <c r="Z34" i="19"/>
  <c r="AT78" i="19"/>
  <c r="Z79" i="19"/>
  <c r="J51" i="1"/>
  <c r="AM19" i="19"/>
  <c r="AN19" i="19" s="1"/>
  <c r="AO19" i="19" s="1"/>
  <c r="AP19" i="19" s="1"/>
  <c r="AQ19" i="19" s="1"/>
  <c r="AR19" i="19" s="1"/>
  <c r="AS19" i="19" s="1"/>
  <c r="AM30" i="19"/>
  <c r="AN30" i="19" s="1"/>
  <c r="AO30" i="19" s="1"/>
  <c r="AP30" i="19" s="1"/>
  <c r="AQ30" i="19" s="1"/>
  <c r="AR30" i="19" s="1"/>
  <c r="AS30" i="19" s="1"/>
  <c r="AF34" i="19"/>
  <c r="AG34" i="19" s="1"/>
  <c r="AH34" i="19" s="1"/>
  <c r="AI34" i="19" s="1"/>
  <c r="AJ34" i="19" s="1"/>
  <c r="AK34" i="19" s="1"/>
  <c r="AL34" i="19" s="1"/>
  <c r="AF61" i="19"/>
  <c r="AG61" i="19" s="1"/>
  <c r="AH61" i="19" s="1"/>
  <c r="AI61" i="19" s="1"/>
  <c r="AJ61" i="19" s="1"/>
  <c r="AK61" i="19" s="1"/>
  <c r="AL61" i="19" s="1"/>
  <c r="AF64" i="19"/>
  <c r="AG64" i="19" s="1"/>
  <c r="AH64" i="19" s="1"/>
  <c r="AI64" i="19" s="1"/>
  <c r="AJ64" i="19" s="1"/>
  <c r="AK64" i="19" s="1"/>
  <c r="AL64" i="19" s="1"/>
  <c r="AT68" i="19"/>
  <c r="V77" i="19"/>
  <c r="AF79" i="19"/>
  <c r="AG79" i="19" s="1"/>
  <c r="AH79" i="19" s="1"/>
  <c r="AI79" i="19" s="1"/>
  <c r="AJ79" i="19" s="1"/>
  <c r="AK79" i="19" s="1"/>
  <c r="AL79" i="19" s="1"/>
  <c r="V35" i="1"/>
  <c r="AF52" i="19"/>
  <c r="AG52" i="19" s="1"/>
  <c r="AH52" i="19" s="1"/>
  <c r="AI52" i="19" s="1"/>
  <c r="AJ52" i="19" s="1"/>
  <c r="AK52" i="19" s="1"/>
  <c r="AL52" i="19" s="1"/>
  <c r="V15" i="1"/>
  <c r="AF11" i="19"/>
  <c r="AG11" i="19" s="1"/>
  <c r="AH11" i="19" s="1"/>
  <c r="AI11" i="19" s="1"/>
  <c r="AJ11" i="19" s="1"/>
  <c r="AK11" i="19" s="1"/>
  <c r="AL11" i="19" s="1"/>
  <c r="V22" i="19"/>
  <c r="AM11" i="19"/>
  <c r="AN11" i="19" s="1"/>
  <c r="AO11" i="19" s="1"/>
  <c r="AP11" i="19" s="1"/>
  <c r="AQ11" i="19" s="1"/>
  <c r="AR11" i="19" s="1"/>
  <c r="AS11" i="19" s="1"/>
  <c r="AW13" i="19"/>
  <c r="AW34" i="19"/>
  <c r="AM36" i="19"/>
  <c r="AN36" i="19" s="1"/>
  <c r="AO36" i="19" s="1"/>
  <c r="AP36" i="19" s="1"/>
  <c r="AQ36" i="19" s="1"/>
  <c r="AR36" i="19" s="1"/>
  <c r="AS36" i="19" s="1"/>
  <c r="AT58" i="19"/>
  <c r="AW60" i="19"/>
  <c r="AW67" i="19"/>
  <c r="AF69" i="19"/>
  <c r="AG69" i="19" s="1"/>
  <c r="AH69" i="19" s="1"/>
  <c r="AI69" i="19" s="1"/>
  <c r="AJ69" i="19" s="1"/>
  <c r="AK69" i="19" s="1"/>
  <c r="AL69" i="19" s="1"/>
  <c r="J51" i="51"/>
  <c r="V44" i="19"/>
  <c r="V67" i="19"/>
  <c r="J74" i="51"/>
  <c r="V68" i="19"/>
  <c r="J75" i="51"/>
  <c r="I24" i="28"/>
  <c r="AW85" i="19"/>
  <c r="V80" i="1"/>
  <c r="V73" i="19" s="1"/>
  <c r="AW88" i="19"/>
  <c r="J73" i="1"/>
  <c r="V83" i="1"/>
  <c r="AW84" i="19"/>
  <c r="V44" i="1"/>
  <c r="V27" i="1"/>
  <c r="V61" i="1"/>
  <c r="V68" i="1"/>
  <c r="J75" i="1"/>
  <c r="V86" i="1"/>
  <c r="V50" i="1"/>
  <c r="V92" i="1"/>
  <c r="J92" i="51" s="1"/>
  <c r="AF89" i="19"/>
  <c r="AG89" i="19" s="1"/>
  <c r="AH89" i="19" s="1"/>
  <c r="AI89" i="19" s="1"/>
  <c r="AJ89" i="19" s="1"/>
  <c r="AK89" i="19" s="1"/>
  <c r="AL89" i="19" s="1"/>
  <c r="J47" i="1"/>
  <c r="I30" i="28"/>
  <c r="AW7" i="19"/>
  <c r="AX7" i="19" s="1"/>
  <c r="AF42" i="19"/>
  <c r="AG42" i="19" s="1"/>
  <c r="AH42" i="19" s="1"/>
  <c r="AI42" i="19" s="1"/>
  <c r="AJ42" i="19" s="1"/>
  <c r="AK42" i="19" s="1"/>
  <c r="AL42" i="19" s="1"/>
  <c r="AW42" i="19"/>
  <c r="AT42" i="19"/>
  <c r="AW57" i="19"/>
  <c r="AM57" i="19"/>
  <c r="AN57" i="19" s="1"/>
  <c r="AO57" i="19" s="1"/>
  <c r="AP57" i="19" s="1"/>
  <c r="AQ57" i="19" s="1"/>
  <c r="AR57" i="19" s="1"/>
  <c r="AS57" i="19" s="1"/>
  <c r="AM37" i="19"/>
  <c r="AN37" i="19" s="1"/>
  <c r="AO37" i="19" s="1"/>
  <c r="AP37" i="19" s="1"/>
  <c r="AQ37" i="19" s="1"/>
  <c r="AR37" i="19" s="1"/>
  <c r="AS37" i="19" s="1"/>
  <c r="AW37" i="19"/>
  <c r="F44" i="43"/>
  <c r="M44" i="43" s="1"/>
  <c r="E44" i="43"/>
  <c r="L44" i="43" s="1"/>
  <c r="D44" i="43"/>
  <c r="K44" i="43" s="1"/>
  <c r="AW89" i="19"/>
  <c r="AM89" i="19"/>
  <c r="AN89" i="19" s="1"/>
  <c r="AO89" i="19" s="1"/>
  <c r="AP89" i="19" s="1"/>
  <c r="AQ89" i="19" s="1"/>
  <c r="AR89" i="19" s="1"/>
  <c r="AS89" i="19" s="1"/>
  <c r="AW8" i="19"/>
  <c r="AT8" i="19"/>
  <c r="AU8" i="19" s="1"/>
  <c r="AU9" i="19" s="1"/>
  <c r="AU10" i="19" s="1"/>
  <c r="AU11" i="19" s="1"/>
  <c r="AU12" i="19" s="1"/>
  <c r="AU13" i="19" s="1"/>
  <c r="AU14" i="19" s="1"/>
  <c r="AU15" i="19" s="1"/>
  <c r="AU16" i="19" s="1"/>
  <c r="AF20" i="19"/>
  <c r="AG20" i="19" s="1"/>
  <c r="AH20" i="19" s="1"/>
  <c r="AI20" i="19" s="1"/>
  <c r="AJ20" i="19" s="1"/>
  <c r="AK20" i="19" s="1"/>
  <c r="AL20" i="19" s="1"/>
  <c r="AW20" i="19"/>
  <c r="AT20" i="19"/>
  <c r="AF31" i="19"/>
  <c r="AG31" i="19" s="1"/>
  <c r="AH31" i="19" s="1"/>
  <c r="AI31" i="19" s="1"/>
  <c r="AJ31" i="19" s="1"/>
  <c r="AK31" i="19" s="1"/>
  <c r="AL31" i="19" s="1"/>
  <c r="AW31" i="19"/>
  <c r="AT31" i="19"/>
  <c r="F30" i="43"/>
  <c r="M30" i="43" s="1"/>
  <c r="D30" i="43"/>
  <c r="K30" i="43" s="1"/>
  <c r="E30" i="43"/>
  <c r="L30" i="43" s="1"/>
  <c r="AM26" i="19"/>
  <c r="AN26" i="19" s="1"/>
  <c r="AO26" i="19" s="1"/>
  <c r="AP26" i="19" s="1"/>
  <c r="AQ26" i="19" s="1"/>
  <c r="AR26" i="19" s="1"/>
  <c r="AS26" i="19" s="1"/>
  <c r="AW26" i="19"/>
  <c r="AW78" i="19"/>
  <c r="AM78" i="19"/>
  <c r="AN78" i="19" s="1"/>
  <c r="AO78" i="19" s="1"/>
  <c r="AP78" i="19" s="1"/>
  <c r="AQ78" i="19" s="1"/>
  <c r="AR78" i="19" s="1"/>
  <c r="AS78" i="19" s="1"/>
  <c r="AM14" i="19"/>
  <c r="AN14" i="19" s="1"/>
  <c r="AO14" i="19" s="1"/>
  <c r="AP14" i="19" s="1"/>
  <c r="AQ14" i="19" s="1"/>
  <c r="AR14" i="19" s="1"/>
  <c r="AS14" i="19" s="1"/>
  <c r="F25" i="43"/>
  <c r="M25" i="43" s="1"/>
  <c r="E25" i="43"/>
  <c r="L25" i="43" s="1"/>
  <c r="D25" i="43"/>
  <c r="K25" i="43" s="1"/>
  <c r="AM24" i="19"/>
  <c r="AN24" i="19" s="1"/>
  <c r="AO24" i="19" s="1"/>
  <c r="AP24" i="19" s="1"/>
  <c r="AQ24" i="19" s="1"/>
  <c r="AR24" i="19" s="1"/>
  <c r="AS24" i="19" s="1"/>
  <c r="AW50" i="19"/>
  <c r="F56" i="43"/>
  <c r="M56" i="43" s="1"/>
  <c r="E56" i="43"/>
  <c r="L56" i="43" s="1"/>
  <c r="D56" i="43"/>
  <c r="K56" i="43" s="1"/>
  <c r="F16" i="43"/>
  <c r="M16" i="43" s="1"/>
  <c r="E16" i="43"/>
  <c r="L16" i="43" s="1"/>
  <c r="D16" i="43"/>
  <c r="K16" i="43" s="1"/>
  <c r="AM7" i="19"/>
  <c r="AT17" i="19"/>
  <c r="F22" i="43"/>
  <c r="M22" i="43" s="1"/>
  <c r="E22" i="43"/>
  <c r="L22" i="43" s="1"/>
  <c r="D22" i="43"/>
  <c r="K22" i="43" s="1"/>
  <c r="AW23" i="19"/>
  <c r="F33" i="43"/>
  <c r="M33" i="43" s="1"/>
  <c r="E33" i="43"/>
  <c r="L33" i="43" s="1"/>
  <c r="D33" i="43"/>
  <c r="K33" i="43" s="1"/>
  <c r="F36" i="43"/>
  <c r="M36" i="43" s="1"/>
  <c r="E36" i="43"/>
  <c r="L36" i="43" s="1"/>
  <c r="D36" i="43"/>
  <c r="K36" i="43" s="1"/>
  <c r="F47" i="43"/>
  <c r="M47" i="43" s="1"/>
  <c r="E47" i="43"/>
  <c r="L47" i="43" s="1"/>
  <c r="D47" i="43"/>
  <c r="K47" i="43" s="1"/>
  <c r="F54" i="43"/>
  <c r="M54" i="43" s="1"/>
  <c r="D54" i="43"/>
  <c r="K54" i="43" s="1"/>
  <c r="E54" i="43"/>
  <c r="L54" i="43" s="1"/>
  <c r="AF54" i="19"/>
  <c r="AG54" i="19" s="1"/>
  <c r="AH54" i="19" s="1"/>
  <c r="AI54" i="19" s="1"/>
  <c r="AJ54" i="19" s="1"/>
  <c r="AK54" i="19" s="1"/>
  <c r="AL54" i="19" s="1"/>
  <c r="F69" i="43"/>
  <c r="M69" i="43" s="1"/>
  <c r="E69" i="43"/>
  <c r="L69" i="43" s="1"/>
  <c r="D69" i="43"/>
  <c r="K69" i="43" s="1"/>
  <c r="F74" i="43"/>
  <c r="M74" i="43" s="1"/>
  <c r="E74" i="43"/>
  <c r="L74" i="43" s="1"/>
  <c r="D74" i="43"/>
  <c r="K74" i="43" s="1"/>
  <c r="AT85" i="19"/>
  <c r="AF85" i="19"/>
  <c r="AG85" i="19" s="1"/>
  <c r="AH85" i="19" s="1"/>
  <c r="AI85" i="19" s="1"/>
  <c r="AJ85" i="19" s="1"/>
  <c r="AK85" i="19" s="1"/>
  <c r="AL85" i="19" s="1"/>
  <c r="AW17" i="19"/>
  <c r="F27" i="43"/>
  <c r="M27" i="43" s="1"/>
  <c r="E27" i="43"/>
  <c r="L27" i="43" s="1"/>
  <c r="D27" i="43"/>
  <c r="K27" i="43" s="1"/>
  <c r="E41" i="43"/>
  <c r="L41" i="43" s="1"/>
  <c r="F41" i="43"/>
  <c r="M41" i="43" s="1"/>
  <c r="D41" i="43"/>
  <c r="K41" i="43" s="1"/>
  <c r="AM45" i="19"/>
  <c r="AN45" i="19" s="1"/>
  <c r="AO45" i="19" s="1"/>
  <c r="AP45" i="19" s="1"/>
  <c r="AQ45" i="19" s="1"/>
  <c r="AR45" i="19" s="1"/>
  <c r="AS45" i="19" s="1"/>
  <c r="F50" i="43"/>
  <c r="M50" i="43" s="1"/>
  <c r="E50" i="43"/>
  <c r="L50" i="43" s="1"/>
  <c r="D50" i="43"/>
  <c r="K50" i="43" s="1"/>
  <c r="F51" i="43"/>
  <c r="M51" i="43" s="1"/>
  <c r="E51" i="43"/>
  <c r="L51" i="43" s="1"/>
  <c r="D51" i="43"/>
  <c r="K51" i="43" s="1"/>
  <c r="AT55" i="19"/>
  <c r="AF55" i="19"/>
  <c r="AG55" i="19" s="1"/>
  <c r="AH55" i="19" s="1"/>
  <c r="AI55" i="19" s="1"/>
  <c r="AJ55" i="19" s="1"/>
  <c r="AK55" i="19" s="1"/>
  <c r="AL55" i="19" s="1"/>
  <c r="AT74" i="19"/>
  <c r="AF74" i="19"/>
  <c r="AG74" i="19" s="1"/>
  <c r="AH74" i="19" s="1"/>
  <c r="AI74" i="19" s="1"/>
  <c r="AJ74" i="19" s="1"/>
  <c r="AK74" i="19" s="1"/>
  <c r="AL74" i="19" s="1"/>
  <c r="AW74" i="19"/>
  <c r="AT82" i="19"/>
  <c r="AF82" i="19"/>
  <c r="AG82" i="19" s="1"/>
  <c r="AH82" i="19" s="1"/>
  <c r="AI82" i="19" s="1"/>
  <c r="AJ82" i="19" s="1"/>
  <c r="AK82" i="19" s="1"/>
  <c r="AL82" i="19" s="1"/>
  <c r="AW90" i="19"/>
  <c r="AT90" i="19"/>
  <c r="AF90" i="19"/>
  <c r="AG90" i="19" s="1"/>
  <c r="AH90" i="19" s="1"/>
  <c r="AI90" i="19" s="1"/>
  <c r="AJ90" i="19" s="1"/>
  <c r="AK90" i="19" s="1"/>
  <c r="AL90" i="19" s="1"/>
  <c r="J78" i="51"/>
  <c r="V71" i="19"/>
  <c r="AF12" i="19"/>
  <c r="AG12" i="19" s="1"/>
  <c r="AH12" i="19" s="1"/>
  <c r="AI12" i="19" s="1"/>
  <c r="AJ12" i="19" s="1"/>
  <c r="AK12" i="19" s="1"/>
  <c r="AL12" i="19" s="1"/>
  <c r="F38" i="43"/>
  <c r="M38" i="43" s="1"/>
  <c r="E38" i="43"/>
  <c r="L38" i="43" s="1"/>
  <c r="D38" i="43"/>
  <c r="K38" i="43" s="1"/>
  <c r="AF38" i="19"/>
  <c r="AG38" i="19" s="1"/>
  <c r="AH38" i="19" s="1"/>
  <c r="AI38" i="19" s="1"/>
  <c r="AJ38" i="19" s="1"/>
  <c r="AK38" i="19" s="1"/>
  <c r="AL38" i="19" s="1"/>
  <c r="AF50" i="19"/>
  <c r="AG50" i="19" s="1"/>
  <c r="AH50" i="19" s="1"/>
  <c r="AI50" i="19" s="1"/>
  <c r="AJ50" i="19" s="1"/>
  <c r="AK50" i="19" s="1"/>
  <c r="AL50" i="19" s="1"/>
  <c r="F61" i="43"/>
  <c r="M61" i="43" s="1"/>
  <c r="E61" i="43"/>
  <c r="L61" i="43" s="1"/>
  <c r="D61" i="43"/>
  <c r="K61" i="43" s="1"/>
  <c r="AM70" i="19"/>
  <c r="AN70" i="19" s="1"/>
  <c r="AO70" i="19" s="1"/>
  <c r="AP70" i="19" s="1"/>
  <c r="AQ70" i="19" s="1"/>
  <c r="AR70" i="19" s="1"/>
  <c r="AS70" i="19" s="1"/>
  <c r="AW70" i="19"/>
  <c r="AF13" i="19"/>
  <c r="AG13" i="19" s="1"/>
  <c r="AH13" i="19" s="1"/>
  <c r="AI13" i="19" s="1"/>
  <c r="AJ13" i="19" s="1"/>
  <c r="AK13" i="19" s="1"/>
  <c r="AL13" i="19" s="1"/>
  <c r="AF14" i="19"/>
  <c r="AG14" i="19" s="1"/>
  <c r="AH14" i="19" s="1"/>
  <c r="AI14" i="19" s="1"/>
  <c r="AJ14" i="19" s="1"/>
  <c r="AK14" i="19" s="1"/>
  <c r="AL14" i="19" s="1"/>
  <c r="F21" i="43"/>
  <c r="M21" i="43" s="1"/>
  <c r="E21" i="43"/>
  <c r="L21" i="43" s="1"/>
  <c r="D21" i="43"/>
  <c r="K21" i="43" s="1"/>
  <c r="F24" i="43"/>
  <c r="M24" i="43" s="1"/>
  <c r="E24" i="43"/>
  <c r="L24" i="43" s="1"/>
  <c r="D24" i="43"/>
  <c r="K24" i="43" s="1"/>
  <c r="AF24" i="19"/>
  <c r="AG24" i="19" s="1"/>
  <c r="AH24" i="19" s="1"/>
  <c r="AI24" i="19" s="1"/>
  <c r="AJ24" i="19" s="1"/>
  <c r="AK24" i="19" s="1"/>
  <c r="AL24" i="19" s="1"/>
  <c r="F35" i="43"/>
  <c r="M35" i="43" s="1"/>
  <c r="E35" i="43"/>
  <c r="L35" i="43" s="1"/>
  <c r="D35" i="43"/>
  <c r="K35" i="43" s="1"/>
  <c r="AT41" i="19"/>
  <c r="F46" i="43"/>
  <c r="M46" i="43" s="1"/>
  <c r="E46" i="43"/>
  <c r="L46" i="43" s="1"/>
  <c r="D46" i="43"/>
  <c r="K46" i="43" s="1"/>
  <c r="AM60" i="19"/>
  <c r="AN60" i="19" s="1"/>
  <c r="AO60" i="19" s="1"/>
  <c r="AP60" i="19" s="1"/>
  <c r="AQ60" i="19" s="1"/>
  <c r="AR60" i="19" s="1"/>
  <c r="AS60" i="19" s="1"/>
  <c r="AM61" i="19"/>
  <c r="AN61" i="19" s="1"/>
  <c r="AO61" i="19" s="1"/>
  <c r="AP61" i="19" s="1"/>
  <c r="AQ61" i="19" s="1"/>
  <c r="AR61" i="19" s="1"/>
  <c r="AS61" i="19" s="1"/>
  <c r="AW61" i="19"/>
  <c r="AM65" i="19"/>
  <c r="AN65" i="19" s="1"/>
  <c r="AO65" i="19" s="1"/>
  <c r="AP65" i="19" s="1"/>
  <c r="AQ65" i="19" s="1"/>
  <c r="AR65" i="19" s="1"/>
  <c r="AS65" i="19" s="1"/>
  <c r="AW65" i="19"/>
  <c r="AW86" i="19"/>
  <c r="AM86" i="19"/>
  <c r="AN86" i="19" s="1"/>
  <c r="AO86" i="19" s="1"/>
  <c r="AP86" i="19" s="1"/>
  <c r="AQ86" i="19" s="1"/>
  <c r="AR86" i="19" s="1"/>
  <c r="AS86" i="19" s="1"/>
  <c r="J49" i="1"/>
  <c r="V49" i="1"/>
  <c r="G11" i="43"/>
  <c r="N11" i="43" s="1"/>
  <c r="BF7" i="19" s="1"/>
  <c r="F11" i="43"/>
  <c r="M11" i="43" s="1"/>
  <c r="BE7" i="19" s="1"/>
  <c r="E11" i="43"/>
  <c r="L11" i="43" s="1"/>
  <c r="BD7" i="19" s="1"/>
  <c r="D11" i="43"/>
  <c r="K11" i="43" s="1"/>
  <c r="BC7" i="19" s="1"/>
  <c r="AW10" i="19"/>
  <c r="AF21" i="19"/>
  <c r="AG21" i="19" s="1"/>
  <c r="AH21" i="19" s="1"/>
  <c r="AI21" i="19" s="1"/>
  <c r="AJ21" i="19" s="1"/>
  <c r="AK21" i="19" s="1"/>
  <c r="AL21" i="19" s="1"/>
  <c r="F32" i="43"/>
  <c r="M32" i="43" s="1"/>
  <c r="E32" i="43"/>
  <c r="L32" i="43" s="1"/>
  <c r="D32" i="43"/>
  <c r="K32" i="43" s="1"/>
  <c r="AW33" i="19"/>
  <c r="E43" i="43"/>
  <c r="L43" i="43" s="1"/>
  <c r="D43" i="43"/>
  <c r="K43" i="43" s="1"/>
  <c r="F43" i="43"/>
  <c r="M43" i="43" s="1"/>
  <c r="AM54" i="19"/>
  <c r="AN54" i="19" s="1"/>
  <c r="AO54" i="19" s="1"/>
  <c r="AP54" i="19" s="1"/>
  <c r="AQ54" i="19" s="1"/>
  <c r="AR54" i="19" s="1"/>
  <c r="AS54" i="19" s="1"/>
  <c r="AW54" i="19"/>
  <c r="AT66" i="19"/>
  <c r="AF66" i="19"/>
  <c r="AG66" i="19" s="1"/>
  <c r="AH66" i="19" s="1"/>
  <c r="AI66" i="19" s="1"/>
  <c r="AJ66" i="19" s="1"/>
  <c r="AK66" i="19" s="1"/>
  <c r="AL66" i="19" s="1"/>
  <c r="AT71" i="19"/>
  <c r="AF71" i="19"/>
  <c r="AG71" i="19" s="1"/>
  <c r="AH71" i="19" s="1"/>
  <c r="AI71" i="19" s="1"/>
  <c r="AJ71" i="19" s="1"/>
  <c r="AK71" i="19" s="1"/>
  <c r="AL71" i="19" s="1"/>
  <c r="F13" i="43"/>
  <c r="M13" i="43" s="1"/>
  <c r="E13" i="43"/>
  <c r="L13" i="43" s="1"/>
  <c r="D13" i="43"/>
  <c r="K13" i="43" s="1"/>
  <c r="AW15" i="19"/>
  <c r="AF18" i="19"/>
  <c r="AG18" i="19" s="1"/>
  <c r="AH18" i="19" s="1"/>
  <c r="AI18" i="19" s="1"/>
  <c r="AJ18" i="19" s="1"/>
  <c r="AK18" i="19" s="1"/>
  <c r="AL18" i="19" s="1"/>
  <c r="E29" i="43"/>
  <c r="L29" i="43" s="1"/>
  <c r="F29" i="43"/>
  <c r="M29" i="43" s="1"/>
  <c r="D29" i="43"/>
  <c r="K29" i="43" s="1"/>
  <c r="AF32" i="19"/>
  <c r="AG32" i="19" s="1"/>
  <c r="AH32" i="19" s="1"/>
  <c r="AI32" i="19" s="1"/>
  <c r="AJ32" i="19" s="1"/>
  <c r="AK32" i="19" s="1"/>
  <c r="AL32" i="19" s="1"/>
  <c r="D40" i="43"/>
  <c r="K40" i="43" s="1"/>
  <c r="F40" i="43"/>
  <c r="M40" i="43" s="1"/>
  <c r="E40" i="43"/>
  <c r="L40" i="43" s="1"/>
  <c r="AF43" i="19"/>
  <c r="AG43" i="19" s="1"/>
  <c r="AH43" i="19" s="1"/>
  <c r="AI43" i="19" s="1"/>
  <c r="AJ43" i="19" s="1"/>
  <c r="AK43" i="19" s="1"/>
  <c r="AL43" i="19" s="1"/>
  <c r="AF59" i="19"/>
  <c r="AG59" i="19" s="1"/>
  <c r="AH59" i="19" s="1"/>
  <c r="AI59" i="19" s="1"/>
  <c r="AJ59" i="19" s="1"/>
  <c r="AK59" i="19" s="1"/>
  <c r="AL59" i="19" s="1"/>
  <c r="AT59" i="19"/>
  <c r="E65" i="43"/>
  <c r="L65" i="43" s="1"/>
  <c r="F65" i="43"/>
  <c r="M65" i="43" s="1"/>
  <c r="D65" i="43"/>
  <c r="K65" i="43" s="1"/>
  <c r="AT83" i="19"/>
  <c r="AF83" i="19"/>
  <c r="AG83" i="19" s="1"/>
  <c r="AH83" i="19" s="1"/>
  <c r="AI83" i="19" s="1"/>
  <c r="AJ83" i="19" s="1"/>
  <c r="AK83" i="19" s="1"/>
  <c r="AL83" i="19" s="1"/>
  <c r="AW83" i="19"/>
  <c r="F14" i="43"/>
  <c r="M14" i="43" s="1"/>
  <c r="E14" i="43"/>
  <c r="L14" i="43" s="1"/>
  <c r="D14" i="43"/>
  <c r="K14" i="43" s="1"/>
  <c r="AW12" i="19"/>
  <c r="AT21" i="19"/>
  <c r="F26" i="43"/>
  <c r="M26" i="43" s="1"/>
  <c r="E26" i="43"/>
  <c r="L26" i="43" s="1"/>
  <c r="D26" i="43"/>
  <c r="K26" i="43" s="1"/>
  <c r="F37" i="43"/>
  <c r="M37" i="43" s="1"/>
  <c r="E37" i="43"/>
  <c r="L37" i="43" s="1"/>
  <c r="D37" i="43"/>
  <c r="K37" i="43" s="1"/>
  <c r="AW38" i="19"/>
  <c r="AM47" i="19"/>
  <c r="AN47" i="19" s="1"/>
  <c r="AO47" i="19" s="1"/>
  <c r="AP47" i="19" s="1"/>
  <c r="AQ47" i="19" s="1"/>
  <c r="AR47" i="19" s="1"/>
  <c r="AS47" i="19" s="1"/>
  <c r="AF48" i="19"/>
  <c r="AG48" i="19" s="1"/>
  <c r="AH48" i="19" s="1"/>
  <c r="AI48" i="19" s="1"/>
  <c r="AJ48" i="19" s="1"/>
  <c r="AK48" i="19" s="1"/>
  <c r="AL48" i="19" s="1"/>
  <c r="AT48" i="19"/>
  <c r="AW55" i="19"/>
  <c r="AF57" i="19"/>
  <c r="AG57" i="19" s="1"/>
  <c r="AH57" i="19" s="1"/>
  <c r="AI57" i="19" s="1"/>
  <c r="AJ57" i="19" s="1"/>
  <c r="AK57" i="19" s="1"/>
  <c r="AL57" i="19" s="1"/>
  <c r="F15" i="43"/>
  <c r="M15" i="43" s="1"/>
  <c r="E15" i="43"/>
  <c r="L15" i="43" s="1"/>
  <c r="D15" i="43"/>
  <c r="K15" i="43" s="1"/>
  <c r="F19" i="43"/>
  <c r="M19" i="43" s="1"/>
  <c r="D19" i="43"/>
  <c r="K19" i="43" s="1"/>
  <c r="E19" i="43"/>
  <c r="L19" i="43" s="1"/>
  <c r="F20" i="43"/>
  <c r="M20" i="43" s="1"/>
  <c r="E20" i="43"/>
  <c r="L20" i="43" s="1"/>
  <c r="D20" i="43"/>
  <c r="K20" i="43" s="1"/>
  <c r="F23" i="43"/>
  <c r="M23" i="43" s="1"/>
  <c r="E23" i="43"/>
  <c r="L23" i="43" s="1"/>
  <c r="D23" i="43"/>
  <c r="K23" i="43" s="1"/>
  <c r="AF23" i="19"/>
  <c r="AG23" i="19" s="1"/>
  <c r="AH23" i="19" s="1"/>
  <c r="AI23" i="19" s="1"/>
  <c r="AJ23" i="19" s="1"/>
  <c r="AK23" i="19" s="1"/>
  <c r="AL23" i="19" s="1"/>
  <c r="F34" i="43"/>
  <c r="M34" i="43" s="1"/>
  <c r="E34" i="43"/>
  <c r="L34" i="43" s="1"/>
  <c r="D34" i="43"/>
  <c r="K34" i="43" s="1"/>
  <c r="AF37" i="19"/>
  <c r="AG37" i="19" s="1"/>
  <c r="AH37" i="19" s="1"/>
  <c r="AI37" i="19" s="1"/>
  <c r="AJ37" i="19" s="1"/>
  <c r="AK37" i="19" s="1"/>
  <c r="AL37" i="19" s="1"/>
  <c r="F45" i="43"/>
  <c r="M45" i="43" s="1"/>
  <c r="E45" i="43"/>
  <c r="L45" i="43" s="1"/>
  <c r="D45" i="43"/>
  <c r="K45" i="43" s="1"/>
  <c r="AF45" i="19"/>
  <c r="AG45" i="19" s="1"/>
  <c r="AH45" i="19" s="1"/>
  <c r="AI45" i="19" s="1"/>
  <c r="AJ45" i="19" s="1"/>
  <c r="AK45" i="19" s="1"/>
  <c r="AL45" i="19" s="1"/>
  <c r="AM49" i="19"/>
  <c r="AN49" i="19" s="1"/>
  <c r="AO49" i="19" s="1"/>
  <c r="AP49" i="19" s="1"/>
  <c r="AQ49" i="19" s="1"/>
  <c r="AR49" i="19" s="1"/>
  <c r="AS49" i="19" s="1"/>
  <c r="AW63" i="19"/>
  <c r="AF63" i="19"/>
  <c r="AG63" i="19" s="1"/>
  <c r="AH63" i="19" s="1"/>
  <c r="AI63" i="19" s="1"/>
  <c r="AJ63" i="19" s="1"/>
  <c r="AK63" i="19" s="1"/>
  <c r="AL63" i="19" s="1"/>
  <c r="F73" i="43"/>
  <c r="M73" i="43" s="1"/>
  <c r="E73" i="43"/>
  <c r="L73" i="43" s="1"/>
  <c r="D73" i="43"/>
  <c r="K73" i="43" s="1"/>
  <c r="AT72" i="19"/>
  <c r="AF72" i="19"/>
  <c r="AG72" i="19" s="1"/>
  <c r="AH72" i="19" s="1"/>
  <c r="AI72" i="19" s="1"/>
  <c r="AJ72" i="19" s="1"/>
  <c r="AK72" i="19" s="1"/>
  <c r="AL72" i="19" s="1"/>
  <c r="AW72" i="19"/>
  <c r="E31" i="43"/>
  <c r="L31" i="43" s="1"/>
  <c r="D31" i="43"/>
  <c r="K31" i="43" s="1"/>
  <c r="F31" i="43"/>
  <c r="M31" i="43" s="1"/>
  <c r="F42" i="43"/>
  <c r="M42" i="43" s="1"/>
  <c r="D42" i="43"/>
  <c r="K42" i="43" s="1"/>
  <c r="E42" i="43"/>
  <c r="L42" i="43" s="1"/>
  <c r="E58" i="43"/>
  <c r="L58" i="43" s="1"/>
  <c r="F68" i="43"/>
  <c r="M68" i="43" s="1"/>
  <c r="E68" i="43"/>
  <c r="L68" i="43" s="1"/>
  <c r="D68" i="43"/>
  <c r="K68" i="43" s="1"/>
  <c r="AF67" i="19"/>
  <c r="AG67" i="19" s="1"/>
  <c r="AH67" i="19" s="1"/>
  <c r="AI67" i="19" s="1"/>
  <c r="AJ67" i="19" s="1"/>
  <c r="AK67" i="19" s="1"/>
  <c r="AL67" i="19" s="1"/>
  <c r="AT67" i="19"/>
  <c r="F85" i="43"/>
  <c r="M85" i="43" s="1"/>
  <c r="E85" i="43"/>
  <c r="L85" i="43" s="1"/>
  <c r="D85" i="43"/>
  <c r="K85" i="43" s="1"/>
  <c r="D17" i="43"/>
  <c r="K17" i="43" s="1"/>
  <c r="F17" i="43"/>
  <c r="M17" i="43" s="1"/>
  <c r="E17" i="43"/>
  <c r="L17" i="43" s="1"/>
  <c r="E18" i="43"/>
  <c r="L18" i="43" s="1"/>
  <c r="F18" i="43"/>
  <c r="M18" i="43" s="1"/>
  <c r="D18" i="43"/>
  <c r="K18" i="43" s="1"/>
  <c r="D28" i="43"/>
  <c r="K28" i="43" s="1"/>
  <c r="F28" i="43"/>
  <c r="M28" i="43" s="1"/>
  <c r="E28" i="43"/>
  <c r="L28" i="43" s="1"/>
  <c r="F39" i="43"/>
  <c r="M39" i="43" s="1"/>
  <c r="E39" i="43"/>
  <c r="L39" i="43" s="1"/>
  <c r="D39" i="43"/>
  <c r="K39" i="43" s="1"/>
  <c r="F49" i="43"/>
  <c r="M49" i="43" s="1"/>
  <c r="E49" i="43"/>
  <c r="L49" i="43" s="1"/>
  <c r="D49" i="43"/>
  <c r="K49" i="43" s="1"/>
  <c r="AW51" i="19"/>
  <c r="AW59" i="19"/>
  <c r="AM69" i="19"/>
  <c r="AN69" i="19" s="1"/>
  <c r="AO69" i="19" s="1"/>
  <c r="AP69" i="19" s="1"/>
  <c r="AQ69" i="19" s="1"/>
  <c r="AR69" i="19" s="1"/>
  <c r="AS69" i="19" s="1"/>
  <c r="AW69" i="19"/>
  <c r="E53" i="43"/>
  <c r="L53" i="43" s="1"/>
  <c r="F53" i="43"/>
  <c r="M53" i="43" s="1"/>
  <c r="D64" i="43"/>
  <c r="K64" i="43" s="1"/>
  <c r="F64" i="43"/>
  <c r="M64" i="43" s="1"/>
  <c r="E64" i="43"/>
  <c r="L64" i="43" s="1"/>
  <c r="F72" i="43"/>
  <c r="M72" i="43" s="1"/>
  <c r="E72" i="43"/>
  <c r="L72" i="43" s="1"/>
  <c r="D72" i="43"/>
  <c r="K72" i="43" s="1"/>
  <c r="F81" i="43"/>
  <c r="M81" i="43" s="1"/>
  <c r="E81" i="43"/>
  <c r="L81" i="43" s="1"/>
  <c r="D81" i="43"/>
  <c r="K81" i="43" s="1"/>
  <c r="AW81" i="19"/>
  <c r="E89" i="43"/>
  <c r="L89" i="43" s="1"/>
  <c r="F89" i="43"/>
  <c r="M89" i="43" s="1"/>
  <c r="AF86" i="19"/>
  <c r="AG86" i="19" s="1"/>
  <c r="AH86" i="19" s="1"/>
  <c r="AI86" i="19" s="1"/>
  <c r="AJ86" i="19" s="1"/>
  <c r="AK86" i="19" s="1"/>
  <c r="AL86" i="19" s="1"/>
  <c r="AM68" i="19"/>
  <c r="AN68" i="19" s="1"/>
  <c r="AO68" i="19" s="1"/>
  <c r="AP68" i="19" s="1"/>
  <c r="AQ68" i="19" s="1"/>
  <c r="AR68" i="19" s="1"/>
  <c r="AS68" i="19" s="1"/>
  <c r="F83" i="43"/>
  <c r="M83" i="43" s="1"/>
  <c r="E83" i="43"/>
  <c r="L83" i="43" s="1"/>
  <c r="D83" i="43"/>
  <c r="K83" i="43" s="1"/>
  <c r="E55" i="43"/>
  <c r="L55" i="43" s="1"/>
  <c r="D55" i="43"/>
  <c r="K55" i="43" s="1"/>
  <c r="F66" i="43"/>
  <c r="M66" i="43" s="1"/>
  <c r="D66" i="43"/>
  <c r="K66" i="43" s="1"/>
  <c r="D76" i="43"/>
  <c r="K76" i="43" s="1"/>
  <c r="F76" i="43"/>
  <c r="M76" i="43" s="1"/>
  <c r="E76" i="43"/>
  <c r="L76" i="43" s="1"/>
  <c r="AF73" i="19"/>
  <c r="AG73" i="19" s="1"/>
  <c r="AH73" i="19" s="1"/>
  <c r="AI73" i="19" s="1"/>
  <c r="AJ73" i="19" s="1"/>
  <c r="AK73" i="19" s="1"/>
  <c r="AL73" i="19" s="1"/>
  <c r="F78" i="43"/>
  <c r="M78" i="43" s="1"/>
  <c r="D78" i="43"/>
  <c r="K78" i="43" s="1"/>
  <c r="AW76" i="19"/>
  <c r="F87" i="43"/>
  <c r="M87" i="43" s="1"/>
  <c r="E87" i="43"/>
  <c r="L87" i="43" s="1"/>
  <c r="D87" i="43"/>
  <c r="K87" i="43" s="1"/>
  <c r="AF84" i="19"/>
  <c r="AG84" i="19" s="1"/>
  <c r="AH84" i="19" s="1"/>
  <c r="AI84" i="19" s="1"/>
  <c r="AJ84" i="19" s="1"/>
  <c r="AK84" i="19" s="1"/>
  <c r="AL84" i="19" s="1"/>
  <c r="AM85" i="19"/>
  <c r="AN85" i="19" s="1"/>
  <c r="AO85" i="19" s="1"/>
  <c r="AP85" i="19" s="1"/>
  <c r="AQ85" i="19" s="1"/>
  <c r="AR85" i="19" s="1"/>
  <c r="AS85" i="19" s="1"/>
  <c r="F90" i="43"/>
  <c r="M90" i="43" s="1"/>
  <c r="D90" i="43"/>
  <c r="K90" i="43" s="1"/>
  <c r="E90" i="43"/>
  <c r="L90" i="43" s="1"/>
  <c r="J38" i="1"/>
  <c r="V38" i="1"/>
  <c r="F28" i="28"/>
  <c r="S88" i="30"/>
  <c r="D52" i="43"/>
  <c r="K52" i="43" s="1"/>
  <c r="F52" i="43"/>
  <c r="M52" i="43" s="1"/>
  <c r="E52" i="43"/>
  <c r="L52" i="43" s="1"/>
  <c r="F63" i="43"/>
  <c r="M63" i="43" s="1"/>
  <c r="E63" i="43"/>
  <c r="L63" i="43" s="1"/>
  <c r="D63" i="43"/>
  <c r="K63" i="43" s="1"/>
  <c r="AF75" i="19"/>
  <c r="AG75" i="19" s="1"/>
  <c r="AH75" i="19" s="1"/>
  <c r="AI75" i="19" s="1"/>
  <c r="AJ75" i="19" s="1"/>
  <c r="AK75" i="19" s="1"/>
  <c r="AL75" i="19" s="1"/>
  <c r="AF87" i="19"/>
  <c r="AG87" i="19" s="1"/>
  <c r="AH87" i="19" s="1"/>
  <c r="AI87" i="19" s="1"/>
  <c r="AJ87" i="19" s="1"/>
  <c r="AK87" i="19" s="1"/>
  <c r="AL87" i="19" s="1"/>
  <c r="AW87" i="19"/>
  <c r="AT88" i="19"/>
  <c r="F80" i="43"/>
  <c r="M80" i="43" s="1"/>
  <c r="E80" i="43"/>
  <c r="L80" i="43" s="1"/>
  <c r="D80" i="43"/>
  <c r="K80" i="43" s="1"/>
  <c r="F57" i="43"/>
  <c r="M57" i="43" s="1"/>
  <c r="E57" i="43"/>
  <c r="L57" i="43" s="1"/>
  <c r="D57" i="43"/>
  <c r="K57" i="43" s="1"/>
  <c r="F60" i="43"/>
  <c r="M60" i="43" s="1"/>
  <c r="E60" i="43"/>
  <c r="L60" i="43" s="1"/>
  <c r="D60" i="43"/>
  <c r="K60" i="43" s="1"/>
  <c r="AT75" i="19"/>
  <c r="F82" i="43"/>
  <c r="M82" i="43" s="1"/>
  <c r="E82" i="43"/>
  <c r="L82" i="43" s="1"/>
  <c r="D82" i="43"/>
  <c r="K82" i="43" s="1"/>
  <c r="AW80" i="19"/>
  <c r="F92" i="43"/>
  <c r="M92" i="43" s="1"/>
  <c r="E92" i="43"/>
  <c r="L92" i="43" s="1"/>
  <c r="D92" i="43"/>
  <c r="K92" i="43" s="1"/>
  <c r="F55" i="43"/>
  <c r="M55" i="43" s="1"/>
  <c r="E78" i="43"/>
  <c r="L78" i="43" s="1"/>
  <c r="F84" i="43"/>
  <c r="M84" i="43" s="1"/>
  <c r="E84" i="43"/>
  <c r="L84" i="43" s="1"/>
  <c r="D84" i="43"/>
  <c r="K84" i="43" s="1"/>
  <c r="V72" i="1"/>
  <c r="V65" i="19" s="1"/>
  <c r="I25" i="28"/>
  <c r="F62" i="43"/>
  <c r="M62" i="43" s="1"/>
  <c r="E62" i="43"/>
  <c r="L62" i="43" s="1"/>
  <c r="D62" i="43"/>
  <c r="K62" i="43" s="1"/>
  <c r="F70" i="43"/>
  <c r="M70" i="43" s="1"/>
  <c r="E70" i="43"/>
  <c r="L70" i="43" s="1"/>
  <c r="D70" i="43"/>
  <c r="K70" i="43" s="1"/>
  <c r="F75" i="43"/>
  <c r="M75" i="43" s="1"/>
  <c r="E75" i="43"/>
  <c r="L75" i="43" s="1"/>
  <c r="D75" i="43"/>
  <c r="K75" i="43" s="1"/>
  <c r="E77" i="43"/>
  <c r="L77" i="43" s="1"/>
  <c r="F77" i="43"/>
  <c r="M77" i="43" s="1"/>
  <c r="AT79" i="19"/>
  <c r="F86" i="43"/>
  <c r="M86" i="43" s="1"/>
  <c r="E86" i="43"/>
  <c r="L86" i="43" s="1"/>
  <c r="D86" i="43"/>
  <c r="K86" i="43" s="1"/>
  <c r="D88" i="43"/>
  <c r="K88" i="43" s="1"/>
  <c r="F88" i="43"/>
  <c r="M88" i="43" s="1"/>
  <c r="E88" i="43"/>
  <c r="L88" i="43" s="1"/>
  <c r="F93" i="43"/>
  <c r="M93" i="43" s="1"/>
  <c r="E93" i="43"/>
  <c r="L93" i="43" s="1"/>
  <c r="D93" i="43"/>
  <c r="K93" i="43" s="1"/>
  <c r="F48" i="43"/>
  <c r="M48" i="43" s="1"/>
  <c r="E48" i="43"/>
  <c r="L48" i="43" s="1"/>
  <c r="D48" i="43"/>
  <c r="K48" i="43" s="1"/>
  <c r="E79" i="43"/>
  <c r="L79" i="43" s="1"/>
  <c r="D79" i="43"/>
  <c r="K79" i="43" s="1"/>
  <c r="F94" i="43"/>
  <c r="M94" i="43" s="1"/>
  <c r="E94" i="43"/>
  <c r="L94" i="43" s="1"/>
  <c r="D94" i="43"/>
  <c r="K94" i="43" s="1"/>
  <c r="K20" i="28"/>
  <c r="J47" i="51"/>
  <c r="D21" i="28"/>
  <c r="Q53" i="30"/>
  <c r="E67" i="43"/>
  <c r="L67" i="43" s="1"/>
  <c r="D67" i="43"/>
  <c r="K67" i="43" s="1"/>
  <c r="D53" i="43"/>
  <c r="K53" i="43" s="1"/>
  <c r="E66" i="43"/>
  <c r="L66" i="43" s="1"/>
  <c r="F79" i="43"/>
  <c r="M79" i="43" s="1"/>
  <c r="D89" i="43"/>
  <c r="K89" i="43" s="1"/>
  <c r="J23" i="1"/>
  <c r="J97" i="1"/>
  <c r="I15" i="28"/>
  <c r="I18" i="28"/>
  <c r="O22" i="55"/>
  <c r="I23" i="28"/>
  <c r="I26" i="28"/>
  <c r="I29" i="28"/>
  <c r="I14" i="28"/>
  <c r="I17" i="28"/>
  <c r="I20" i="28"/>
  <c r="V26" i="1"/>
  <c r="V37" i="1"/>
  <c r="V30" i="19" s="1"/>
  <c r="I28" i="28"/>
  <c r="V25" i="1"/>
  <c r="V71" i="1"/>
  <c r="O92" i="55"/>
  <c r="D91" i="43"/>
  <c r="K91" i="43" s="1"/>
  <c r="J20" i="1"/>
  <c r="V59" i="1"/>
  <c r="I19" i="28"/>
  <c r="E91" i="43"/>
  <c r="L91" i="43" s="1"/>
  <c r="J63" i="1"/>
  <c r="O97" i="55"/>
  <c r="A24" i="55"/>
  <c r="A36" i="55"/>
  <c r="A44" i="55"/>
  <c r="A121" i="55"/>
  <c r="A28" i="55"/>
  <c r="A40" i="55"/>
  <c r="B40" i="55" s="1"/>
  <c r="A48" i="55"/>
  <c r="A70" i="55"/>
  <c r="A79" i="55"/>
  <c r="A97" i="55"/>
  <c r="A17" i="55"/>
  <c r="A20" i="55"/>
  <c r="A13" i="55"/>
  <c r="A37" i="55"/>
  <c r="A57" i="55"/>
  <c r="A30" i="55"/>
  <c r="A50" i="55"/>
  <c r="A54" i="55"/>
  <c r="B54" i="55" s="1"/>
  <c r="A81" i="55"/>
  <c r="A22" i="55"/>
  <c r="A26" i="55"/>
  <c r="B26" i="55" s="1"/>
  <c r="A90" i="55"/>
  <c r="A15" i="55"/>
  <c r="A39" i="55"/>
  <c r="A59" i="55"/>
  <c r="A77" i="55"/>
  <c r="A19" i="55"/>
  <c r="B19" i="55" s="1"/>
  <c r="A35" i="55"/>
  <c r="A47" i="55"/>
  <c r="B47" i="55" s="1"/>
  <c r="O71" i="55"/>
  <c r="B16" i="49"/>
  <c r="A98" i="30"/>
  <c r="A95" i="30"/>
  <c r="A92" i="30"/>
  <c r="A89" i="30"/>
  <c r="A86" i="30"/>
  <c r="A83" i="30"/>
  <c r="A80" i="30"/>
  <c r="A77" i="30"/>
  <c r="A74" i="30"/>
  <c r="A71" i="30"/>
  <c r="A68" i="30"/>
  <c r="A65" i="30"/>
  <c r="A62" i="30"/>
  <c r="A59" i="30"/>
  <c r="A56" i="30"/>
  <c r="A53" i="30"/>
  <c r="A50" i="30"/>
  <c r="A47" i="30"/>
  <c r="A44" i="30"/>
  <c r="A41" i="30"/>
  <c r="A38" i="30"/>
  <c r="A35" i="30"/>
  <c r="C3" i="51"/>
  <c r="A97" i="30"/>
  <c r="A94" i="30"/>
  <c r="A91" i="30"/>
  <c r="A88" i="30"/>
  <c r="A85" i="30"/>
  <c r="A82" i="30"/>
  <c r="A79" i="30"/>
  <c r="A76" i="30"/>
  <c r="A73" i="30"/>
  <c r="A70" i="30"/>
  <c r="A67" i="30"/>
  <c r="A64" i="30"/>
  <c r="A61" i="30"/>
  <c r="A58" i="30"/>
  <c r="A55" i="30"/>
  <c r="A52" i="30"/>
  <c r="A49" i="30"/>
  <c r="A46" i="30"/>
  <c r="A43" i="30"/>
  <c r="A40" i="30"/>
  <c r="A37" i="30"/>
  <c r="A34" i="30"/>
  <c r="H11" i="43"/>
  <c r="H12" i="43" s="1"/>
  <c r="H13" i="43" s="1"/>
  <c r="H14" i="43" s="1"/>
  <c r="H15" i="43" s="1"/>
  <c r="H16" i="43" s="1"/>
  <c r="H17" i="43" s="1"/>
  <c r="H18" i="43" s="1"/>
  <c r="H19" i="43" s="1"/>
  <c r="H20" i="43" s="1"/>
  <c r="H21" i="43" s="1"/>
  <c r="H22" i="43" s="1"/>
  <c r="H23" i="43" s="1"/>
  <c r="H24" i="43" s="1"/>
  <c r="H25" i="43" s="1"/>
  <c r="H26" i="43" s="1"/>
  <c r="H27" i="43" s="1"/>
  <c r="H28" i="43" s="1"/>
  <c r="H29" i="43" s="1"/>
  <c r="H30" i="43" s="1"/>
  <c r="H31" i="43" s="1"/>
  <c r="H32" i="43" s="1"/>
  <c r="H33" i="43" s="1"/>
  <c r="H34" i="43" s="1"/>
  <c r="H35" i="43" s="1"/>
  <c r="H36" i="43" s="1"/>
  <c r="H37" i="43" s="1"/>
  <c r="H38" i="43" s="1"/>
  <c r="H39" i="43" s="1"/>
  <c r="H40" i="43" s="1"/>
  <c r="H41" i="43" s="1"/>
  <c r="H42" i="43" s="1"/>
  <c r="H43" i="43" s="1"/>
  <c r="H44" i="43" s="1"/>
  <c r="H45" i="43" s="1"/>
  <c r="H46" i="43" s="1"/>
  <c r="H47" i="43" s="1"/>
  <c r="H48" i="43" s="1"/>
  <c r="H49" i="43" s="1"/>
  <c r="H50" i="43" s="1"/>
  <c r="H51" i="43" s="1"/>
  <c r="H52" i="43" s="1"/>
  <c r="H53" i="43" s="1"/>
  <c r="H54" i="43" s="1"/>
  <c r="H55" i="43" s="1"/>
  <c r="H56" i="43" s="1"/>
  <c r="H57" i="43" s="1"/>
  <c r="H58" i="43" s="1"/>
  <c r="H59" i="43" s="1"/>
  <c r="H60" i="43" s="1"/>
  <c r="H61" i="43" s="1"/>
  <c r="H62" i="43" s="1"/>
  <c r="H63" i="43" s="1"/>
  <c r="H64" i="43" s="1"/>
  <c r="H65" i="43" s="1"/>
  <c r="H66" i="43" s="1"/>
  <c r="H67" i="43" s="1"/>
  <c r="H68" i="43" s="1"/>
  <c r="H69" i="43" s="1"/>
  <c r="H70" i="43" s="1"/>
  <c r="H71" i="43" s="1"/>
  <c r="H72" i="43" s="1"/>
  <c r="H73" i="43" s="1"/>
  <c r="H74" i="43" s="1"/>
  <c r="H75" i="43" s="1"/>
  <c r="H76" i="43" s="1"/>
  <c r="H77" i="43" s="1"/>
  <c r="H78" i="43" s="1"/>
  <c r="H79" i="43" s="1"/>
  <c r="H80" i="43" s="1"/>
  <c r="H81" i="43" s="1"/>
  <c r="H82" i="43" s="1"/>
  <c r="H83" i="43" s="1"/>
  <c r="H84" i="43" s="1"/>
  <c r="H85" i="43" s="1"/>
  <c r="H86" i="43" s="1"/>
  <c r="H87" i="43" s="1"/>
  <c r="H88" i="43" s="1"/>
  <c r="H89" i="43" s="1"/>
  <c r="H90" i="43" s="1"/>
  <c r="H91" i="43" s="1"/>
  <c r="H92" i="43" s="1"/>
  <c r="H93" i="43" s="1"/>
  <c r="H94" i="43" s="1"/>
  <c r="A96" i="30"/>
  <c r="A93" i="30"/>
  <c r="A90" i="30"/>
  <c r="A87" i="30"/>
  <c r="A84" i="30"/>
  <c r="A81" i="30"/>
  <c r="A78" i="30"/>
  <c r="A75" i="30"/>
  <c r="A72" i="30"/>
  <c r="A69" i="30"/>
  <c r="A66" i="30"/>
  <c r="A63" i="30"/>
  <c r="A60" i="30"/>
  <c r="A54" i="30"/>
  <c r="A36" i="30"/>
  <c r="A57" i="30"/>
  <c r="A39" i="30"/>
  <c r="A32" i="30"/>
  <c r="A29" i="30"/>
  <c r="A26" i="30"/>
  <c r="A22" i="30"/>
  <c r="A19" i="30"/>
  <c r="A16" i="30"/>
  <c r="A42" i="30"/>
  <c r="A45" i="30"/>
  <c r="A31" i="30"/>
  <c r="A28" i="30"/>
  <c r="A25" i="30"/>
  <c r="A21" i="30"/>
  <c r="A18" i="30"/>
  <c r="A15" i="30"/>
  <c r="B15" i="30" s="1"/>
  <c r="A48" i="30"/>
  <c r="A51" i="30"/>
  <c r="A33" i="30"/>
  <c r="A30" i="30"/>
  <c r="A27" i="30"/>
  <c r="A24" i="30"/>
  <c r="A23" i="30"/>
  <c r="A20" i="30"/>
  <c r="A17" i="30"/>
  <c r="G4" i="30"/>
  <c r="H5" i="28" s="1"/>
  <c r="A94" i="55"/>
  <c r="A114" i="55"/>
  <c r="A124" i="55"/>
  <c r="B124" i="55" s="1"/>
  <c r="A134" i="55"/>
  <c r="A131" i="55"/>
  <c r="B131" i="55" s="1"/>
  <c r="A64" i="55"/>
  <c r="A84" i="55"/>
  <c r="A88" i="55"/>
  <c r="A104" i="55"/>
  <c r="A108" i="55"/>
  <c r="A128" i="55"/>
  <c r="A27" i="55"/>
  <c r="A31" i="55"/>
  <c r="A51" i="55"/>
  <c r="A61" i="55"/>
  <c r="B61" i="55" s="1"/>
  <c r="A71" i="55"/>
  <c r="A91" i="55"/>
  <c r="A95" i="55"/>
  <c r="A111" i="55"/>
  <c r="A115" i="55"/>
  <c r="A135" i="55"/>
  <c r="A14" i="55"/>
  <c r="A18" i="55"/>
  <c r="A34" i="55"/>
  <c r="A38" i="55"/>
  <c r="A58" i="55"/>
  <c r="A68" i="55"/>
  <c r="B68" i="55" s="1"/>
  <c r="A78" i="55"/>
  <c r="A98" i="55"/>
  <c r="A102" i="55"/>
  <c r="A118" i="55"/>
  <c r="A122" i="55"/>
  <c r="A21" i="55"/>
  <c r="A25" i="55"/>
  <c r="A41" i="55"/>
  <c r="A45" i="55"/>
  <c r="A65" i="55"/>
  <c r="A75" i="55"/>
  <c r="B75" i="55" s="1"/>
  <c r="O77" i="55"/>
  <c r="A85" i="55"/>
  <c r="A105" i="55"/>
  <c r="A109" i="55"/>
  <c r="A125" i="55"/>
  <c r="A129" i="55"/>
  <c r="A72" i="55"/>
  <c r="A82" i="55"/>
  <c r="B82" i="55" s="1"/>
  <c r="A92" i="55"/>
  <c r="A112" i="55"/>
  <c r="A116" i="55"/>
  <c r="A132" i="55"/>
  <c r="A136" i="55"/>
  <c r="A89" i="55"/>
  <c r="B89" i="55" s="1"/>
  <c r="A99" i="55"/>
  <c r="A119" i="55"/>
  <c r="A123" i="55"/>
  <c r="A42" i="55"/>
  <c r="A46" i="55"/>
  <c r="A62" i="55"/>
  <c r="A66" i="55"/>
  <c r="A86" i="55"/>
  <c r="A96" i="55"/>
  <c r="B96" i="55" s="1"/>
  <c r="A106" i="55"/>
  <c r="A126" i="55"/>
  <c r="A130" i="55"/>
  <c r="A29" i="55"/>
  <c r="A49" i="55"/>
  <c r="A53" i="55"/>
  <c r="A69" i="55"/>
  <c r="A73" i="55"/>
  <c r="A93" i="55"/>
  <c r="A103" i="55"/>
  <c r="B103" i="55" s="1"/>
  <c r="A113" i="55"/>
  <c r="A133" i="55"/>
  <c r="A137" i="55"/>
  <c r="A56" i="55"/>
  <c r="A60" i="55"/>
  <c r="A76" i="55"/>
  <c r="A80" i="55"/>
  <c r="A100" i="55"/>
  <c r="A110" i="55"/>
  <c r="B110" i="55" s="1"/>
  <c r="A120" i="55"/>
  <c r="A23" i="55"/>
  <c r="A33" i="55"/>
  <c r="B33" i="55" s="1"/>
  <c r="A43" i="55"/>
  <c r="N49" i="55"/>
  <c r="A63" i="55"/>
  <c r="A67" i="55"/>
  <c r="A83" i="55"/>
  <c r="A87" i="55"/>
  <c r="A107" i="55"/>
  <c r="A117" i="55"/>
  <c r="B117" i="55" s="1"/>
  <c r="N75" i="55"/>
  <c r="N90" i="55"/>
  <c r="O28" i="55"/>
  <c r="N42" i="55"/>
  <c r="O115" i="55"/>
  <c r="O134" i="55"/>
  <c r="N106" i="55"/>
  <c r="J100" i="19"/>
  <c r="N84" i="55"/>
  <c r="A13" i="28"/>
  <c r="U13" i="1"/>
  <c r="I13" i="1"/>
  <c r="H13" i="28" s="1"/>
  <c r="T13" i="1"/>
  <c r="L13" i="28" s="1"/>
  <c r="H13" i="1"/>
  <c r="G13" i="28" s="1"/>
  <c r="S13" i="1"/>
  <c r="G13" i="1"/>
  <c r="F13" i="28" s="1"/>
  <c r="R13" i="1"/>
  <c r="F13" i="1"/>
  <c r="E13" i="28" s="1"/>
  <c r="P13" i="1"/>
  <c r="D13" i="1"/>
  <c r="C13" i="28" s="1"/>
  <c r="O13" i="1"/>
  <c r="J13" i="28" s="1"/>
  <c r="C13" i="1"/>
  <c r="B13" i="28" s="1"/>
  <c r="Z13" i="1"/>
  <c r="N13" i="1"/>
  <c r="I13" i="28" s="1"/>
  <c r="Y13" i="1"/>
  <c r="M13" i="1"/>
  <c r="X13" i="1"/>
  <c r="M13" i="28" s="1"/>
  <c r="L13" i="1"/>
  <c r="W13" i="1"/>
  <c r="K13" i="1"/>
  <c r="H91" i="51"/>
  <c r="Q13" i="1"/>
  <c r="V21" i="1"/>
  <c r="J21" i="1"/>
  <c r="C118" i="19"/>
  <c r="J42" i="51"/>
  <c r="K19" i="28"/>
  <c r="V80" i="19"/>
  <c r="K28" i="28"/>
  <c r="J87" i="51"/>
  <c r="N118" i="55"/>
  <c r="L22" i="28"/>
  <c r="H57" i="51"/>
  <c r="H78" i="51"/>
  <c r="X71" i="19"/>
  <c r="X74" i="19"/>
  <c r="H81" i="51"/>
  <c r="H84" i="51"/>
  <c r="X77" i="19"/>
  <c r="H90" i="51"/>
  <c r="X83" i="19"/>
  <c r="V76" i="1"/>
  <c r="J76" i="1"/>
  <c r="V87" i="19"/>
  <c r="J94" i="51"/>
  <c r="V88" i="19"/>
  <c r="J95" i="51"/>
  <c r="K14" i="28"/>
  <c r="V64" i="1"/>
  <c r="J64" i="1"/>
  <c r="V16" i="1"/>
  <c r="J16" i="1"/>
  <c r="V52" i="1"/>
  <c r="J52" i="1"/>
  <c r="K27" i="28"/>
  <c r="V75" i="19"/>
  <c r="J82" i="51"/>
  <c r="V93" i="1"/>
  <c r="J93" i="1"/>
  <c r="V40" i="1"/>
  <c r="J40" i="1"/>
  <c r="H88" i="51"/>
  <c r="X81" i="19"/>
  <c r="L30" i="28"/>
  <c r="X90" i="19"/>
  <c r="V28" i="1"/>
  <c r="J28" i="1"/>
  <c r="V81" i="1"/>
  <c r="J81" i="1"/>
  <c r="J91" i="51"/>
  <c r="V84" i="19"/>
  <c r="K30" i="28"/>
  <c r="J97" i="51"/>
  <c r="V90" i="19"/>
  <c r="V69" i="1"/>
  <c r="J69" i="1"/>
  <c r="L28" i="28"/>
  <c r="H87" i="51"/>
  <c r="V57" i="1"/>
  <c r="J57" i="1"/>
  <c r="J79" i="51"/>
  <c r="V72" i="19"/>
  <c r="J90" i="51"/>
  <c r="V83" i="19"/>
  <c r="V45" i="1"/>
  <c r="J45" i="1"/>
  <c r="K24" i="28"/>
  <c r="J67" i="51"/>
  <c r="J85" i="51"/>
  <c r="V78" i="19"/>
  <c r="L17" i="28"/>
  <c r="H32" i="51"/>
  <c r="H47" i="51"/>
  <c r="L20" i="28"/>
  <c r="L23" i="28"/>
  <c r="H62" i="51"/>
  <c r="H80" i="51"/>
  <c r="X73" i="19"/>
  <c r="X79" i="19"/>
  <c r="H86" i="51"/>
  <c r="H89" i="51"/>
  <c r="X82" i="19"/>
  <c r="V33" i="1"/>
  <c r="J33" i="1"/>
  <c r="J55" i="51"/>
  <c r="J73" i="51"/>
  <c r="V66" i="19"/>
  <c r="L27" i="28"/>
  <c r="H82" i="51"/>
  <c r="X47" i="19"/>
  <c r="X59" i="19"/>
  <c r="H37" i="51"/>
  <c r="E13" i="1"/>
  <c r="D13" i="28" s="1"/>
  <c r="K15" i="28"/>
  <c r="J22" i="51"/>
  <c r="I21" i="28"/>
  <c r="J13" i="1"/>
  <c r="K26" i="28"/>
  <c r="J77" i="51"/>
  <c r="V88" i="1"/>
  <c r="J88" i="1"/>
  <c r="N91" i="55"/>
  <c r="O23" i="30"/>
  <c r="J27" i="1"/>
  <c r="J87" i="1"/>
  <c r="N48" i="55"/>
  <c r="J17" i="1"/>
  <c r="J29" i="1"/>
  <c r="J41" i="1"/>
  <c r="J53" i="1"/>
  <c r="J65" i="1"/>
  <c r="J77" i="1"/>
  <c r="J89" i="1"/>
  <c r="O50" i="55"/>
  <c r="J18" i="1"/>
  <c r="J30" i="1"/>
  <c r="J42" i="1"/>
  <c r="J54" i="1"/>
  <c r="J66" i="1"/>
  <c r="J78" i="1"/>
  <c r="J90" i="1"/>
  <c r="O108" i="55"/>
  <c r="J19" i="43"/>
  <c r="J19" i="1"/>
  <c r="S22" i="1"/>
  <c r="J31" i="1"/>
  <c r="J43" i="1"/>
  <c r="J55" i="1"/>
  <c r="J67" i="1"/>
  <c r="J79" i="1"/>
  <c r="J91" i="1"/>
  <c r="O118" i="55"/>
  <c r="N128" i="55"/>
  <c r="O63" i="55"/>
  <c r="N135" i="55"/>
  <c r="J22" i="1"/>
  <c r="J34" i="1"/>
  <c r="J46" i="1"/>
  <c r="J58" i="1"/>
  <c r="J70" i="1"/>
  <c r="J82" i="1"/>
  <c r="J94" i="1"/>
  <c r="J24" i="1"/>
  <c r="J36" i="1"/>
  <c r="J48" i="1"/>
  <c r="J60" i="1"/>
  <c r="J72" i="1"/>
  <c r="J84" i="1"/>
  <c r="J96" i="1"/>
  <c r="O20" i="55"/>
  <c r="N22" i="55"/>
  <c r="N64" i="55"/>
  <c r="N73" i="55"/>
  <c r="N115" i="55"/>
  <c r="O111" i="55"/>
  <c r="N79" i="55"/>
  <c r="N37" i="55"/>
  <c r="N125" i="55"/>
  <c r="N35" i="55"/>
  <c r="N77" i="55"/>
  <c r="O127" i="55"/>
  <c r="O44" i="55"/>
  <c r="N31" i="55"/>
  <c r="O31" i="55"/>
  <c r="O64" i="55"/>
  <c r="O70" i="55"/>
  <c r="O73" i="55"/>
  <c r="N33" i="55"/>
  <c r="O106" i="55"/>
  <c r="S96" i="19"/>
  <c r="O61" i="55"/>
  <c r="O103" i="55"/>
  <c r="N117" i="55"/>
  <c r="N126" i="55"/>
  <c r="O112" i="55"/>
  <c r="O19" i="55"/>
  <c r="N57" i="55"/>
  <c r="N99" i="55"/>
  <c r="O132" i="55"/>
  <c r="O29" i="55"/>
  <c r="O37" i="55"/>
  <c r="O38" i="55"/>
  <c r="N44" i="55"/>
  <c r="O57" i="55"/>
  <c r="O62" i="55"/>
  <c r="O79" i="55"/>
  <c r="O80" i="55"/>
  <c r="N86" i="55"/>
  <c r="O99" i="55"/>
  <c r="O104" i="55"/>
  <c r="O107" i="55"/>
  <c r="N121" i="55"/>
  <c r="O86" i="55"/>
  <c r="O113" i="55"/>
  <c r="N132" i="55"/>
  <c r="O35" i="55"/>
  <c r="O66" i="55"/>
  <c r="O121" i="55"/>
  <c r="O21" i="55"/>
  <c r="O24" i="55"/>
  <c r="N68" i="55"/>
  <c r="O72" i="55"/>
  <c r="N133" i="55"/>
  <c r="N26" i="55"/>
  <c r="N41" i="55"/>
  <c r="N51" i="55"/>
  <c r="N83" i="55"/>
  <c r="N93" i="55"/>
  <c r="O105" i="55"/>
  <c r="N119" i="55"/>
  <c r="O122" i="55"/>
  <c r="O41" i="55"/>
  <c r="O83" i="55"/>
  <c r="O114" i="55"/>
  <c r="O119" i="55"/>
  <c r="O125" i="55"/>
  <c r="O128" i="55"/>
  <c r="N110" i="55"/>
  <c r="N20" i="55"/>
  <c r="O26" i="55"/>
  <c r="N29" i="55"/>
  <c r="N38" i="55"/>
  <c r="O42" i="55"/>
  <c r="O51" i="55"/>
  <c r="N62" i="55"/>
  <c r="O68" i="55"/>
  <c r="N71" i="55"/>
  <c r="N80" i="55"/>
  <c r="O84" i="55"/>
  <c r="O93" i="55"/>
  <c r="N104" i="55"/>
  <c r="O110" i="55"/>
  <c r="N113" i="55"/>
  <c r="N122" i="55"/>
  <c r="O126" i="55"/>
  <c r="O135" i="55"/>
  <c r="N27" i="55"/>
  <c r="O33" i="55"/>
  <c r="N36" i="55"/>
  <c r="N45" i="55"/>
  <c r="O49" i="55"/>
  <c r="O58" i="55"/>
  <c r="N69" i="55"/>
  <c r="O75" i="55"/>
  <c r="N78" i="55"/>
  <c r="N87" i="55"/>
  <c r="O91" i="55"/>
  <c r="O100" i="55"/>
  <c r="N111" i="55"/>
  <c r="O117" i="55"/>
  <c r="N120" i="55"/>
  <c r="N129" i="55"/>
  <c r="O133" i="55"/>
  <c r="N100" i="55"/>
  <c r="J97" i="19"/>
  <c r="N23" i="55"/>
  <c r="O27" i="55"/>
  <c r="O36" i="55"/>
  <c r="N40" i="55"/>
  <c r="O45" i="55"/>
  <c r="N56" i="55"/>
  <c r="N65" i="55"/>
  <c r="O69" i="55"/>
  <c r="O78" i="55"/>
  <c r="N82" i="55"/>
  <c r="O87" i="55"/>
  <c r="N98" i="55"/>
  <c r="N107" i="55"/>
  <c r="O120" i="55"/>
  <c r="N124" i="55"/>
  <c r="O129" i="55"/>
  <c r="J96" i="19"/>
  <c r="O23" i="55"/>
  <c r="N34" i="55"/>
  <c r="O40" i="55"/>
  <c r="N43" i="55"/>
  <c r="N52" i="55"/>
  <c r="O56" i="55"/>
  <c r="O65" i="55"/>
  <c r="N76" i="55"/>
  <c r="O82" i="55"/>
  <c r="N85" i="55"/>
  <c r="N94" i="55"/>
  <c r="O98" i="55"/>
  <c r="O124" i="55"/>
  <c r="N127" i="55"/>
  <c r="N136" i="55"/>
  <c r="N21" i="55"/>
  <c r="N30" i="55"/>
  <c r="O34" i="55"/>
  <c r="O43" i="55"/>
  <c r="N47" i="55"/>
  <c r="O52" i="55"/>
  <c r="N63" i="55"/>
  <c r="N72" i="55"/>
  <c r="O76" i="55"/>
  <c r="O85" i="55"/>
  <c r="N89" i="55"/>
  <c r="O94" i="55"/>
  <c r="N105" i="55"/>
  <c r="N114" i="55"/>
  <c r="N131" i="55"/>
  <c r="O136" i="55"/>
  <c r="O30" i="55"/>
  <c r="O47" i="55"/>
  <c r="N50" i="55"/>
  <c r="N59" i="55"/>
  <c r="O89" i="55"/>
  <c r="N92" i="55"/>
  <c r="N101" i="55"/>
  <c r="O131" i="55"/>
  <c r="N134" i="55"/>
  <c r="N28" i="55"/>
  <c r="N54" i="55"/>
  <c r="O59" i="55"/>
  <c r="N70" i="55"/>
  <c r="N96" i="55"/>
  <c r="O101" i="55"/>
  <c r="N112" i="55"/>
  <c r="N58" i="55"/>
  <c r="H4" i="49"/>
  <c r="N24" i="55"/>
  <c r="O54" i="55"/>
  <c r="N66" i="55"/>
  <c r="O96" i="55"/>
  <c r="N108" i="55"/>
  <c r="N19" i="55"/>
  <c r="O48" i="55"/>
  <c r="N61" i="55"/>
  <c r="O90" i="55"/>
  <c r="N103" i="55"/>
  <c r="N55" i="55"/>
  <c r="N97" i="55"/>
  <c r="R97" i="19" l="1"/>
  <c r="R98" i="19" s="1"/>
  <c r="R99" i="19" s="1"/>
  <c r="I95" i="51"/>
  <c r="U88" i="19"/>
  <c r="E59" i="43"/>
  <c r="L59" i="43" s="1"/>
  <c r="F71" i="43"/>
  <c r="M71" i="43" s="1"/>
  <c r="U90" i="1"/>
  <c r="I74" i="51"/>
  <c r="U67" i="19"/>
  <c r="I67" i="51"/>
  <c r="U60" i="19"/>
  <c r="I51" i="51"/>
  <c r="U44" i="19"/>
  <c r="T95" i="1"/>
  <c r="R96" i="30"/>
  <c r="G37" i="51"/>
  <c r="W30" i="19"/>
  <c r="G83" i="51"/>
  <c r="W76" i="19"/>
  <c r="G69" i="51"/>
  <c r="W62" i="19"/>
  <c r="G96" i="51"/>
  <c r="W89" i="19"/>
  <c r="U91" i="1"/>
  <c r="L84" i="19"/>
  <c r="G84" i="51"/>
  <c r="W77" i="19"/>
  <c r="T79" i="1"/>
  <c r="R80" i="30"/>
  <c r="U43" i="1"/>
  <c r="L36" i="19"/>
  <c r="U19" i="1"/>
  <c r="L12" i="19"/>
  <c r="T92" i="1"/>
  <c r="R93" i="30"/>
  <c r="U85" i="1"/>
  <c r="L78" i="19"/>
  <c r="U46" i="1"/>
  <c r="L39" i="19"/>
  <c r="H51" i="51"/>
  <c r="X44" i="19"/>
  <c r="G30" i="51"/>
  <c r="W23" i="19"/>
  <c r="G27" i="51"/>
  <c r="W20" i="19"/>
  <c r="U77" i="1"/>
  <c r="L70" i="19"/>
  <c r="U14" i="1"/>
  <c r="L7" i="19"/>
  <c r="T65" i="1"/>
  <c r="R66" i="30"/>
  <c r="U64" i="1"/>
  <c r="L57" i="19"/>
  <c r="G58" i="51"/>
  <c r="W51" i="19"/>
  <c r="G66" i="51"/>
  <c r="W59" i="19"/>
  <c r="T26" i="1"/>
  <c r="R27" i="30"/>
  <c r="U41" i="1"/>
  <c r="L34" i="19"/>
  <c r="G36" i="51"/>
  <c r="W29" i="19"/>
  <c r="G31" i="51"/>
  <c r="W24" i="19"/>
  <c r="G24" i="51"/>
  <c r="W17" i="19"/>
  <c r="AD11" i="55"/>
  <c r="AB11" i="55"/>
  <c r="H11" i="55"/>
  <c r="E10" i="55"/>
  <c r="R11" i="55"/>
  <c r="P11" i="55"/>
  <c r="Q7" i="1"/>
  <c r="AA11" i="30"/>
  <c r="D54" i="37"/>
  <c r="D13" i="37"/>
  <c r="F59" i="43"/>
  <c r="M59" i="43" s="1"/>
  <c r="D12" i="43"/>
  <c r="K12" i="43" s="1"/>
  <c r="I88" i="51"/>
  <c r="U81" i="19"/>
  <c r="I72" i="51"/>
  <c r="U65" i="19"/>
  <c r="I65" i="51"/>
  <c r="U58" i="19"/>
  <c r="I49" i="51"/>
  <c r="U42" i="19"/>
  <c r="G95" i="51"/>
  <c r="W88" i="19"/>
  <c r="G86" i="51"/>
  <c r="W79" i="19"/>
  <c r="U96" i="1"/>
  <c r="L89" i="19"/>
  <c r="U62" i="1"/>
  <c r="L55" i="19"/>
  <c r="G85" i="51"/>
  <c r="W78" i="19"/>
  <c r="T40" i="1"/>
  <c r="R41" i="30"/>
  <c r="T20" i="1"/>
  <c r="R21" i="30"/>
  <c r="T39" i="1"/>
  <c r="R40" i="30"/>
  <c r="U27" i="1"/>
  <c r="L20" i="19"/>
  <c r="D14" i="51"/>
  <c r="F15" i="51" s="1"/>
  <c r="T7" i="19"/>
  <c r="AD7" i="19"/>
  <c r="T73" i="1"/>
  <c r="R74" i="30"/>
  <c r="U66" i="1"/>
  <c r="L59" i="19"/>
  <c r="T49" i="1"/>
  <c r="R50" i="30"/>
  <c r="T42" i="1"/>
  <c r="R43" i="30"/>
  <c r="G48" i="51"/>
  <c r="W41" i="19"/>
  <c r="G34" i="51"/>
  <c r="W27" i="19"/>
  <c r="H19" i="51"/>
  <c r="X12" i="19"/>
  <c r="U31" i="1"/>
  <c r="L24" i="19"/>
  <c r="D12" i="37"/>
  <c r="D53" i="37"/>
  <c r="M101" i="19"/>
  <c r="D100" i="19"/>
  <c r="I8" i="49" s="1"/>
  <c r="N17" i="37"/>
  <c r="N4" i="37"/>
  <c r="D5" i="37"/>
  <c r="D46" i="37"/>
  <c r="E12" i="43"/>
  <c r="L12" i="43" s="1"/>
  <c r="BD8" i="19" s="1"/>
  <c r="BD9" i="19" s="1"/>
  <c r="BD10" i="19" s="1"/>
  <c r="BD11" i="19" s="1"/>
  <c r="BD12" i="19" s="1"/>
  <c r="BD13" i="19" s="1"/>
  <c r="BD14" i="19" s="1"/>
  <c r="BD15" i="19" s="1"/>
  <c r="BD16" i="19" s="1"/>
  <c r="BD17" i="19" s="1"/>
  <c r="BD18" i="19" s="1"/>
  <c r="BD19" i="19" s="1"/>
  <c r="BD20" i="19" s="1"/>
  <c r="BD21" i="19" s="1"/>
  <c r="BD22" i="19" s="1"/>
  <c r="BD23" i="19" s="1"/>
  <c r="BD24" i="19" s="1"/>
  <c r="BD25" i="19" s="1"/>
  <c r="BD26" i="19" s="1"/>
  <c r="BD27" i="19" s="1"/>
  <c r="BD28" i="19" s="1"/>
  <c r="BD29" i="19" s="1"/>
  <c r="BD30" i="19" s="1"/>
  <c r="BD31" i="19" s="1"/>
  <c r="BD32" i="19" s="1"/>
  <c r="BD33" i="19" s="1"/>
  <c r="BD34" i="19" s="1"/>
  <c r="BD35" i="19" s="1"/>
  <c r="BD36" i="19" s="1"/>
  <c r="BD37" i="19" s="1"/>
  <c r="BD38" i="19" s="1"/>
  <c r="BD39" i="19" s="1"/>
  <c r="BD40" i="19" s="1"/>
  <c r="BD41" i="19" s="1"/>
  <c r="BD42" i="19" s="1"/>
  <c r="BD43" i="19" s="1"/>
  <c r="BD44" i="19" s="1"/>
  <c r="BD45" i="19" s="1"/>
  <c r="BD46" i="19" s="1"/>
  <c r="BD47" i="19" s="1"/>
  <c r="BD48" i="19" s="1"/>
  <c r="BD49" i="19" s="1"/>
  <c r="BD50" i="19" s="1"/>
  <c r="BD51" i="19" s="1"/>
  <c r="BD52" i="19" s="1"/>
  <c r="BD53" i="19" s="1"/>
  <c r="BD54" i="19" s="1"/>
  <c r="BD55" i="19" s="1"/>
  <c r="BD56" i="19" s="1"/>
  <c r="BD57" i="19" s="1"/>
  <c r="BD58" i="19" s="1"/>
  <c r="BD59" i="19" s="1"/>
  <c r="BD60" i="19" s="1"/>
  <c r="BD61" i="19" s="1"/>
  <c r="BD62" i="19" s="1"/>
  <c r="BD63" i="19" s="1"/>
  <c r="BD64" i="19" s="1"/>
  <c r="BD65" i="19" s="1"/>
  <c r="BD66" i="19" s="1"/>
  <c r="BD67" i="19" s="1"/>
  <c r="BD68" i="19" s="1"/>
  <c r="BD69" i="19" s="1"/>
  <c r="BD70" i="19" s="1"/>
  <c r="BD71" i="19" s="1"/>
  <c r="BD72" i="19" s="1"/>
  <c r="BD73" i="19" s="1"/>
  <c r="BD74" i="19" s="1"/>
  <c r="BD75" i="19" s="1"/>
  <c r="BD76" i="19" s="1"/>
  <c r="BD77" i="19" s="1"/>
  <c r="BD78" i="19" s="1"/>
  <c r="BD79" i="19" s="1"/>
  <c r="BD80" i="19" s="1"/>
  <c r="BD81" i="19" s="1"/>
  <c r="BD82" i="19" s="1"/>
  <c r="BD83" i="19" s="1"/>
  <c r="BD84" i="19" s="1"/>
  <c r="BD85" i="19" s="1"/>
  <c r="BD86" i="19" s="1"/>
  <c r="BD87" i="19" s="1"/>
  <c r="BD88" i="19" s="1"/>
  <c r="BD89" i="19" s="1"/>
  <c r="BD90" i="19" s="1"/>
  <c r="I40" i="51"/>
  <c r="U33" i="19"/>
  <c r="I86" i="51"/>
  <c r="U79" i="19"/>
  <c r="I58" i="51"/>
  <c r="U51" i="19"/>
  <c r="I63" i="51"/>
  <c r="U56" i="19"/>
  <c r="I47" i="51"/>
  <c r="U40" i="19"/>
  <c r="G61" i="51"/>
  <c r="W54" i="19"/>
  <c r="G44" i="51"/>
  <c r="W37" i="19"/>
  <c r="G88" i="51"/>
  <c r="W81" i="19"/>
  <c r="G76" i="51"/>
  <c r="W69" i="19"/>
  <c r="G17" i="51"/>
  <c r="W10" i="19"/>
  <c r="G47" i="51"/>
  <c r="W40" i="19"/>
  <c r="G62" i="51"/>
  <c r="W55" i="19"/>
  <c r="G79" i="51"/>
  <c r="W72" i="19"/>
  <c r="I25" i="51"/>
  <c r="U18" i="19"/>
  <c r="G92" i="51"/>
  <c r="W85" i="19"/>
  <c r="T27" i="1"/>
  <c r="R28" i="30"/>
  <c r="T14" i="1"/>
  <c r="R15" i="30"/>
  <c r="H71" i="51"/>
  <c r="X64" i="19"/>
  <c r="T64" i="1"/>
  <c r="R65" i="30"/>
  <c r="H63" i="51"/>
  <c r="X56" i="19"/>
  <c r="T59" i="1"/>
  <c r="R60" i="30"/>
  <c r="T55" i="1"/>
  <c r="R56" i="30"/>
  <c r="G73" i="51"/>
  <c r="W66" i="19"/>
  <c r="T50" i="1"/>
  <c r="R51" i="30"/>
  <c r="G49" i="51"/>
  <c r="W42" i="19"/>
  <c r="G42" i="51"/>
  <c r="W35" i="19"/>
  <c r="G53" i="51"/>
  <c r="W46" i="19"/>
  <c r="U48" i="1"/>
  <c r="L41" i="19"/>
  <c r="D4" i="37"/>
  <c r="D45" i="37"/>
  <c r="D50" i="37"/>
  <c r="D9" i="37"/>
  <c r="A1" i="51"/>
  <c r="A1" i="30"/>
  <c r="U84" i="1"/>
  <c r="I34" i="51"/>
  <c r="U27" i="19"/>
  <c r="I61" i="51"/>
  <c r="U54" i="19"/>
  <c r="I42" i="51"/>
  <c r="U35" i="19"/>
  <c r="T83" i="1"/>
  <c r="R84" i="30"/>
  <c r="G32" i="51"/>
  <c r="W25" i="19"/>
  <c r="G18" i="51"/>
  <c r="W11" i="19"/>
  <c r="I28" i="51"/>
  <c r="U21" i="19"/>
  <c r="G89" i="51"/>
  <c r="W82" i="19"/>
  <c r="T74" i="1"/>
  <c r="R75" i="30"/>
  <c r="G38" i="51"/>
  <c r="W31" i="19"/>
  <c r="U79" i="1"/>
  <c r="L72" i="19"/>
  <c r="I23" i="51"/>
  <c r="U16" i="19"/>
  <c r="G68" i="51"/>
  <c r="W61" i="19"/>
  <c r="G51" i="51"/>
  <c r="W44" i="19"/>
  <c r="T70" i="1"/>
  <c r="R71" i="30"/>
  <c r="G65" i="51"/>
  <c r="W58" i="19"/>
  <c r="T60" i="1"/>
  <c r="R61" i="30"/>
  <c r="G59" i="51"/>
  <c r="W52" i="19"/>
  <c r="U73" i="1"/>
  <c r="L66" i="19"/>
  <c r="T41" i="1"/>
  <c r="R42" i="30"/>
  <c r="G26" i="51"/>
  <c r="W19" i="19"/>
  <c r="G52" i="51"/>
  <c r="W45" i="19"/>
  <c r="G28" i="51"/>
  <c r="W21" i="19"/>
  <c r="AA19" i="55"/>
  <c r="K48" i="55"/>
  <c r="K49" i="55" s="1"/>
  <c r="K50" i="55" s="1"/>
  <c r="K51" i="55" s="1"/>
  <c r="K52" i="55" s="1"/>
  <c r="K53" i="55" s="1"/>
  <c r="K54" i="55" s="1"/>
  <c r="T47" i="55"/>
  <c r="J9" i="28"/>
  <c r="H9" i="28"/>
  <c r="F9" i="28"/>
  <c r="D9" i="28"/>
  <c r="D8" i="37"/>
  <c r="D49" i="37"/>
  <c r="D58" i="43"/>
  <c r="K58" i="43" s="1"/>
  <c r="I82" i="51"/>
  <c r="U75" i="19"/>
  <c r="I30" i="51"/>
  <c r="U23" i="19"/>
  <c r="U97" i="1"/>
  <c r="I59" i="51"/>
  <c r="U52" i="19"/>
  <c r="G97" i="51"/>
  <c r="W90" i="19"/>
  <c r="G90" i="51"/>
  <c r="W83" i="19"/>
  <c r="G75" i="51"/>
  <c r="W68" i="19"/>
  <c r="U18" i="1"/>
  <c r="L11" i="19"/>
  <c r="I26" i="51"/>
  <c r="U19" i="19"/>
  <c r="I17" i="51"/>
  <c r="U10" i="19"/>
  <c r="U89" i="1"/>
  <c r="L82" i="19"/>
  <c r="G81" i="51"/>
  <c r="W74" i="19"/>
  <c r="U21" i="1"/>
  <c r="U87" i="1"/>
  <c r="L80" i="19"/>
  <c r="U68" i="1"/>
  <c r="L61" i="19"/>
  <c r="H46" i="51"/>
  <c r="X39" i="19"/>
  <c r="G20" i="51"/>
  <c r="W13" i="19"/>
  <c r="T77" i="1"/>
  <c r="R78" i="30"/>
  <c r="T16" i="1"/>
  <c r="R17" i="30"/>
  <c r="T72" i="1"/>
  <c r="R73" i="30"/>
  <c r="H45" i="51"/>
  <c r="X38" i="19"/>
  <c r="H21" i="51"/>
  <c r="X14" i="19"/>
  <c r="G54" i="51"/>
  <c r="W47" i="19"/>
  <c r="T48" i="1"/>
  <c r="R49" i="30"/>
  <c r="T34" i="1"/>
  <c r="R35" i="30"/>
  <c r="T52" i="1"/>
  <c r="R53" i="30"/>
  <c r="T15" i="1"/>
  <c r="R16" i="30"/>
  <c r="U52" i="1"/>
  <c r="L45" i="19"/>
  <c r="H33" i="51"/>
  <c r="X26" i="19"/>
  <c r="U15" i="1"/>
  <c r="L8" i="19"/>
  <c r="U33" i="1"/>
  <c r="L26" i="19"/>
  <c r="C15" i="1"/>
  <c r="B8" i="19" s="1"/>
  <c r="AF16" i="30"/>
  <c r="D17" i="30"/>
  <c r="C9" i="19"/>
  <c r="S8" i="19"/>
  <c r="W10" i="1"/>
  <c r="U10" i="1"/>
  <c r="S10" i="1"/>
  <c r="K7" i="43"/>
  <c r="D7" i="43"/>
  <c r="I44" i="51"/>
  <c r="U37" i="19"/>
  <c r="I38" i="51"/>
  <c r="U31" i="19"/>
  <c r="I16" i="51"/>
  <c r="U9" i="19"/>
  <c r="T93" i="1"/>
  <c r="R94" i="30"/>
  <c r="I20" i="51"/>
  <c r="U13" i="19"/>
  <c r="U81" i="1"/>
  <c r="L74" i="19"/>
  <c r="G67" i="51"/>
  <c r="W60" i="19"/>
  <c r="G87" i="51"/>
  <c r="W80" i="19"/>
  <c r="G82" i="51"/>
  <c r="W75" i="19"/>
  <c r="T29" i="1"/>
  <c r="R30" i="30"/>
  <c r="G16" i="51"/>
  <c r="W9" i="19"/>
  <c r="T58" i="1"/>
  <c r="R59" i="30"/>
  <c r="G55" i="51"/>
  <c r="W48" i="19"/>
  <c r="H68" i="51"/>
  <c r="X61" i="19"/>
  <c r="U54" i="1"/>
  <c r="L47" i="19"/>
  <c r="G50" i="51"/>
  <c r="W43" i="19"/>
  <c r="T25" i="1"/>
  <c r="R26" i="30"/>
  <c r="G15" i="51"/>
  <c r="W8" i="19"/>
  <c r="G33" i="51"/>
  <c r="W26" i="19"/>
  <c r="E3" i="43"/>
  <c r="C3" i="43"/>
  <c r="A3" i="43"/>
  <c r="AE11" i="30"/>
  <c r="W11" i="55"/>
  <c r="I80" i="51"/>
  <c r="U73" i="19"/>
  <c r="D71" i="43"/>
  <c r="K71" i="43" s="1"/>
  <c r="I94" i="51"/>
  <c r="U87" i="19"/>
  <c r="I78" i="51"/>
  <c r="U71" i="19"/>
  <c r="I36" i="51"/>
  <c r="U29" i="19"/>
  <c r="U75" i="1"/>
  <c r="I55" i="51"/>
  <c r="U48" i="19"/>
  <c r="G80" i="51"/>
  <c r="W73" i="19"/>
  <c r="G56" i="51"/>
  <c r="W49" i="19"/>
  <c r="G93" i="51"/>
  <c r="W86" i="19"/>
  <c r="G78" i="51"/>
  <c r="W71" i="19"/>
  <c r="G71" i="51"/>
  <c r="W64" i="19"/>
  <c r="T96" i="1"/>
  <c r="R97" i="30"/>
  <c r="G57" i="51"/>
  <c r="W50" i="19"/>
  <c r="G45" i="51"/>
  <c r="W38" i="19"/>
  <c r="T94" i="1"/>
  <c r="R95" i="30"/>
  <c r="G74" i="51"/>
  <c r="W67" i="19"/>
  <c r="G94" i="51"/>
  <c r="W87" i="19"/>
  <c r="T23" i="1"/>
  <c r="R24" i="30"/>
  <c r="G70" i="51"/>
  <c r="W63" i="19"/>
  <c r="U39" i="1"/>
  <c r="L32" i="19"/>
  <c r="G29" i="51"/>
  <c r="W22" i="19"/>
  <c r="G72" i="51"/>
  <c r="W65" i="19"/>
  <c r="U60" i="1"/>
  <c r="L53" i="19"/>
  <c r="U35" i="1"/>
  <c r="L28" i="19"/>
  <c r="T53" i="1"/>
  <c r="R54" i="30"/>
  <c r="U50" i="1"/>
  <c r="L43" i="19"/>
  <c r="G25" i="51"/>
  <c r="W18" i="19"/>
  <c r="T36" i="1"/>
  <c r="R37" i="30"/>
  <c r="T31" i="1"/>
  <c r="R32" i="30"/>
  <c r="T24" i="1"/>
  <c r="R25" i="30"/>
  <c r="G100" i="19"/>
  <c r="O8" i="49"/>
  <c r="M8" i="49"/>
  <c r="Q100" i="19"/>
  <c r="H8" i="49" s="1"/>
  <c r="O101" i="19"/>
  <c r="E100" i="19"/>
  <c r="F100" i="19" s="1"/>
  <c r="J8" i="49" s="1"/>
  <c r="N8" i="49"/>
  <c r="K8" i="49"/>
  <c r="M10" i="1"/>
  <c r="E10" i="1"/>
  <c r="I10" i="1"/>
  <c r="Z10" i="1"/>
  <c r="O10" i="1"/>
  <c r="G10" i="1"/>
  <c r="S11" i="30"/>
  <c r="AI9" i="30"/>
  <c r="Y11" i="30"/>
  <c r="Q11" i="30"/>
  <c r="G7" i="43"/>
  <c r="N7" i="43"/>
  <c r="D7" i="1"/>
  <c r="P7" i="30"/>
  <c r="I57" i="51"/>
  <c r="U50" i="19"/>
  <c r="I92" i="51"/>
  <c r="U85" i="19"/>
  <c r="I76" i="51"/>
  <c r="U69" i="19"/>
  <c r="U32" i="1"/>
  <c r="U69" i="1"/>
  <c r="I53" i="51"/>
  <c r="U46" i="19"/>
  <c r="U56" i="1"/>
  <c r="L49" i="19"/>
  <c r="U37" i="1"/>
  <c r="L30" i="19"/>
  <c r="G21" i="51"/>
  <c r="W14" i="19"/>
  <c r="U83" i="1"/>
  <c r="L76" i="19"/>
  <c r="U93" i="1"/>
  <c r="L86" i="19"/>
  <c r="U71" i="1"/>
  <c r="L64" i="19"/>
  <c r="U45" i="1"/>
  <c r="L38" i="19"/>
  <c r="G91" i="51"/>
  <c r="W84" i="19"/>
  <c r="G43" i="51"/>
  <c r="W36" i="19"/>
  <c r="G19" i="51"/>
  <c r="W12" i="19"/>
  <c r="G63" i="51"/>
  <c r="W56" i="19"/>
  <c r="G46" i="51"/>
  <c r="W39" i="19"/>
  <c r="T30" i="1"/>
  <c r="R31" i="30"/>
  <c r="G23" i="51"/>
  <c r="W16" i="19"/>
  <c r="G40" i="51"/>
  <c r="W33" i="19"/>
  <c r="G77" i="51"/>
  <c r="W70" i="19"/>
  <c r="U70" i="1"/>
  <c r="L63" i="19"/>
  <c r="G39" i="51"/>
  <c r="W32" i="19"/>
  <c r="U29" i="1"/>
  <c r="L22" i="19"/>
  <c r="G14" i="51"/>
  <c r="W7" i="19"/>
  <c r="G64" i="51"/>
  <c r="W57" i="19"/>
  <c r="G60" i="51"/>
  <c r="W53" i="19"/>
  <c r="G35" i="51"/>
  <c r="W28" i="19"/>
  <c r="G41" i="51"/>
  <c r="W34" i="19"/>
  <c r="U24" i="1"/>
  <c r="L17" i="19"/>
  <c r="Y33" i="55"/>
  <c r="R7" i="1"/>
  <c r="AB11" i="30"/>
  <c r="L10" i="1"/>
  <c r="D10" i="1"/>
  <c r="H10" i="1"/>
  <c r="Y10" i="1"/>
  <c r="F10" i="1"/>
  <c r="R11" i="30"/>
  <c r="X11" i="30"/>
  <c r="P11" i="30"/>
  <c r="N8" i="37"/>
  <c r="N19" i="37"/>
  <c r="V7" i="19"/>
  <c r="K25" i="28"/>
  <c r="J72" i="51"/>
  <c r="G92" i="43"/>
  <c r="N92" i="43" s="1"/>
  <c r="V85" i="19"/>
  <c r="K29" i="28"/>
  <c r="J37" i="51"/>
  <c r="J80" i="51"/>
  <c r="G29" i="43"/>
  <c r="N29" i="43" s="1"/>
  <c r="G44" i="43"/>
  <c r="N44" i="43" s="1"/>
  <c r="J56" i="51"/>
  <c r="V49" i="19"/>
  <c r="J35" i="51"/>
  <c r="V28" i="19"/>
  <c r="G84" i="43"/>
  <c r="N84" i="43" s="1"/>
  <c r="G83" i="43"/>
  <c r="N83" i="43" s="1"/>
  <c r="G42" i="43"/>
  <c r="N42" i="43" s="1"/>
  <c r="G65" i="43"/>
  <c r="N65" i="43" s="1"/>
  <c r="G47" i="43"/>
  <c r="N47" i="43" s="1"/>
  <c r="K18" i="28"/>
  <c r="G25" i="43"/>
  <c r="N25" i="43" s="1"/>
  <c r="K17" i="28"/>
  <c r="V25" i="19"/>
  <c r="G57" i="43"/>
  <c r="N57" i="43" s="1"/>
  <c r="G36" i="43"/>
  <c r="N36" i="43" s="1"/>
  <c r="G14" i="43"/>
  <c r="N14" i="43" s="1"/>
  <c r="G46" i="43"/>
  <c r="N46" i="43" s="1"/>
  <c r="G38" i="43"/>
  <c r="N38" i="43" s="1"/>
  <c r="G19" i="43"/>
  <c r="N19" i="43" s="1"/>
  <c r="G43" i="43"/>
  <c r="N43" i="43" s="1"/>
  <c r="G77" i="43"/>
  <c r="N77" i="43" s="1"/>
  <c r="G30" i="43"/>
  <c r="N30" i="43" s="1"/>
  <c r="V8" i="19"/>
  <c r="V76" i="19"/>
  <c r="J83" i="51"/>
  <c r="J50" i="51"/>
  <c r="V43" i="19"/>
  <c r="J86" i="51"/>
  <c r="V79" i="19"/>
  <c r="V61" i="19"/>
  <c r="J68" i="51"/>
  <c r="J61" i="51"/>
  <c r="V54" i="19"/>
  <c r="K16" i="28"/>
  <c r="V20" i="19"/>
  <c r="J27" i="51"/>
  <c r="J44" i="51"/>
  <c r="V37" i="19"/>
  <c r="G76" i="43"/>
  <c r="N76" i="43" s="1"/>
  <c r="G28" i="43"/>
  <c r="N28" i="43" s="1"/>
  <c r="G58" i="43"/>
  <c r="N58" i="43" s="1"/>
  <c r="G35" i="43"/>
  <c r="N35" i="43" s="1"/>
  <c r="G50" i="43"/>
  <c r="N50" i="43" s="1"/>
  <c r="G54" i="43"/>
  <c r="N54" i="43" s="1"/>
  <c r="G70" i="43"/>
  <c r="N70" i="43" s="1"/>
  <c r="J59" i="51"/>
  <c r="V52" i="19"/>
  <c r="G94" i="43"/>
  <c r="N94" i="43" s="1"/>
  <c r="G66" i="43"/>
  <c r="N66" i="43" s="1"/>
  <c r="G85" i="43"/>
  <c r="N85" i="43" s="1"/>
  <c r="G20" i="43"/>
  <c r="N20" i="43" s="1"/>
  <c r="G40" i="43"/>
  <c r="N40" i="43" s="1"/>
  <c r="G13" i="43"/>
  <c r="N13" i="43" s="1"/>
  <c r="G16" i="43"/>
  <c r="N16" i="43" s="1"/>
  <c r="G60" i="43"/>
  <c r="N60" i="43" s="1"/>
  <c r="G89" i="43"/>
  <c r="N89" i="43" s="1"/>
  <c r="G45" i="43"/>
  <c r="N45" i="43" s="1"/>
  <c r="BC8" i="19"/>
  <c r="BC9" i="19" s="1"/>
  <c r="BC10" i="19" s="1"/>
  <c r="BC11" i="19" s="1"/>
  <c r="BC12" i="19" s="1"/>
  <c r="BC13" i="19" s="1"/>
  <c r="BC14" i="19" s="1"/>
  <c r="BC15" i="19" s="1"/>
  <c r="BC16" i="19" s="1"/>
  <c r="BC17" i="19" s="1"/>
  <c r="BC18" i="19" s="1"/>
  <c r="BC19" i="19" s="1"/>
  <c r="BC20" i="19" s="1"/>
  <c r="BC21" i="19" s="1"/>
  <c r="BC22" i="19" s="1"/>
  <c r="BC23" i="19" s="1"/>
  <c r="BC24" i="19" s="1"/>
  <c r="BC25" i="19" s="1"/>
  <c r="BC26" i="19" s="1"/>
  <c r="BC27" i="19" s="1"/>
  <c r="BC28" i="19" s="1"/>
  <c r="BC29" i="19" s="1"/>
  <c r="BC30" i="19" s="1"/>
  <c r="BC31" i="19" s="1"/>
  <c r="BC32" i="19" s="1"/>
  <c r="BC33" i="19" s="1"/>
  <c r="BC34" i="19" s="1"/>
  <c r="BC35" i="19" s="1"/>
  <c r="BC36" i="19" s="1"/>
  <c r="BC37" i="19" s="1"/>
  <c r="BC38" i="19" s="1"/>
  <c r="BC39" i="19" s="1"/>
  <c r="BC40" i="19" s="1"/>
  <c r="BC41" i="19" s="1"/>
  <c r="BC42" i="19" s="1"/>
  <c r="BC43" i="19" s="1"/>
  <c r="BC44" i="19" s="1"/>
  <c r="BC45" i="19" s="1"/>
  <c r="BC46" i="19" s="1"/>
  <c r="BC47" i="19" s="1"/>
  <c r="BC48" i="19" s="1"/>
  <c r="BC49" i="19" s="1"/>
  <c r="BC50" i="19" s="1"/>
  <c r="BC51" i="19" s="1"/>
  <c r="BC52" i="19" s="1"/>
  <c r="BC53" i="19" s="1"/>
  <c r="BC54" i="19" s="1"/>
  <c r="BC55" i="19" s="1"/>
  <c r="BC56" i="19" s="1"/>
  <c r="BC57" i="19" s="1"/>
  <c r="BC58" i="19" s="1"/>
  <c r="BC59" i="19" s="1"/>
  <c r="BC60" i="19" s="1"/>
  <c r="BC61" i="19" s="1"/>
  <c r="BC62" i="19" s="1"/>
  <c r="BC63" i="19" s="1"/>
  <c r="BC64" i="19" s="1"/>
  <c r="BC65" i="19" s="1"/>
  <c r="BC66" i="19" s="1"/>
  <c r="G33" i="43"/>
  <c r="N33" i="43" s="1"/>
  <c r="G87" i="43"/>
  <c r="N87" i="43" s="1"/>
  <c r="G64" i="43"/>
  <c r="N64" i="43" s="1"/>
  <c r="G18" i="43"/>
  <c r="N18" i="43" s="1"/>
  <c r="G41" i="43"/>
  <c r="N41" i="43" s="1"/>
  <c r="G74" i="43"/>
  <c r="N74" i="43" s="1"/>
  <c r="G79" i="43"/>
  <c r="N79" i="43" s="1"/>
  <c r="G93" i="43"/>
  <c r="N93" i="43" s="1"/>
  <c r="G62" i="43"/>
  <c r="N62" i="43" s="1"/>
  <c r="G91" i="43"/>
  <c r="N91" i="43" s="1"/>
  <c r="J38" i="51"/>
  <c r="V31" i="19"/>
  <c r="G49" i="43"/>
  <c r="N49" i="43" s="1"/>
  <c r="G68" i="43"/>
  <c r="N68" i="43" s="1"/>
  <c r="G73" i="43"/>
  <c r="N73" i="43" s="1"/>
  <c r="G26" i="43"/>
  <c r="N26" i="43" s="1"/>
  <c r="M95" i="43"/>
  <c r="BE8" i="19"/>
  <c r="BE9" i="19" s="1"/>
  <c r="BE10" i="19" s="1"/>
  <c r="BE11" i="19" s="1"/>
  <c r="BE12" i="19" s="1"/>
  <c r="BE13" i="19" s="1"/>
  <c r="BE14" i="19" s="1"/>
  <c r="BE15" i="19" s="1"/>
  <c r="BE16" i="19" s="1"/>
  <c r="BE17" i="19" s="1"/>
  <c r="BE18" i="19" s="1"/>
  <c r="BE19" i="19" s="1"/>
  <c r="BE20" i="19" s="1"/>
  <c r="BE21" i="19" s="1"/>
  <c r="BE22" i="19" s="1"/>
  <c r="BE23" i="19" s="1"/>
  <c r="BE24" i="19" s="1"/>
  <c r="BE25" i="19" s="1"/>
  <c r="BE26" i="19" s="1"/>
  <c r="BE27" i="19" s="1"/>
  <c r="BE28" i="19" s="1"/>
  <c r="BE29" i="19" s="1"/>
  <c r="BE30" i="19" s="1"/>
  <c r="BE31" i="19" s="1"/>
  <c r="BE32" i="19" s="1"/>
  <c r="BE33" i="19" s="1"/>
  <c r="BE34" i="19" s="1"/>
  <c r="BE35" i="19" s="1"/>
  <c r="BE36" i="19" s="1"/>
  <c r="BE37" i="19" s="1"/>
  <c r="BE38" i="19" s="1"/>
  <c r="BE39" i="19" s="1"/>
  <c r="BE40" i="19" s="1"/>
  <c r="BE41" i="19" s="1"/>
  <c r="BE42" i="19" s="1"/>
  <c r="BE43" i="19" s="1"/>
  <c r="BE44" i="19" s="1"/>
  <c r="BE45" i="19" s="1"/>
  <c r="BE46" i="19" s="1"/>
  <c r="BE47" i="19" s="1"/>
  <c r="BE48" i="19" s="1"/>
  <c r="BE49" i="19" s="1"/>
  <c r="BE50" i="19" s="1"/>
  <c r="BE51" i="19" s="1"/>
  <c r="BE52" i="19" s="1"/>
  <c r="BE53" i="19" s="1"/>
  <c r="BE54" i="19" s="1"/>
  <c r="BE55" i="19" s="1"/>
  <c r="BE56" i="19" s="1"/>
  <c r="BE57" i="19" s="1"/>
  <c r="BE58" i="19" s="1"/>
  <c r="BE59" i="19" s="1"/>
  <c r="BE60" i="19" s="1"/>
  <c r="BE61" i="19" s="1"/>
  <c r="BE62" i="19" s="1"/>
  <c r="BE63" i="19" s="1"/>
  <c r="BE64" i="19" s="1"/>
  <c r="BE65" i="19" s="1"/>
  <c r="BE66" i="19" s="1"/>
  <c r="BE67" i="19" s="1"/>
  <c r="BE68" i="19" s="1"/>
  <c r="BE69" i="19" s="1"/>
  <c r="BE70" i="19" s="1"/>
  <c r="BE71" i="19" s="1"/>
  <c r="BE72" i="19" s="1"/>
  <c r="BE73" i="19" s="1"/>
  <c r="BE74" i="19" s="1"/>
  <c r="BE75" i="19" s="1"/>
  <c r="BE76" i="19" s="1"/>
  <c r="BE77" i="19" s="1"/>
  <c r="BE78" i="19" s="1"/>
  <c r="BE79" i="19" s="1"/>
  <c r="BE80" i="19" s="1"/>
  <c r="BE81" i="19" s="1"/>
  <c r="BE82" i="19" s="1"/>
  <c r="BE83" i="19" s="1"/>
  <c r="BE84" i="19" s="1"/>
  <c r="BE85" i="19" s="1"/>
  <c r="BE86" i="19" s="1"/>
  <c r="BE87" i="19" s="1"/>
  <c r="BE88" i="19" s="1"/>
  <c r="BE89" i="19" s="1"/>
  <c r="BE90" i="19" s="1"/>
  <c r="G24" i="43"/>
  <c r="N24" i="43" s="1"/>
  <c r="G61" i="43"/>
  <c r="N61" i="43" s="1"/>
  <c r="G80" i="43"/>
  <c r="N80" i="43" s="1"/>
  <c r="G48" i="43"/>
  <c r="N48" i="43" s="1"/>
  <c r="G72" i="43"/>
  <c r="N72" i="43" s="1"/>
  <c r="G37" i="43"/>
  <c r="N37" i="43" s="1"/>
  <c r="J71" i="51"/>
  <c r="V64" i="19"/>
  <c r="G67" i="43"/>
  <c r="N67" i="43" s="1"/>
  <c r="G71" i="43"/>
  <c r="N71" i="43" s="1"/>
  <c r="G78" i="43"/>
  <c r="N78" i="43" s="1"/>
  <c r="L95" i="43"/>
  <c r="J25" i="51"/>
  <c r="V18" i="19"/>
  <c r="G55" i="43"/>
  <c r="N55" i="43" s="1"/>
  <c r="G53" i="43"/>
  <c r="N53" i="43" s="1"/>
  <c r="J49" i="51"/>
  <c r="V42" i="19"/>
  <c r="K14" i="1"/>
  <c r="AX8" i="19"/>
  <c r="G86" i="43"/>
  <c r="N86" i="43" s="1"/>
  <c r="G23" i="43"/>
  <c r="N23" i="43" s="1"/>
  <c r="G88" i="43"/>
  <c r="N88" i="43" s="1"/>
  <c r="G90" i="43"/>
  <c r="N90" i="43" s="1"/>
  <c r="G17" i="43"/>
  <c r="N17" i="43" s="1"/>
  <c r="G34" i="43"/>
  <c r="N34" i="43" s="1"/>
  <c r="G51" i="43"/>
  <c r="N51" i="43" s="1"/>
  <c r="G69" i="43"/>
  <c r="N69" i="43" s="1"/>
  <c r="G22" i="43"/>
  <c r="N22" i="43" s="1"/>
  <c r="G56" i="43"/>
  <c r="N56" i="43" s="1"/>
  <c r="G52" i="43"/>
  <c r="N52" i="43" s="1"/>
  <c r="G15" i="43"/>
  <c r="N15" i="43" s="1"/>
  <c r="G75" i="43"/>
  <c r="N75" i="43" s="1"/>
  <c r="G81" i="43"/>
  <c r="N81" i="43" s="1"/>
  <c r="G39" i="43"/>
  <c r="N39" i="43" s="1"/>
  <c r="G31" i="43"/>
  <c r="N31" i="43" s="1"/>
  <c r="G32" i="43"/>
  <c r="N32" i="43" s="1"/>
  <c r="G21" i="43"/>
  <c r="N21" i="43" s="1"/>
  <c r="G27" i="43"/>
  <c r="N27" i="43" s="1"/>
  <c r="AU17" i="19"/>
  <c r="AU18" i="19" s="1"/>
  <c r="AU19" i="19" s="1"/>
  <c r="AU20" i="19" s="1"/>
  <c r="AU21" i="19" s="1"/>
  <c r="AU22" i="19" s="1"/>
  <c r="AU23" i="19" s="1"/>
  <c r="AU24" i="19" s="1"/>
  <c r="AU25" i="19" s="1"/>
  <c r="AU26" i="19" s="1"/>
  <c r="AU27" i="19" s="1"/>
  <c r="AU28" i="19" s="1"/>
  <c r="AU29" i="19" s="1"/>
  <c r="AU30" i="19" s="1"/>
  <c r="AU31" i="19" s="1"/>
  <c r="AU32" i="19" s="1"/>
  <c r="AU33" i="19" s="1"/>
  <c r="AU34" i="19" s="1"/>
  <c r="AU35" i="19" s="1"/>
  <c r="AU36" i="19" s="1"/>
  <c r="AU37" i="19" s="1"/>
  <c r="AU38" i="19" s="1"/>
  <c r="AU39" i="19" s="1"/>
  <c r="AU40" i="19" s="1"/>
  <c r="AU41" i="19" s="1"/>
  <c r="AU42" i="19" s="1"/>
  <c r="AU43" i="19" s="1"/>
  <c r="AU44" i="19" s="1"/>
  <c r="AU45" i="19" s="1"/>
  <c r="AU46" i="19" s="1"/>
  <c r="AU47" i="19" s="1"/>
  <c r="AU48" i="19" s="1"/>
  <c r="AU49" i="19" s="1"/>
  <c r="AU50" i="19" s="1"/>
  <c r="AU51" i="19" s="1"/>
  <c r="AU52" i="19" s="1"/>
  <c r="AU53" i="19" s="1"/>
  <c r="AU54" i="19" s="1"/>
  <c r="AU55" i="19" s="1"/>
  <c r="AU56" i="19" s="1"/>
  <c r="AU57" i="19" s="1"/>
  <c r="AU58" i="19" s="1"/>
  <c r="AU59" i="19" s="1"/>
  <c r="AU60" i="19" s="1"/>
  <c r="AU61" i="19" s="1"/>
  <c r="AU62" i="19" s="1"/>
  <c r="AU63" i="19" s="1"/>
  <c r="AU64" i="19" s="1"/>
  <c r="AU65" i="19" s="1"/>
  <c r="AU66" i="19" s="1"/>
  <c r="AU67" i="19" s="1"/>
  <c r="AU68" i="19" s="1"/>
  <c r="AU69" i="19" s="1"/>
  <c r="AU70" i="19" s="1"/>
  <c r="AU71" i="19" s="1"/>
  <c r="AU72" i="19" s="1"/>
  <c r="AU73" i="19" s="1"/>
  <c r="AU74" i="19" s="1"/>
  <c r="AU75" i="19" s="1"/>
  <c r="AU76" i="19" s="1"/>
  <c r="AU77" i="19" s="1"/>
  <c r="AU78" i="19" s="1"/>
  <c r="AU79" i="19" s="1"/>
  <c r="AU80" i="19" s="1"/>
  <c r="AU81" i="19" s="1"/>
  <c r="AU82" i="19" s="1"/>
  <c r="AU83" i="19" s="1"/>
  <c r="AU84" i="19" s="1"/>
  <c r="AU85" i="19" s="1"/>
  <c r="AU86" i="19" s="1"/>
  <c r="AU87" i="19" s="1"/>
  <c r="AU88" i="19" s="1"/>
  <c r="AU89" i="19" s="1"/>
  <c r="AU90" i="19" s="1"/>
  <c r="J26" i="51"/>
  <c r="V19" i="19"/>
  <c r="G82" i="43"/>
  <c r="N82" i="43" s="1"/>
  <c r="G63" i="43"/>
  <c r="N63" i="43" s="1"/>
  <c r="A66" i="1"/>
  <c r="B67" i="30"/>
  <c r="A34" i="1"/>
  <c r="B35" i="30"/>
  <c r="A70" i="1"/>
  <c r="B71" i="30"/>
  <c r="A29" i="1"/>
  <c r="B30" i="30"/>
  <c r="A15" i="1"/>
  <c r="B16" i="30"/>
  <c r="A65" i="1"/>
  <c r="B66" i="30"/>
  <c r="A33" i="1"/>
  <c r="B34" i="30"/>
  <c r="A69" i="1"/>
  <c r="B70" i="30"/>
  <c r="A37" i="1"/>
  <c r="B38" i="30"/>
  <c r="A73" i="1"/>
  <c r="B74" i="30"/>
  <c r="A32" i="1"/>
  <c r="B33" i="30"/>
  <c r="A18" i="1"/>
  <c r="B19" i="30"/>
  <c r="A68" i="1"/>
  <c r="B69" i="30"/>
  <c r="A36" i="1"/>
  <c r="B37" i="30"/>
  <c r="A72" i="1"/>
  <c r="B73" i="30"/>
  <c r="A40" i="1"/>
  <c r="B41" i="30"/>
  <c r="A76" i="1"/>
  <c r="B77" i="30"/>
  <c r="A50" i="1"/>
  <c r="B51" i="30"/>
  <c r="A21" i="1"/>
  <c r="B22" i="30"/>
  <c r="A71" i="1"/>
  <c r="B72" i="30"/>
  <c r="A39" i="1"/>
  <c r="B40" i="30"/>
  <c r="A75" i="1"/>
  <c r="B76" i="30"/>
  <c r="A43" i="1"/>
  <c r="B44" i="30"/>
  <c r="A79" i="1"/>
  <c r="B80" i="30"/>
  <c r="A26" i="1"/>
  <c r="B27" i="30"/>
  <c r="A47" i="1"/>
  <c r="B48" i="30"/>
  <c r="A25" i="1"/>
  <c r="B26" i="30"/>
  <c r="A74" i="1"/>
  <c r="B75" i="30"/>
  <c r="A42" i="1"/>
  <c r="B43" i="30"/>
  <c r="A78" i="1"/>
  <c r="B79" i="30"/>
  <c r="A46" i="1"/>
  <c r="B47" i="30"/>
  <c r="A82" i="1"/>
  <c r="B83" i="30"/>
  <c r="A28" i="1"/>
  <c r="B29" i="30"/>
  <c r="A77" i="1"/>
  <c r="B78" i="30"/>
  <c r="A45" i="1"/>
  <c r="B46" i="30"/>
  <c r="A81" i="1"/>
  <c r="B82" i="30"/>
  <c r="A49" i="1"/>
  <c r="B50" i="30"/>
  <c r="A85" i="1"/>
  <c r="B86" i="30"/>
  <c r="A62" i="1"/>
  <c r="B63" i="30"/>
  <c r="A17" i="1"/>
  <c r="B18" i="30"/>
  <c r="A31" i="1"/>
  <c r="B32" i="30"/>
  <c r="A80" i="1"/>
  <c r="B81" i="30"/>
  <c r="A48" i="1"/>
  <c r="B49" i="30"/>
  <c r="A84" i="1"/>
  <c r="B85" i="30"/>
  <c r="A52" i="1"/>
  <c r="B53" i="30"/>
  <c r="A88" i="1"/>
  <c r="B89" i="30"/>
  <c r="A41" i="1"/>
  <c r="B42" i="30"/>
  <c r="A20" i="1"/>
  <c r="B21" i="30"/>
  <c r="A38" i="1"/>
  <c r="B39" i="30"/>
  <c r="A83" i="1"/>
  <c r="B84" i="30"/>
  <c r="A51" i="1"/>
  <c r="B52" i="30"/>
  <c r="A87" i="1"/>
  <c r="B88" i="30"/>
  <c r="A55" i="1"/>
  <c r="B56" i="30"/>
  <c r="A91" i="1"/>
  <c r="B92" i="30"/>
  <c r="A16" i="1"/>
  <c r="B17" i="30"/>
  <c r="A24" i="1"/>
  <c r="B25" i="30"/>
  <c r="A56" i="1"/>
  <c r="B57" i="30"/>
  <c r="A86" i="1"/>
  <c r="B87" i="30"/>
  <c r="A54" i="1"/>
  <c r="B55" i="30"/>
  <c r="A90" i="1"/>
  <c r="B91" i="30"/>
  <c r="A58" i="1"/>
  <c r="B59" i="30"/>
  <c r="A94" i="1"/>
  <c r="B95" i="30"/>
  <c r="A19" i="1"/>
  <c r="B20" i="30"/>
  <c r="A27" i="1"/>
  <c r="B28" i="30"/>
  <c r="A35" i="1"/>
  <c r="B36" i="30"/>
  <c r="A89" i="1"/>
  <c r="B90" i="30"/>
  <c r="A57" i="1"/>
  <c r="B58" i="30"/>
  <c r="A93" i="1"/>
  <c r="B94" i="30"/>
  <c r="A61" i="1"/>
  <c r="B62" i="30"/>
  <c r="B98" i="30"/>
  <c r="A97" i="1"/>
  <c r="A22" i="1"/>
  <c r="B23" i="30"/>
  <c r="A30" i="1"/>
  <c r="B31" i="30"/>
  <c r="A53" i="1"/>
  <c r="B54" i="30"/>
  <c r="A92" i="1"/>
  <c r="B93" i="30"/>
  <c r="A60" i="1"/>
  <c r="B61" i="30"/>
  <c r="B97" i="30"/>
  <c r="A96" i="1"/>
  <c r="A64" i="1"/>
  <c r="B65" i="30"/>
  <c r="A23" i="1"/>
  <c r="B24" i="30"/>
  <c r="A44" i="1"/>
  <c r="B45" i="30"/>
  <c r="A59" i="1"/>
  <c r="B60" i="30"/>
  <c r="A95" i="1"/>
  <c r="B96" i="30"/>
  <c r="A63" i="1"/>
  <c r="B64" i="30"/>
  <c r="A92" i="51"/>
  <c r="A89" i="51"/>
  <c r="A66" i="51"/>
  <c r="A56" i="51"/>
  <c r="A53" i="51"/>
  <c r="A33" i="51"/>
  <c r="A23" i="51"/>
  <c r="A20" i="51"/>
  <c r="A16" i="51"/>
  <c r="E3" i="1"/>
  <c r="C8" i="28" s="1"/>
  <c r="A86" i="51"/>
  <c r="A73" i="51"/>
  <c r="A63" i="51"/>
  <c r="A43" i="51"/>
  <c r="A40" i="51"/>
  <c r="A30" i="51"/>
  <c r="A70" i="51"/>
  <c r="A60" i="51"/>
  <c r="A50" i="51"/>
  <c r="A27" i="51"/>
  <c r="A96" i="51"/>
  <c r="A93" i="51"/>
  <c r="A83" i="51"/>
  <c r="A80" i="51"/>
  <c r="A77" i="51"/>
  <c r="A57" i="51"/>
  <c r="A47" i="51"/>
  <c r="A37" i="51"/>
  <c r="A24" i="51"/>
  <c r="A21" i="51"/>
  <c r="A17" i="51"/>
  <c r="A90" i="51"/>
  <c r="A87" i="51"/>
  <c r="A67" i="51"/>
  <c r="A64" i="51"/>
  <c r="A54" i="51"/>
  <c r="A44" i="51"/>
  <c r="A34" i="51"/>
  <c r="A74" i="51"/>
  <c r="A51" i="51"/>
  <c r="A41" i="51"/>
  <c r="A31" i="51"/>
  <c r="A28" i="51"/>
  <c r="A84" i="51"/>
  <c r="A71" i="51"/>
  <c r="A61" i="51"/>
  <c r="A48" i="51"/>
  <c r="A22" i="51"/>
  <c r="A18" i="51"/>
  <c r="A97" i="51"/>
  <c r="A94" i="51"/>
  <c r="A81" i="51"/>
  <c r="A78" i="51"/>
  <c r="A68" i="51"/>
  <c r="A58" i="51"/>
  <c r="A45" i="51"/>
  <c r="A38" i="51"/>
  <c r="A25" i="51"/>
  <c r="A91" i="51"/>
  <c r="A88" i="51"/>
  <c r="A75" i="51"/>
  <c r="A65" i="51"/>
  <c r="A55" i="51"/>
  <c r="A52" i="51"/>
  <c r="A35" i="51"/>
  <c r="A14" i="51"/>
  <c r="A14" i="1" s="1"/>
  <c r="A72" i="51"/>
  <c r="A42" i="51"/>
  <c r="A32" i="51"/>
  <c r="A29" i="51"/>
  <c r="A19" i="51"/>
  <c r="A85" i="51"/>
  <c r="A69" i="51"/>
  <c r="A62" i="51"/>
  <c r="A49" i="51"/>
  <c r="A39" i="51"/>
  <c r="A15" i="51"/>
  <c r="A95" i="51"/>
  <c r="A82" i="51"/>
  <c r="A79" i="51"/>
  <c r="A76" i="51"/>
  <c r="A59" i="51"/>
  <c r="A46" i="51"/>
  <c r="A36" i="51"/>
  <c r="A26" i="51"/>
  <c r="A67" i="1"/>
  <c r="B68" i="30"/>
  <c r="C16" i="49"/>
  <c r="B15" i="49"/>
  <c r="R23" i="30"/>
  <c r="T22" i="1"/>
  <c r="J33" i="51"/>
  <c r="V26" i="19"/>
  <c r="K22" i="28"/>
  <c r="J57" i="51"/>
  <c r="V50" i="19"/>
  <c r="J81" i="51"/>
  <c r="V74" i="19"/>
  <c r="V81" i="19"/>
  <c r="J88" i="51"/>
  <c r="J28" i="51"/>
  <c r="V21" i="19"/>
  <c r="J40" i="51"/>
  <c r="V33" i="19"/>
  <c r="K21" i="28"/>
  <c r="J52" i="51"/>
  <c r="V45" i="19"/>
  <c r="B118" i="19"/>
  <c r="V69" i="19"/>
  <c r="J76" i="51"/>
  <c r="J45" i="51"/>
  <c r="V38" i="19"/>
  <c r="J69" i="51"/>
  <c r="V62" i="19"/>
  <c r="V9" i="19"/>
  <c r="W15" i="19"/>
  <c r="G22" i="51"/>
  <c r="J64" i="51"/>
  <c r="V57" i="19"/>
  <c r="D118" i="19"/>
  <c r="J93" i="51"/>
  <c r="V86" i="19"/>
  <c r="J21" i="51"/>
  <c r="V14" i="19"/>
  <c r="S97" i="19"/>
  <c r="T96" i="19"/>
  <c r="U96" i="19" s="1"/>
  <c r="G59" i="43" l="1"/>
  <c r="N59" i="43" s="1"/>
  <c r="G12" i="43"/>
  <c r="N12" i="43" s="1"/>
  <c r="BF8" i="19" s="1"/>
  <c r="BF9" i="19" s="1"/>
  <c r="BF10" i="19" s="1"/>
  <c r="BF11" i="19" s="1"/>
  <c r="BF12" i="19" s="1"/>
  <c r="BF13" i="19" s="1"/>
  <c r="BF14" i="19" s="1"/>
  <c r="BF15" i="19" s="1"/>
  <c r="BF16" i="19" s="1"/>
  <c r="BF17" i="19" s="1"/>
  <c r="BF18" i="19" s="1"/>
  <c r="BF19" i="19" s="1"/>
  <c r="BF20" i="19" s="1"/>
  <c r="BF21" i="19" s="1"/>
  <c r="BF22" i="19" s="1"/>
  <c r="BF23" i="19" s="1"/>
  <c r="BF24" i="19" s="1"/>
  <c r="BF25" i="19" s="1"/>
  <c r="BF26" i="19" s="1"/>
  <c r="BF27" i="19" s="1"/>
  <c r="BF28" i="19" s="1"/>
  <c r="BF29" i="19" s="1"/>
  <c r="BF30" i="19" s="1"/>
  <c r="BF31" i="19" s="1"/>
  <c r="BF32" i="19" s="1"/>
  <c r="BF33" i="19" s="1"/>
  <c r="BF34" i="19" s="1"/>
  <c r="BF35" i="19" s="1"/>
  <c r="BF36" i="19" s="1"/>
  <c r="BF37" i="19" s="1"/>
  <c r="BF38" i="19" s="1"/>
  <c r="BF39" i="19" s="1"/>
  <c r="BF40" i="19" s="1"/>
  <c r="BF41" i="19" s="1"/>
  <c r="BF42" i="19" s="1"/>
  <c r="BF43" i="19" s="1"/>
  <c r="BF44" i="19" s="1"/>
  <c r="BF45" i="19" s="1"/>
  <c r="BF46" i="19" s="1"/>
  <c r="BF47" i="19" s="1"/>
  <c r="BF48" i="19" s="1"/>
  <c r="BF49" i="19" s="1"/>
  <c r="BF50" i="19" s="1"/>
  <c r="BF51" i="19" s="1"/>
  <c r="BF52" i="19" s="1"/>
  <c r="BF53" i="19" s="1"/>
  <c r="BF54" i="19" s="1"/>
  <c r="BF55" i="19" s="1"/>
  <c r="BF56" i="19" s="1"/>
  <c r="BF57" i="19" s="1"/>
  <c r="BF58" i="19" s="1"/>
  <c r="BF59" i="19" s="1"/>
  <c r="BF60" i="19" s="1"/>
  <c r="BF61" i="19" s="1"/>
  <c r="BF62" i="19" s="1"/>
  <c r="BF63" i="19" s="1"/>
  <c r="BF64" i="19" s="1"/>
  <c r="BF65" i="19" s="1"/>
  <c r="BF66" i="19" s="1"/>
  <c r="BF67" i="19" s="1"/>
  <c r="BF68" i="19" s="1"/>
  <c r="BF69" i="19" s="1"/>
  <c r="BF70" i="19" s="1"/>
  <c r="BF71" i="19" s="1"/>
  <c r="BF72" i="19" s="1"/>
  <c r="BF73" i="19" s="1"/>
  <c r="BF74" i="19" s="1"/>
  <c r="BF75" i="19" s="1"/>
  <c r="BF76" i="19" s="1"/>
  <c r="BF77" i="19" s="1"/>
  <c r="BF78" i="19" s="1"/>
  <c r="BF79" i="19" s="1"/>
  <c r="BF80" i="19" s="1"/>
  <c r="BF81" i="19" s="1"/>
  <c r="BF82" i="19" s="1"/>
  <c r="BF83" i="19" s="1"/>
  <c r="BF84" i="19" s="1"/>
  <c r="BF85" i="19" s="1"/>
  <c r="BF86" i="19" s="1"/>
  <c r="BF87" i="19" s="1"/>
  <c r="BF88" i="19" s="1"/>
  <c r="BF89" i="19" s="1"/>
  <c r="BF90" i="19" s="1"/>
  <c r="K95" i="43"/>
  <c r="H70" i="51"/>
  <c r="X63" i="19"/>
  <c r="O15" i="37"/>
  <c r="E4" i="49" s="1"/>
  <c r="H26" i="51"/>
  <c r="X19" i="19"/>
  <c r="H65" i="51"/>
  <c r="X58" i="19"/>
  <c r="X85" i="19"/>
  <c r="L29" i="28"/>
  <c r="H92" i="51"/>
  <c r="I69" i="51"/>
  <c r="U62" i="19"/>
  <c r="I75" i="51"/>
  <c r="U68" i="19"/>
  <c r="I54" i="51"/>
  <c r="U47" i="19"/>
  <c r="I33" i="51"/>
  <c r="U26" i="19"/>
  <c r="H15" i="51"/>
  <c r="X8" i="19"/>
  <c r="X9" i="19"/>
  <c r="I68" i="51"/>
  <c r="U61" i="19"/>
  <c r="X48" i="19"/>
  <c r="H55" i="51"/>
  <c r="H49" i="51"/>
  <c r="X42" i="19"/>
  <c r="BC67" i="19"/>
  <c r="BC68" i="19" s="1"/>
  <c r="BC69" i="19" s="1"/>
  <c r="BC70" i="19" s="1"/>
  <c r="BC71" i="19" s="1"/>
  <c r="BC72" i="19" s="1"/>
  <c r="BC73" i="19" s="1"/>
  <c r="BC74" i="19" s="1"/>
  <c r="BC75" i="19" s="1"/>
  <c r="BC76" i="19" s="1"/>
  <c r="BC77" i="19" s="1"/>
  <c r="BC78" i="19" s="1"/>
  <c r="BC79" i="19" s="1"/>
  <c r="BC80" i="19" s="1"/>
  <c r="BC81" i="19" s="1"/>
  <c r="BC82" i="19" s="1"/>
  <c r="BC83" i="19" s="1"/>
  <c r="BC84" i="19" s="1"/>
  <c r="BC85" i="19" s="1"/>
  <c r="BC86" i="19" s="1"/>
  <c r="BC87" i="19" s="1"/>
  <c r="BC88" i="19" s="1"/>
  <c r="BC89" i="19" s="1"/>
  <c r="BC90" i="19" s="1"/>
  <c r="I29" i="51"/>
  <c r="U22" i="19"/>
  <c r="I45" i="51"/>
  <c r="U38" i="19"/>
  <c r="I32" i="51"/>
  <c r="U25" i="19"/>
  <c r="G101" i="19"/>
  <c r="O9" i="49"/>
  <c r="M9" i="49"/>
  <c r="Q101" i="19"/>
  <c r="H9" i="49" s="1"/>
  <c r="N9" i="49"/>
  <c r="K9" i="49"/>
  <c r="O102" i="19"/>
  <c r="E101" i="19"/>
  <c r="F101" i="19" s="1"/>
  <c r="J9" i="49" s="1"/>
  <c r="H31" i="51"/>
  <c r="X24" i="19"/>
  <c r="H53" i="51"/>
  <c r="X46" i="19"/>
  <c r="D43" i="37"/>
  <c r="E43" i="37" s="1"/>
  <c r="M102" i="19"/>
  <c r="D101" i="19"/>
  <c r="I9" i="49" s="1"/>
  <c r="J101" i="19"/>
  <c r="I27" i="51"/>
  <c r="U20" i="19"/>
  <c r="I14" i="51"/>
  <c r="U7" i="19"/>
  <c r="I19" i="51"/>
  <c r="U12" i="19"/>
  <c r="I91" i="51"/>
  <c r="U84" i="19"/>
  <c r="I83" i="51"/>
  <c r="U76" i="19"/>
  <c r="H24" i="51"/>
  <c r="X17" i="19"/>
  <c r="I89" i="51"/>
  <c r="U82" i="19"/>
  <c r="I79" i="51"/>
  <c r="U72" i="19"/>
  <c r="H29" i="51"/>
  <c r="X22" i="19"/>
  <c r="I81" i="51"/>
  <c r="U74" i="19"/>
  <c r="I15" i="51"/>
  <c r="U8" i="19"/>
  <c r="X45" i="19"/>
  <c r="H52" i="51"/>
  <c r="L21" i="28"/>
  <c r="H77" i="51"/>
  <c r="L26" i="28"/>
  <c r="X70" i="19"/>
  <c r="I87" i="51"/>
  <c r="U80" i="19"/>
  <c r="H59" i="51"/>
  <c r="X52" i="19"/>
  <c r="H14" i="51"/>
  <c r="X7" i="19"/>
  <c r="I66" i="51"/>
  <c r="U59" i="19"/>
  <c r="I90" i="51"/>
  <c r="U83" i="19"/>
  <c r="I73" i="51"/>
  <c r="U66" i="19"/>
  <c r="H40" i="51"/>
  <c r="X33" i="19"/>
  <c r="I71" i="51"/>
  <c r="U64" i="19"/>
  <c r="I37" i="51"/>
  <c r="U30" i="19"/>
  <c r="H36" i="51"/>
  <c r="X29" i="19"/>
  <c r="I35" i="51"/>
  <c r="U28" i="19"/>
  <c r="I39" i="51"/>
  <c r="U32" i="19"/>
  <c r="H96" i="51"/>
  <c r="X89" i="19"/>
  <c r="I21" i="51"/>
  <c r="U14" i="19"/>
  <c r="H60" i="51"/>
  <c r="X53" i="19"/>
  <c r="X67" i="19"/>
  <c r="H74" i="51"/>
  <c r="H39" i="51"/>
  <c r="X32" i="19"/>
  <c r="I62" i="51"/>
  <c r="U55" i="19"/>
  <c r="I77" i="51"/>
  <c r="U70" i="19"/>
  <c r="I46" i="51"/>
  <c r="U39" i="19"/>
  <c r="I43" i="51"/>
  <c r="U36" i="19"/>
  <c r="X88" i="19"/>
  <c r="H95" i="51"/>
  <c r="I50" i="51"/>
  <c r="U43" i="19"/>
  <c r="J15" i="51"/>
  <c r="H25" i="51"/>
  <c r="X18" i="19"/>
  <c r="C16" i="1"/>
  <c r="B9" i="19" s="1"/>
  <c r="AF17" i="30"/>
  <c r="D18" i="30"/>
  <c r="S9" i="19"/>
  <c r="C10" i="19"/>
  <c r="P17" i="30"/>
  <c r="H34" i="51"/>
  <c r="X27" i="19"/>
  <c r="R100" i="19"/>
  <c r="K55" i="55"/>
  <c r="K56" i="55" s="1"/>
  <c r="K57" i="55" s="1"/>
  <c r="K58" i="55" s="1"/>
  <c r="K59" i="55" s="1"/>
  <c r="K60" i="55" s="1"/>
  <c r="K61" i="55" s="1"/>
  <c r="Y54" i="55"/>
  <c r="T54" i="55"/>
  <c r="I84" i="51"/>
  <c r="U77" i="19"/>
  <c r="I48" i="51"/>
  <c r="U41" i="19"/>
  <c r="H50" i="51"/>
  <c r="X43" i="19"/>
  <c r="X20" i="19"/>
  <c r="H27" i="51"/>
  <c r="L16" i="28"/>
  <c r="H73" i="51"/>
  <c r="X66" i="19"/>
  <c r="H23" i="51"/>
  <c r="X16" i="19"/>
  <c r="I24" i="51"/>
  <c r="U17" i="19"/>
  <c r="I70" i="51"/>
  <c r="U63" i="19"/>
  <c r="H30" i="51"/>
  <c r="X23" i="19"/>
  <c r="I93" i="51"/>
  <c r="U86" i="19"/>
  <c r="I56" i="51"/>
  <c r="U49" i="19"/>
  <c r="I60" i="51"/>
  <c r="U53" i="19"/>
  <c r="H94" i="51"/>
  <c r="X87" i="19"/>
  <c r="D15" i="51"/>
  <c r="F16" i="51" s="1"/>
  <c r="T8" i="19"/>
  <c r="AD8" i="19"/>
  <c r="I18" i="51"/>
  <c r="U11" i="19"/>
  <c r="AA26" i="55"/>
  <c r="H97" i="19"/>
  <c r="L97" i="19" s="1"/>
  <c r="H41" i="51"/>
  <c r="X34" i="19"/>
  <c r="H83" i="51"/>
  <c r="X76" i="19"/>
  <c r="H20" i="51"/>
  <c r="X13" i="19"/>
  <c r="I96" i="51"/>
  <c r="U89" i="19"/>
  <c r="I41" i="51"/>
  <c r="U34" i="19"/>
  <c r="I64" i="51"/>
  <c r="U57" i="19"/>
  <c r="I85" i="51"/>
  <c r="U78" i="19"/>
  <c r="X72" i="19"/>
  <c r="H79" i="51"/>
  <c r="H58" i="51"/>
  <c r="X51" i="19"/>
  <c r="X86" i="19"/>
  <c r="H93" i="51"/>
  <c r="I52" i="51"/>
  <c r="U45" i="19"/>
  <c r="H48" i="51"/>
  <c r="X41" i="19"/>
  <c r="H72" i="51"/>
  <c r="L25" i="28"/>
  <c r="X65" i="19"/>
  <c r="I97" i="51"/>
  <c r="U90" i="19"/>
  <c r="H64" i="51"/>
  <c r="X57" i="19"/>
  <c r="N2" i="37"/>
  <c r="I31" i="51"/>
  <c r="U24" i="19"/>
  <c r="X35" i="19"/>
  <c r="L19" i="28"/>
  <c r="H42" i="51"/>
  <c r="N95" i="43"/>
  <c r="G95" i="43" s="1"/>
  <c r="K15" i="1"/>
  <c r="AX9" i="19"/>
  <c r="L15" i="28"/>
  <c r="H22" i="51"/>
  <c r="X15" i="19"/>
  <c r="E118" i="19"/>
  <c r="T97" i="19"/>
  <c r="U97" i="19" s="1"/>
  <c r="S98" i="19"/>
  <c r="J16" i="51" l="1"/>
  <c r="H16" i="51"/>
  <c r="O2" i="37"/>
  <c r="B26" i="56" s="1"/>
  <c r="B11" i="49" s="1"/>
  <c r="B4" i="49"/>
  <c r="H98" i="19"/>
  <c r="L98" i="19" s="1"/>
  <c r="AA33" i="55"/>
  <c r="C17" i="1"/>
  <c r="D19" i="30"/>
  <c r="P18" i="30"/>
  <c r="AF18" i="30"/>
  <c r="S10" i="19"/>
  <c r="C11" i="19"/>
  <c r="K62" i="55"/>
  <c r="K63" i="55" s="1"/>
  <c r="K64" i="55" s="1"/>
  <c r="K65" i="55" s="1"/>
  <c r="K66" i="55" s="1"/>
  <c r="K67" i="55" s="1"/>
  <c r="K68" i="55" s="1"/>
  <c r="Y61" i="55"/>
  <c r="T61" i="55"/>
  <c r="D16" i="51"/>
  <c r="F17" i="51" s="1"/>
  <c r="T9" i="19"/>
  <c r="AD9" i="19"/>
  <c r="R101" i="19"/>
  <c r="M103" i="19"/>
  <c r="D102" i="19"/>
  <c r="I10" i="49" s="1"/>
  <c r="J102" i="19"/>
  <c r="O10" i="49"/>
  <c r="G102" i="19"/>
  <c r="N10" i="49"/>
  <c r="K10" i="49"/>
  <c r="Q102" i="19"/>
  <c r="H10" i="49" s="1"/>
  <c r="O103" i="19"/>
  <c r="E102" i="19"/>
  <c r="F102" i="19" s="1"/>
  <c r="J10" i="49" s="1"/>
  <c r="M10" i="49"/>
  <c r="F95" i="43"/>
  <c r="E95" i="43"/>
  <c r="D95" i="43"/>
  <c r="K16" i="1"/>
  <c r="AX10" i="19"/>
  <c r="S99" i="19"/>
  <c r="T98" i="19"/>
  <c r="U98" i="19" s="1"/>
  <c r="R102" i="19" l="1"/>
  <c r="H17" i="51"/>
  <c r="J17" i="51"/>
  <c r="B14" i="28"/>
  <c r="B10" i="19"/>
  <c r="AA40" i="55"/>
  <c r="H99" i="19"/>
  <c r="L99" i="19" s="1"/>
  <c r="O11" i="49"/>
  <c r="G103" i="19"/>
  <c r="N11" i="49"/>
  <c r="K11" i="49"/>
  <c r="Q103" i="19"/>
  <c r="H11" i="49" s="1"/>
  <c r="O104" i="19"/>
  <c r="E103" i="19"/>
  <c r="F103" i="19" s="1"/>
  <c r="J11" i="49" s="1"/>
  <c r="M11" i="49"/>
  <c r="M104" i="19"/>
  <c r="D103" i="19"/>
  <c r="I11" i="49" s="1"/>
  <c r="J103" i="19"/>
  <c r="K69" i="55"/>
  <c r="K70" i="55" s="1"/>
  <c r="K71" i="55" s="1"/>
  <c r="K72" i="55" s="1"/>
  <c r="K73" i="55" s="1"/>
  <c r="K74" i="55" s="1"/>
  <c r="K75" i="55" s="1"/>
  <c r="Y68" i="55"/>
  <c r="D17" i="51"/>
  <c r="AD10" i="19"/>
  <c r="T10" i="19"/>
  <c r="C18" i="1"/>
  <c r="B11" i="19" s="1"/>
  <c r="P19" i="30"/>
  <c r="AF19" i="30"/>
  <c r="D20" i="30"/>
  <c r="C12" i="19"/>
  <c r="S11" i="19"/>
  <c r="K17" i="1"/>
  <c r="AX11" i="19"/>
  <c r="S100" i="19"/>
  <c r="T99" i="19"/>
  <c r="U99" i="19" s="1"/>
  <c r="M105" i="19" l="1"/>
  <c r="D104" i="19"/>
  <c r="I12" i="49" s="1"/>
  <c r="J104" i="19"/>
  <c r="C19" i="1"/>
  <c r="B12" i="19" s="1"/>
  <c r="D21" i="30"/>
  <c r="AF20" i="30"/>
  <c r="P20" i="30"/>
  <c r="C13" i="19"/>
  <c r="S12" i="19"/>
  <c r="T68" i="55"/>
  <c r="AA47" i="55"/>
  <c r="H100" i="19"/>
  <c r="L100" i="19" s="1"/>
  <c r="D18" i="51"/>
  <c r="AD11" i="19"/>
  <c r="T11" i="19"/>
  <c r="O12" i="49"/>
  <c r="N12" i="49"/>
  <c r="G104" i="19"/>
  <c r="M12" i="49"/>
  <c r="Q104" i="19"/>
  <c r="H12" i="49" s="1"/>
  <c r="K12" i="49"/>
  <c r="O105" i="19"/>
  <c r="E104" i="19"/>
  <c r="F104" i="19" s="1"/>
  <c r="J12" i="49" s="1"/>
  <c r="K76" i="55"/>
  <c r="K77" i="55" s="1"/>
  <c r="K78" i="55" s="1"/>
  <c r="K79" i="55" s="1"/>
  <c r="K80" i="55" s="1"/>
  <c r="K81" i="55" s="1"/>
  <c r="K82" i="55" s="1"/>
  <c r="T75" i="55"/>
  <c r="Y75" i="55"/>
  <c r="R103" i="19"/>
  <c r="K18" i="1"/>
  <c r="AX12" i="19"/>
  <c r="S101" i="19"/>
  <c r="T100" i="19"/>
  <c r="U100" i="19" s="1"/>
  <c r="K83" i="55" l="1"/>
  <c r="K84" i="55" s="1"/>
  <c r="K85" i="55" s="1"/>
  <c r="K86" i="55" s="1"/>
  <c r="K87" i="55" s="1"/>
  <c r="K88" i="55" s="1"/>
  <c r="K89" i="55" s="1"/>
  <c r="T82" i="55"/>
  <c r="Y82" i="55"/>
  <c r="M106" i="19"/>
  <c r="D105" i="19"/>
  <c r="I13" i="49" s="1"/>
  <c r="J105" i="19"/>
  <c r="O13" i="49"/>
  <c r="N13" i="49"/>
  <c r="G105" i="19"/>
  <c r="M13" i="49"/>
  <c r="Q105" i="19"/>
  <c r="H13" i="49" s="1"/>
  <c r="O106" i="19"/>
  <c r="E105" i="19"/>
  <c r="F105" i="19" s="1"/>
  <c r="J13" i="49" s="1"/>
  <c r="K13" i="49"/>
  <c r="D19" i="51"/>
  <c r="AD12" i="19"/>
  <c r="T12" i="19"/>
  <c r="C20" i="1"/>
  <c r="B13" i="19" s="1"/>
  <c r="D22" i="30"/>
  <c r="AF21" i="30"/>
  <c r="C14" i="19"/>
  <c r="S13" i="19"/>
  <c r="P21" i="30"/>
  <c r="R104" i="19"/>
  <c r="AA54" i="55"/>
  <c r="H101" i="19"/>
  <c r="L101" i="19" s="1"/>
  <c r="K19" i="1"/>
  <c r="AX13" i="19"/>
  <c r="T101" i="19"/>
  <c r="U101" i="19" s="1"/>
  <c r="S102" i="19"/>
  <c r="R105" i="19" l="1"/>
  <c r="Y89" i="55"/>
  <c r="K90" i="55"/>
  <c r="K91" i="55" s="1"/>
  <c r="K92" i="55" s="1"/>
  <c r="K93" i="55" s="1"/>
  <c r="K94" i="55" s="1"/>
  <c r="K95" i="55" s="1"/>
  <c r="K96" i="55" s="1"/>
  <c r="T89" i="55"/>
  <c r="D20" i="51"/>
  <c r="T13" i="19"/>
  <c r="AD13" i="19"/>
  <c r="O14" i="49"/>
  <c r="N14" i="49"/>
  <c r="G106" i="19"/>
  <c r="M14" i="49"/>
  <c r="Q106" i="19"/>
  <c r="H14" i="49" s="1"/>
  <c r="O107" i="19"/>
  <c r="E106" i="19"/>
  <c r="F106" i="19" s="1"/>
  <c r="J14" i="49" s="1"/>
  <c r="K14" i="49"/>
  <c r="M107" i="19"/>
  <c r="D106" i="19"/>
  <c r="I14" i="49" s="1"/>
  <c r="J106" i="19"/>
  <c r="AA61" i="55"/>
  <c r="H102" i="19"/>
  <c r="L102" i="19" s="1"/>
  <c r="C21" i="1"/>
  <c r="B14" i="19" s="1"/>
  <c r="D23" i="30"/>
  <c r="AF22" i="30"/>
  <c r="P22" i="30"/>
  <c r="C15" i="19"/>
  <c r="S14" i="19"/>
  <c r="K20" i="1"/>
  <c r="AX14" i="19"/>
  <c r="T102" i="19"/>
  <c r="U102" i="19" s="1"/>
  <c r="S103" i="19"/>
  <c r="K97" i="55" l="1"/>
  <c r="K98" i="55" s="1"/>
  <c r="K99" i="55" s="1"/>
  <c r="K100" i="55" s="1"/>
  <c r="K101" i="55" s="1"/>
  <c r="K102" i="55" s="1"/>
  <c r="K103" i="55" s="1"/>
  <c r="T96" i="55"/>
  <c r="Y96" i="55"/>
  <c r="M108" i="19"/>
  <c r="D107" i="19"/>
  <c r="I15" i="49" s="1"/>
  <c r="J107" i="19"/>
  <c r="D21" i="51"/>
  <c r="T14" i="19"/>
  <c r="AD14" i="19"/>
  <c r="C22" i="1"/>
  <c r="AF23" i="30"/>
  <c r="D24" i="30"/>
  <c r="S15" i="19"/>
  <c r="C16" i="19"/>
  <c r="P23" i="30"/>
  <c r="O15" i="49"/>
  <c r="N15" i="49"/>
  <c r="G107" i="19"/>
  <c r="M15" i="49"/>
  <c r="Q107" i="19"/>
  <c r="H15" i="49" s="1"/>
  <c r="K15" i="49"/>
  <c r="O108" i="19"/>
  <c r="E107" i="19"/>
  <c r="F107" i="19" s="1"/>
  <c r="J15" i="49" s="1"/>
  <c r="AA68" i="55"/>
  <c r="H103" i="19"/>
  <c r="L103" i="19" s="1"/>
  <c r="R106" i="19"/>
  <c r="K21" i="1"/>
  <c r="AX15" i="19"/>
  <c r="S104" i="19"/>
  <c r="T103" i="19"/>
  <c r="U103" i="19" s="1"/>
  <c r="R107" i="19" l="1"/>
  <c r="O16" i="49"/>
  <c r="N16" i="49"/>
  <c r="G108" i="19"/>
  <c r="M16" i="49"/>
  <c r="Q108" i="19"/>
  <c r="H16" i="49" s="1"/>
  <c r="O109" i="19"/>
  <c r="E108" i="19"/>
  <c r="F108" i="19" s="1"/>
  <c r="J16" i="49" s="1"/>
  <c r="K16" i="49"/>
  <c r="B15" i="28"/>
  <c r="B15" i="19"/>
  <c r="C23" i="1"/>
  <c r="B16" i="19" s="1"/>
  <c r="AF24" i="30"/>
  <c r="D25" i="30"/>
  <c r="S16" i="19"/>
  <c r="C17" i="19"/>
  <c r="P24" i="30"/>
  <c r="M109" i="19"/>
  <c r="D108" i="19"/>
  <c r="I16" i="49" s="1"/>
  <c r="J108" i="19"/>
  <c r="AA75" i="55"/>
  <c r="H104" i="19"/>
  <c r="L104" i="19" s="1"/>
  <c r="K104" i="55"/>
  <c r="K105" i="55" s="1"/>
  <c r="K106" i="55" s="1"/>
  <c r="K107" i="55" s="1"/>
  <c r="K108" i="55" s="1"/>
  <c r="K109" i="55" s="1"/>
  <c r="K110" i="55" s="1"/>
  <c r="T103" i="55"/>
  <c r="Y103" i="55"/>
  <c r="D22" i="51"/>
  <c r="AD15" i="19"/>
  <c r="AD16" i="19" s="1"/>
  <c r="T15" i="19"/>
  <c r="K22" i="1"/>
  <c r="AX16" i="19"/>
  <c r="S105" i="19"/>
  <c r="T104" i="19"/>
  <c r="U104" i="19" s="1"/>
  <c r="R108" i="19" l="1"/>
  <c r="M110" i="19"/>
  <c r="D109" i="19"/>
  <c r="I17" i="49" s="1"/>
  <c r="J109" i="19"/>
  <c r="AA82" i="55"/>
  <c r="H105" i="19"/>
  <c r="L105" i="19" s="1"/>
  <c r="O17" i="49"/>
  <c r="N17" i="49"/>
  <c r="G109" i="19"/>
  <c r="M17" i="49"/>
  <c r="Q109" i="19"/>
  <c r="H17" i="49" s="1"/>
  <c r="O110" i="19"/>
  <c r="E109" i="19"/>
  <c r="F109" i="19" s="1"/>
  <c r="J17" i="49" s="1"/>
  <c r="K17" i="49"/>
  <c r="C24" i="1"/>
  <c r="B17" i="19" s="1"/>
  <c r="AF25" i="30"/>
  <c r="P25" i="30"/>
  <c r="D26" i="30"/>
  <c r="S17" i="19"/>
  <c r="C18" i="19"/>
  <c r="Y110" i="55"/>
  <c r="K111" i="55"/>
  <c r="K112" i="55" s="1"/>
  <c r="K113" i="55" s="1"/>
  <c r="K114" i="55" s="1"/>
  <c r="K115" i="55" s="1"/>
  <c r="K116" i="55" s="1"/>
  <c r="K117" i="55" s="1"/>
  <c r="T110" i="55"/>
  <c r="AD17" i="19"/>
  <c r="D23" i="51"/>
  <c r="T16" i="19"/>
  <c r="K23" i="1"/>
  <c r="AX17" i="19"/>
  <c r="T105" i="19"/>
  <c r="U105" i="19" s="1"/>
  <c r="S106" i="19"/>
  <c r="D24" i="51" l="1"/>
  <c r="T17" i="19"/>
  <c r="K118" i="55"/>
  <c r="K119" i="55" s="1"/>
  <c r="K120" i="55" s="1"/>
  <c r="K121" i="55" s="1"/>
  <c r="K122" i="55" s="1"/>
  <c r="K123" i="55" s="1"/>
  <c r="K124" i="55" s="1"/>
  <c r="Y117" i="55"/>
  <c r="T117" i="55"/>
  <c r="R109" i="19"/>
  <c r="M111" i="19"/>
  <c r="D110" i="19"/>
  <c r="I18" i="49" s="1"/>
  <c r="J110" i="19"/>
  <c r="AA89" i="55"/>
  <c r="H106" i="19"/>
  <c r="L106" i="19" s="1"/>
  <c r="C25" i="1"/>
  <c r="B18" i="19" s="1"/>
  <c r="AF26" i="30"/>
  <c r="D27" i="30"/>
  <c r="S18" i="19"/>
  <c r="C19" i="19"/>
  <c r="P26" i="30"/>
  <c r="O18" i="49"/>
  <c r="N18" i="49"/>
  <c r="G110" i="19"/>
  <c r="M18" i="49"/>
  <c r="Q110" i="19"/>
  <c r="H18" i="49" s="1"/>
  <c r="O111" i="19"/>
  <c r="E110" i="19"/>
  <c r="F110" i="19" s="1"/>
  <c r="J18" i="49" s="1"/>
  <c r="K18" i="49"/>
  <c r="K24" i="1"/>
  <c r="AX18" i="19"/>
  <c r="T106" i="19"/>
  <c r="U106" i="19" s="1"/>
  <c r="S107" i="19"/>
  <c r="D25" i="51" l="1"/>
  <c r="T18" i="19"/>
  <c r="R110" i="19"/>
  <c r="AA96" i="55"/>
  <c r="H107" i="19"/>
  <c r="L107" i="19" s="1"/>
  <c r="AD18" i="19"/>
  <c r="AD19" i="19" s="1"/>
  <c r="K125" i="55"/>
  <c r="K126" i="55" s="1"/>
  <c r="K127" i="55" s="1"/>
  <c r="K128" i="55" s="1"/>
  <c r="K129" i="55" s="1"/>
  <c r="K130" i="55" s="1"/>
  <c r="K131" i="55" s="1"/>
  <c r="T124" i="55"/>
  <c r="Y124" i="55"/>
  <c r="C26" i="1"/>
  <c r="B19" i="19" s="1"/>
  <c r="D28" i="30"/>
  <c r="AF27" i="30"/>
  <c r="S19" i="19"/>
  <c r="C20" i="19"/>
  <c r="P27" i="30"/>
  <c r="M19" i="49"/>
  <c r="K19" i="49"/>
  <c r="G111" i="19"/>
  <c r="Q111" i="19"/>
  <c r="H19" i="49" s="1"/>
  <c r="O19" i="49"/>
  <c r="N19" i="49"/>
  <c r="O112" i="19"/>
  <c r="E111" i="19"/>
  <c r="F111" i="19" s="1"/>
  <c r="J19" i="49" s="1"/>
  <c r="M112" i="19"/>
  <c r="D111" i="19"/>
  <c r="I19" i="49" s="1"/>
  <c r="J111" i="19"/>
  <c r="K25" i="1"/>
  <c r="AX19" i="19"/>
  <c r="T107" i="19"/>
  <c r="U107" i="19" s="1"/>
  <c r="S108" i="19"/>
  <c r="K132" i="55" l="1"/>
  <c r="K133" i="55" s="1"/>
  <c r="K134" i="55" s="1"/>
  <c r="K135" i="55" s="1"/>
  <c r="K136" i="55" s="1"/>
  <c r="K137" i="55" s="1"/>
  <c r="Y131" i="55"/>
  <c r="M20" i="49"/>
  <c r="K20" i="49"/>
  <c r="G112" i="19"/>
  <c r="Q112" i="19"/>
  <c r="H20" i="49" s="1"/>
  <c r="O20" i="49"/>
  <c r="N20" i="49"/>
  <c r="O113" i="19"/>
  <c r="E112" i="19"/>
  <c r="F112" i="19" s="1"/>
  <c r="J20" i="49" s="1"/>
  <c r="D26" i="51"/>
  <c r="T19" i="19"/>
  <c r="AA103" i="55"/>
  <c r="H108" i="19"/>
  <c r="L108" i="19" s="1"/>
  <c r="C27" i="1"/>
  <c r="D29" i="30"/>
  <c r="AF28" i="30"/>
  <c r="AD20" i="19" s="1"/>
  <c r="S20" i="19"/>
  <c r="C21" i="19"/>
  <c r="P28" i="30"/>
  <c r="R111" i="19"/>
  <c r="M113" i="19"/>
  <c r="D112" i="19"/>
  <c r="I20" i="49" s="1"/>
  <c r="J112" i="19"/>
  <c r="K26" i="1"/>
  <c r="AX20" i="19"/>
  <c r="S109" i="19"/>
  <c r="T108" i="19"/>
  <c r="U108" i="19" s="1"/>
  <c r="R112" i="19" l="1"/>
  <c r="AA110" i="55"/>
  <c r="H109" i="19"/>
  <c r="L109" i="19" s="1"/>
  <c r="T131" i="55"/>
  <c r="D27" i="51"/>
  <c r="T20" i="19"/>
  <c r="D113" i="19"/>
  <c r="I21" i="49" s="1"/>
  <c r="J113" i="19"/>
  <c r="C28" i="1"/>
  <c r="B21" i="19" s="1"/>
  <c r="D30" i="30"/>
  <c r="AF29" i="30"/>
  <c r="P29" i="30"/>
  <c r="C22" i="19"/>
  <c r="S21" i="19"/>
  <c r="M21" i="49"/>
  <c r="K21" i="49"/>
  <c r="G113" i="19"/>
  <c r="Q113" i="19"/>
  <c r="E113" i="19"/>
  <c r="F113" i="19" s="1"/>
  <c r="J21" i="49" s="1"/>
  <c r="O21" i="49"/>
  <c r="N21" i="49"/>
  <c r="B16" i="28"/>
  <c r="B20" i="19"/>
  <c r="K27" i="1"/>
  <c r="AX21" i="19"/>
  <c r="S110" i="19"/>
  <c r="T109" i="19"/>
  <c r="U109" i="19" s="1"/>
  <c r="D28" i="51" l="1"/>
  <c r="T21" i="19"/>
  <c r="H21" i="49"/>
  <c r="Q115" i="19"/>
  <c r="Q117" i="19" s="1"/>
  <c r="E3" i="49" s="1"/>
  <c r="C29" i="1"/>
  <c r="B22" i="19" s="1"/>
  <c r="AF30" i="30"/>
  <c r="D31" i="30"/>
  <c r="C23" i="19"/>
  <c r="S22" i="19"/>
  <c r="P30" i="30"/>
  <c r="AA117" i="55"/>
  <c r="H110" i="19"/>
  <c r="L110" i="19" s="1"/>
  <c r="R113" i="19"/>
  <c r="AD21" i="19"/>
  <c r="AD22" i="19" s="1"/>
  <c r="K28" i="1"/>
  <c r="AX22" i="19"/>
  <c r="T110" i="19"/>
  <c r="U110" i="19" s="1"/>
  <c r="S111" i="19"/>
  <c r="C30" i="1" l="1"/>
  <c r="B23" i="19" s="1"/>
  <c r="AF31" i="30"/>
  <c r="D32" i="30"/>
  <c r="S23" i="19"/>
  <c r="C24" i="19"/>
  <c r="P31" i="30"/>
  <c r="AD23" i="19"/>
  <c r="D29" i="51"/>
  <c r="T22" i="19"/>
  <c r="AA124" i="55"/>
  <c r="H111" i="19"/>
  <c r="L111" i="19" s="1"/>
  <c r="K29" i="1"/>
  <c r="AX23" i="19"/>
  <c r="T111" i="19"/>
  <c r="S112" i="19"/>
  <c r="C31" i="1" l="1"/>
  <c r="B24" i="19" s="1"/>
  <c r="D33" i="30"/>
  <c r="AF32" i="30"/>
  <c r="P32" i="30"/>
  <c r="C25" i="19"/>
  <c r="S24" i="19"/>
  <c r="AA131" i="55"/>
  <c r="H113" i="19" s="1"/>
  <c r="L113" i="19" s="1"/>
  <c r="H112" i="19"/>
  <c r="L112" i="19" s="1"/>
  <c r="D30" i="51"/>
  <c r="T23" i="19"/>
  <c r="K30" i="1"/>
  <c r="AX24" i="19"/>
  <c r="S113" i="19"/>
  <c r="T113" i="19" s="1"/>
  <c r="T112" i="19"/>
  <c r="U111" i="19"/>
  <c r="D31" i="51" l="1"/>
  <c r="T24" i="19"/>
  <c r="C32" i="1"/>
  <c r="D34" i="30"/>
  <c r="AF33" i="30"/>
  <c r="P33" i="30"/>
  <c r="C26" i="19"/>
  <c r="S25" i="19"/>
  <c r="AD24" i="19"/>
  <c r="K31" i="1"/>
  <c r="AX25" i="19"/>
  <c r="V122" i="19"/>
  <c r="V103" i="19" s="1"/>
  <c r="AB103" i="19" s="1"/>
  <c r="V120" i="19"/>
  <c r="V101" i="19" s="1"/>
  <c r="AB101" i="19" s="1"/>
  <c r="V109" i="19"/>
  <c r="AB109" i="19" s="1"/>
  <c r="V108" i="19"/>
  <c r="X108" i="19" s="1"/>
  <c r="G16" i="49" s="1"/>
  <c r="V111" i="19"/>
  <c r="X111" i="19" s="1"/>
  <c r="G19" i="49" s="1"/>
  <c r="V110" i="19"/>
  <c r="V119" i="19"/>
  <c r="V100" i="19" s="1"/>
  <c r="V123" i="19"/>
  <c r="V104" i="19" s="1"/>
  <c r="V106" i="19"/>
  <c r="V112" i="19"/>
  <c r="W116" i="19"/>
  <c r="V116" i="19" s="1"/>
  <c r="V97" i="19" s="1"/>
  <c r="U112" i="19"/>
  <c r="U113" i="19" s="1"/>
  <c r="V107" i="19"/>
  <c r="V124" i="19"/>
  <c r="V105" i="19" s="1"/>
  <c r="V113" i="19"/>
  <c r="W117" i="19"/>
  <c r="V117" i="19" s="1"/>
  <c r="V98" i="19" s="1"/>
  <c r="V121" i="19"/>
  <c r="V102" i="19" s="1"/>
  <c r="V118" i="19"/>
  <c r="V99" i="19" s="1"/>
  <c r="W115" i="19"/>
  <c r="V115" i="19" s="1"/>
  <c r="V96" i="19" s="1"/>
  <c r="D32" i="51" l="1"/>
  <c r="T25" i="19"/>
  <c r="C33" i="1"/>
  <c r="B26" i="19" s="1"/>
  <c r="D35" i="30"/>
  <c r="P34" i="30"/>
  <c r="AF34" i="30"/>
  <c r="C27" i="19"/>
  <c r="S26" i="19"/>
  <c r="B17" i="28"/>
  <c r="B25" i="19"/>
  <c r="AD25" i="19"/>
  <c r="AD26" i="19" s="1"/>
  <c r="K32" i="1"/>
  <c r="AX26" i="19"/>
  <c r="X103" i="19"/>
  <c r="G11" i="49" s="1"/>
  <c r="Z103" i="19"/>
  <c r="L11" i="49" s="1"/>
  <c r="Z111" i="19"/>
  <c r="L19" i="49" s="1"/>
  <c r="Z101" i="19"/>
  <c r="L9" i="49" s="1"/>
  <c r="X101" i="19"/>
  <c r="G9" i="49" s="1"/>
  <c r="X109" i="19"/>
  <c r="G17" i="49" s="1"/>
  <c r="Z109" i="19"/>
  <c r="L17" i="49" s="1"/>
  <c r="Z108" i="19"/>
  <c r="L16" i="49" s="1"/>
  <c r="AB111" i="19"/>
  <c r="AB108" i="19"/>
  <c r="AB97" i="19"/>
  <c r="Z97" i="19"/>
  <c r="L5" i="49" s="1"/>
  <c r="X97" i="19"/>
  <c r="AB102" i="19"/>
  <c r="Z102" i="19"/>
  <c r="L10" i="49" s="1"/>
  <c r="X102" i="19"/>
  <c r="G10" i="49" s="1"/>
  <c r="X100" i="19"/>
  <c r="G8" i="49" s="1"/>
  <c r="Z100" i="19"/>
  <c r="L8" i="49" s="1"/>
  <c r="AB100" i="19"/>
  <c r="X106" i="19"/>
  <c r="G14" i="49" s="1"/>
  <c r="AB106" i="19"/>
  <c r="Z106" i="19"/>
  <c r="L14" i="49" s="1"/>
  <c r="Z104" i="19"/>
  <c r="L12" i="49" s="1"/>
  <c r="X104" i="19"/>
  <c r="G12" i="49" s="1"/>
  <c r="AB104" i="19"/>
  <c r="AB99" i="19"/>
  <c r="Z99" i="19"/>
  <c r="L7" i="49" s="1"/>
  <c r="X99" i="19"/>
  <c r="G7" i="49" s="1"/>
  <c r="X110" i="19"/>
  <c r="G18" i="49" s="1"/>
  <c r="AB110" i="19"/>
  <c r="Z110" i="19"/>
  <c r="L18" i="49" s="1"/>
  <c r="X113" i="19"/>
  <c r="G21" i="49" s="1"/>
  <c r="Z113" i="19"/>
  <c r="L21" i="49" s="1"/>
  <c r="AB113" i="19"/>
  <c r="AB105" i="19"/>
  <c r="Z105" i="19"/>
  <c r="L13" i="49" s="1"/>
  <c r="X105" i="19"/>
  <c r="G13" i="49" s="1"/>
  <c r="X96" i="19"/>
  <c r="Z96" i="19"/>
  <c r="AB96" i="19"/>
  <c r="AC96" i="19" s="1"/>
  <c r="Z98" i="19"/>
  <c r="L6" i="49" s="1"/>
  <c r="X98" i="19"/>
  <c r="G6" i="49" s="1"/>
  <c r="AB98" i="19"/>
  <c r="AB107" i="19"/>
  <c r="Z107" i="19"/>
  <c r="L15" i="49" s="1"/>
  <c r="X107" i="19"/>
  <c r="G15" i="49" s="1"/>
  <c r="AB112" i="19"/>
  <c r="Z112" i="19"/>
  <c r="L20" i="49" s="1"/>
  <c r="X112" i="19"/>
  <c r="G20" i="49" s="1"/>
  <c r="D33" i="51" l="1"/>
  <c r="T26" i="19"/>
  <c r="C34" i="1"/>
  <c r="B27" i="19" s="1"/>
  <c r="D36" i="30"/>
  <c r="P35" i="30"/>
  <c r="AF35" i="30"/>
  <c r="S27" i="19"/>
  <c r="C28" i="19"/>
  <c r="K33" i="1"/>
  <c r="AX27" i="19"/>
  <c r="AA96" i="19"/>
  <c r="AA97" i="19" s="1"/>
  <c r="AA98" i="19" s="1"/>
  <c r="AA99" i="19" s="1"/>
  <c r="AA100" i="19" s="1"/>
  <c r="AA101" i="19" s="1"/>
  <c r="AA102" i="19" s="1"/>
  <c r="AA103" i="19" s="1"/>
  <c r="AA104" i="19" s="1"/>
  <c r="AA105" i="19" s="1"/>
  <c r="AA106" i="19" s="1"/>
  <c r="AA107" i="19" s="1"/>
  <c r="AA108" i="19" s="1"/>
  <c r="AA109" i="19" s="1"/>
  <c r="AA110" i="19" s="1"/>
  <c r="AA111" i="19" s="1"/>
  <c r="AA112" i="19" s="1"/>
  <c r="AA113" i="19" s="1"/>
  <c r="L4" i="49"/>
  <c r="Y96" i="19"/>
  <c r="J12" i="55" s="1"/>
  <c r="B96" i="19" s="1"/>
  <c r="C96" i="19" s="1"/>
  <c r="G4" i="49"/>
  <c r="G5" i="49"/>
  <c r="AC97" i="19"/>
  <c r="AC98" i="19" s="1"/>
  <c r="AC99" i="19" s="1"/>
  <c r="AC100" i="19" s="1"/>
  <c r="AC101" i="19" s="1"/>
  <c r="AC102" i="19" s="1"/>
  <c r="AC103" i="19" s="1"/>
  <c r="AC104" i="19" s="1"/>
  <c r="AC105" i="19" s="1"/>
  <c r="AC106" i="19" s="1"/>
  <c r="AC107" i="19" s="1"/>
  <c r="AC108" i="19" s="1"/>
  <c r="AC109" i="19" s="1"/>
  <c r="AC110" i="19" s="1"/>
  <c r="AC111" i="19" s="1"/>
  <c r="AC112" i="19" s="1"/>
  <c r="AC113" i="19" s="1"/>
  <c r="D34" i="51" l="1"/>
  <c r="T27" i="19"/>
  <c r="C35" i="1"/>
  <c r="B28" i="19" s="1"/>
  <c r="AF36" i="30"/>
  <c r="D37" i="30"/>
  <c r="C29" i="19"/>
  <c r="S28" i="19"/>
  <c r="P36" i="30"/>
  <c r="AD27" i="19"/>
  <c r="AD28" i="19" s="1"/>
  <c r="Y97" i="19"/>
  <c r="J19" i="55" s="1"/>
  <c r="B97" i="19" s="1"/>
  <c r="C97" i="19" s="1"/>
  <c r="K34" i="1"/>
  <c r="AX28" i="19"/>
  <c r="C36" i="1" l="1"/>
  <c r="B29" i="19" s="1"/>
  <c r="D38" i="30"/>
  <c r="AF37" i="30"/>
  <c r="P37" i="30"/>
  <c r="C30" i="19"/>
  <c r="S29" i="19"/>
  <c r="D35" i="51"/>
  <c r="T28" i="19"/>
  <c r="AD29" i="19"/>
  <c r="Y98" i="19"/>
  <c r="Y99" i="19" s="1"/>
  <c r="K35" i="1"/>
  <c r="AX29" i="19"/>
  <c r="D36" i="51" l="1"/>
  <c r="T29" i="19"/>
  <c r="C37" i="1"/>
  <c r="D39" i="30"/>
  <c r="P38" i="30"/>
  <c r="AF38" i="30"/>
  <c r="C31" i="19"/>
  <c r="S30" i="19"/>
  <c r="J26" i="55"/>
  <c r="B98" i="19" s="1"/>
  <c r="C98" i="19" s="1"/>
  <c r="K36" i="1"/>
  <c r="AX30" i="19"/>
  <c r="J33" i="55"/>
  <c r="B99" i="19" s="1"/>
  <c r="C99" i="19" s="1"/>
  <c r="Y100" i="19"/>
  <c r="D37" i="51" l="1"/>
  <c r="T30" i="19"/>
  <c r="C38" i="1"/>
  <c r="B31" i="19" s="1"/>
  <c r="D40" i="30"/>
  <c r="AF39" i="30"/>
  <c r="P39" i="30"/>
  <c r="C32" i="19"/>
  <c r="S31" i="19"/>
  <c r="B18" i="28"/>
  <c r="B30" i="19"/>
  <c r="AD30" i="19"/>
  <c r="AD31" i="19" s="1"/>
  <c r="K37" i="1"/>
  <c r="AX31" i="19"/>
  <c r="J40" i="55"/>
  <c r="B100" i="19" s="1"/>
  <c r="C100" i="19" s="1"/>
  <c r="Y101" i="19"/>
  <c r="D38" i="51" l="1"/>
  <c r="T31" i="19"/>
  <c r="C39" i="1"/>
  <c r="B32" i="19" s="1"/>
  <c r="D41" i="30"/>
  <c r="AF40" i="30"/>
  <c r="C33" i="19"/>
  <c r="S32" i="19"/>
  <c r="P40" i="30"/>
  <c r="K38" i="1"/>
  <c r="AX32" i="19"/>
  <c r="J47" i="55"/>
  <c r="B101" i="19" s="1"/>
  <c r="C101" i="19" s="1"/>
  <c r="Y102" i="19"/>
  <c r="D39" i="51" l="1"/>
  <c r="T32" i="19"/>
  <c r="C40" i="1"/>
  <c r="B33" i="19" s="1"/>
  <c r="AF41" i="30"/>
  <c r="D42" i="30"/>
  <c r="C34" i="19"/>
  <c r="S33" i="19"/>
  <c r="P41" i="30"/>
  <c r="AD32" i="19"/>
  <c r="AD33" i="19" s="1"/>
  <c r="K39" i="1"/>
  <c r="AX33" i="19"/>
  <c r="J54" i="55"/>
  <c r="B102" i="19" s="1"/>
  <c r="C102" i="19" s="1"/>
  <c r="Y103" i="19"/>
  <c r="C41" i="1" l="1"/>
  <c r="B34" i="19" s="1"/>
  <c r="AF42" i="30"/>
  <c r="D43" i="30"/>
  <c r="C35" i="19"/>
  <c r="S34" i="19"/>
  <c r="P42" i="30"/>
  <c r="D40" i="51"/>
  <c r="T33" i="19"/>
  <c r="AD34" i="19"/>
  <c r="K40" i="1"/>
  <c r="AX34" i="19"/>
  <c r="J61" i="55"/>
  <c r="B103" i="19" s="1"/>
  <c r="C103" i="19" s="1"/>
  <c r="Y104" i="19"/>
  <c r="C42" i="1" l="1"/>
  <c r="AF43" i="30"/>
  <c r="D44" i="30"/>
  <c r="S35" i="19"/>
  <c r="C36" i="19"/>
  <c r="P43" i="30"/>
  <c r="D41" i="51"/>
  <c r="T34" i="19"/>
  <c r="AD35" i="19"/>
  <c r="K41" i="1"/>
  <c r="AX35" i="19"/>
  <c r="J68" i="55"/>
  <c r="B104" i="19" s="1"/>
  <c r="C104" i="19" s="1"/>
  <c r="Y105" i="19"/>
  <c r="C43" i="1" l="1"/>
  <c r="B36" i="19" s="1"/>
  <c r="AF44" i="30"/>
  <c r="D45" i="30"/>
  <c r="P44" i="30"/>
  <c r="S36" i="19"/>
  <c r="C37" i="19"/>
  <c r="D42" i="51"/>
  <c r="T35" i="19"/>
  <c r="AD36" i="19"/>
  <c r="B19" i="28"/>
  <c r="B35" i="19"/>
  <c r="K42" i="1"/>
  <c r="AX36" i="19"/>
  <c r="J75" i="55"/>
  <c r="B105" i="19" s="1"/>
  <c r="C105" i="19" s="1"/>
  <c r="Y106" i="19"/>
  <c r="C44" i="1" l="1"/>
  <c r="B37" i="19" s="1"/>
  <c r="D46" i="30"/>
  <c r="P45" i="30"/>
  <c r="AF45" i="30"/>
  <c r="S37" i="19"/>
  <c r="C38" i="19"/>
  <c r="D43" i="51"/>
  <c r="T36" i="19"/>
  <c r="K43" i="1"/>
  <c r="AX37" i="19"/>
  <c r="J82" i="55"/>
  <c r="B106" i="19" s="1"/>
  <c r="C106" i="19" s="1"/>
  <c r="Y107" i="19"/>
  <c r="D44" i="51" l="1"/>
  <c r="T37" i="19"/>
  <c r="C45" i="1"/>
  <c r="B38" i="19" s="1"/>
  <c r="D47" i="30"/>
  <c r="P46" i="30"/>
  <c r="AF46" i="30"/>
  <c r="S38" i="19"/>
  <c r="C39" i="19"/>
  <c r="AD37" i="19"/>
  <c r="K44" i="1"/>
  <c r="AX38" i="19"/>
  <c r="Y108" i="19"/>
  <c r="J89" i="55"/>
  <c r="B107" i="19" s="1"/>
  <c r="C107" i="19" s="1"/>
  <c r="D45" i="51" l="1"/>
  <c r="T38" i="19"/>
  <c r="C46" i="1"/>
  <c r="B39" i="19" s="1"/>
  <c r="D48" i="30"/>
  <c r="P47" i="30"/>
  <c r="AF47" i="30"/>
  <c r="S39" i="19"/>
  <c r="C40" i="19"/>
  <c r="AD38" i="19"/>
  <c r="K45" i="1"/>
  <c r="AX39" i="19"/>
  <c r="J96" i="55"/>
  <c r="B108" i="19" s="1"/>
  <c r="C108" i="19" s="1"/>
  <c r="Y109" i="19"/>
  <c r="D46" i="51" l="1"/>
  <c r="T39" i="19"/>
  <c r="C47" i="1"/>
  <c r="D49" i="30"/>
  <c r="P48" i="30"/>
  <c r="AF48" i="30"/>
  <c r="S40" i="19"/>
  <c r="C41" i="19"/>
  <c r="AD39" i="19"/>
  <c r="K46" i="1"/>
  <c r="AX40" i="19"/>
  <c r="J103" i="55"/>
  <c r="B109" i="19" s="1"/>
  <c r="C109" i="19" s="1"/>
  <c r="Y110" i="19"/>
  <c r="D47" i="51" l="1"/>
  <c r="T40" i="19"/>
  <c r="C48" i="1"/>
  <c r="B41" i="19" s="1"/>
  <c r="AF49" i="30"/>
  <c r="D50" i="30"/>
  <c r="S41" i="19"/>
  <c r="C42" i="19"/>
  <c r="P49" i="30"/>
  <c r="B20" i="28"/>
  <c r="B40" i="19"/>
  <c r="AD40" i="19"/>
  <c r="AD41" i="19" s="1"/>
  <c r="K47" i="1"/>
  <c r="AX41" i="19"/>
  <c r="Y111" i="19"/>
  <c r="J110" i="55"/>
  <c r="B110" i="19" s="1"/>
  <c r="C110" i="19" s="1"/>
  <c r="C49" i="1" l="1"/>
  <c r="B42" i="19" s="1"/>
  <c r="AF50" i="30"/>
  <c r="D51" i="30"/>
  <c r="S42" i="19"/>
  <c r="C43" i="19"/>
  <c r="P50" i="30"/>
  <c r="D48" i="51"/>
  <c r="T41" i="19"/>
  <c r="AD42" i="19"/>
  <c r="K48" i="1"/>
  <c r="AX42" i="19"/>
  <c r="Y112" i="19"/>
  <c r="J117" i="55"/>
  <c r="B111" i="19" s="1"/>
  <c r="C111" i="19" s="1"/>
  <c r="C50" i="1" l="1"/>
  <c r="B43" i="19" s="1"/>
  <c r="D52" i="30"/>
  <c r="AF51" i="30"/>
  <c r="C44" i="19"/>
  <c r="S43" i="19"/>
  <c r="P51" i="30"/>
  <c r="D49" i="51"/>
  <c r="T42" i="19"/>
  <c r="AD43" i="19"/>
  <c r="K49" i="1"/>
  <c r="AX43" i="19"/>
  <c r="J124" i="55"/>
  <c r="B112" i="19" s="1"/>
  <c r="C112" i="19" s="1"/>
  <c r="Y113" i="19"/>
  <c r="J131" i="55" s="1"/>
  <c r="B113" i="19" s="1"/>
  <c r="C113" i="19" s="1"/>
  <c r="D50" i="51" l="1"/>
  <c r="T43" i="19"/>
  <c r="C51" i="1"/>
  <c r="B44" i="19" s="1"/>
  <c r="D53" i="30"/>
  <c r="AF52" i="30"/>
  <c r="P52" i="30"/>
  <c r="C45" i="19"/>
  <c r="S44" i="19"/>
  <c r="K50" i="1"/>
  <c r="AX44" i="19"/>
  <c r="D51" i="51" l="1"/>
  <c r="T44" i="19"/>
  <c r="C52" i="1"/>
  <c r="D54" i="30"/>
  <c r="AF53" i="30"/>
  <c r="C46" i="19"/>
  <c r="S45" i="19"/>
  <c r="P53" i="30"/>
  <c r="AD44" i="19"/>
  <c r="K51" i="1"/>
  <c r="AX45" i="19"/>
  <c r="D52" i="51" l="1"/>
  <c r="T45" i="19"/>
  <c r="C53" i="1"/>
  <c r="B46" i="19" s="1"/>
  <c r="D55" i="30"/>
  <c r="AF54" i="30"/>
  <c r="C47" i="19"/>
  <c r="S46" i="19"/>
  <c r="P54" i="30"/>
  <c r="B21" i="28"/>
  <c r="B45" i="19"/>
  <c r="AD45" i="19"/>
  <c r="AD46" i="19" s="1"/>
  <c r="K52" i="1"/>
  <c r="AX46" i="19"/>
  <c r="D53" i="51" l="1"/>
  <c r="T46" i="19"/>
  <c r="C54" i="1"/>
  <c r="B47" i="19" s="1"/>
  <c r="AF55" i="30"/>
  <c r="D56" i="30"/>
  <c r="C48" i="19"/>
  <c r="S47" i="19"/>
  <c r="P55" i="30"/>
  <c r="K53" i="1"/>
  <c r="AX47" i="19"/>
  <c r="C55" i="1" l="1"/>
  <c r="B48" i="19" s="1"/>
  <c r="AF56" i="30"/>
  <c r="D57" i="30"/>
  <c r="C49" i="19"/>
  <c r="S48" i="19"/>
  <c r="P56" i="30"/>
  <c r="D54" i="51"/>
  <c r="T47" i="19"/>
  <c r="AD47" i="19"/>
  <c r="AD48" i="19" s="1"/>
  <c r="K54" i="1"/>
  <c r="AX48" i="19"/>
  <c r="C56" i="1" l="1"/>
  <c r="B49" i="19" s="1"/>
  <c r="D58" i="30"/>
  <c r="AF57" i="30"/>
  <c r="P57" i="30"/>
  <c r="C50" i="19"/>
  <c r="S49" i="19"/>
  <c r="D55" i="51"/>
  <c r="T48" i="19"/>
  <c r="AD49" i="19"/>
  <c r="K55" i="1"/>
  <c r="AX49" i="19"/>
  <c r="D56" i="51" l="1"/>
  <c r="T49" i="19"/>
  <c r="C57" i="1"/>
  <c r="AF58" i="30"/>
  <c r="D59" i="30"/>
  <c r="P58" i="30"/>
  <c r="C51" i="19"/>
  <c r="S50" i="19"/>
  <c r="K56" i="1"/>
  <c r="AX50" i="19"/>
  <c r="C58" i="1" l="1"/>
  <c r="B51" i="19" s="1"/>
  <c r="AF59" i="30"/>
  <c r="D60" i="30"/>
  <c r="C52" i="19"/>
  <c r="S51" i="19"/>
  <c r="P59" i="30"/>
  <c r="D57" i="51"/>
  <c r="T50" i="19"/>
  <c r="B22" i="28"/>
  <c r="B50" i="19"/>
  <c r="AD50" i="19"/>
  <c r="AD51" i="19" s="1"/>
  <c r="K57" i="1"/>
  <c r="AX51" i="19"/>
  <c r="C59" i="1" l="1"/>
  <c r="B52" i="19" s="1"/>
  <c r="AF60" i="30"/>
  <c r="D61" i="30"/>
  <c r="C53" i="19"/>
  <c r="S52" i="19"/>
  <c r="P60" i="30"/>
  <c r="D58" i="51"/>
  <c r="T51" i="19"/>
  <c r="K58" i="1"/>
  <c r="AX52" i="19"/>
  <c r="C60" i="1" l="1"/>
  <c r="B53" i="19" s="1"/>
  <c r="AF61" i="30"/>
  <c r="D62" i="30"/>
  <c r="C54" i="19"/>
  <c r="S53" i="19"/>
  <c r="P61" i="30"/>
  <c r="D59" i="51"/>
  <c r="T52" i="19"/>
  <c r="AD52" i="19"/>
  <c r="AD53" i="19" s="1"/>
  <c r="AX53" i="19"/>
  <c r="K59" i="1"/>
  <c r="C61" i="1" l="1"/>
  <c r="B54" i="19" s="1"/>
  <c r="D63" i="30"/>
  <c r="AF62" i="30"/>
  <c r="P62" i="30"/>
  <c r="C55" i="19"/>
  <c r="S54" i="19"/>
  <c r="D60" i="51"/>
  <c r="T53" i="19"/>
  <c r="AD54" i="19"/>
  <c r="K60" i="1"/>
  <c r="AX54" i="19"/>
  <c r="D61" i="51" l="1"/>
  <c r="T54" i="19"/>
  <c r="C62" i="1"/>
  <c r="D64" i="30"/>
  <c r="P63" i="30"/>
  <c r="AF63" i="30"/>
  <c r="C56" i="19"/>
  <c r="S55" i="19"/>
  <c r="K61" i="1"/>
  <c r="AX55" i="19"/>
  <c r="C63" i="1" l="1"/>
  <c r="B56" i="19" s="1"/>
  <c r="D65" i="30"/>
  <c r="AF64" i="30"/>
  <c r="P64" i="30"/>
  <c r="C57" i="19"/>
  <c r="S56" i="19"/>
  <c r="B23" i="28"/>
  <c r="B55" i="19"/>
  <c r="D62" i="51"/>
  <c r="T55" i="19"/>
  <c r="AD55" i="19"/>
  <c r="AD56" i="19" s="1"/>
  <c r="K62" i="1"/>
  <c r="AX56" i="19"/>
  <c r="D63" i="51" l="1"/>
  <c r="T56" i="19"/>
  <c r="C64" i="1"/>
  <c r="B57" i="19" s="1"/>
  <c r="D66" i="30"/>
  <c r="AF65" i="30"/>
  <c r="C58" i="19"/>
  <c r="S57" i="19"/>
  <c r="P65" i="30"/>
  <c r="K63" i="1"/>
  <c r="AX57" i="19"/>
  <c r="D64" i="51" l="1"/>
  <c r="T57" i="19"/>
  <c r="C65" i="1"/>
  <c r="B58" i="19" s="1"/>
  <c r="D67" i="30"/>
  <c r="AF66" i="30"/>
  <c r="C59" i="19"/>
  <c r="S58" i="19"/>
  <c r="P66" i="30"/>
  <c r="AD57" i="19"/>
  <c r="K64" i="1"/>
  <c r="AX58" i="19"/>
  <c r="D65" i="51" l="1"/>
  <c r="T58" i="19"/>
  <c r="C66" i="1"/>
  <c r="B59" i="19" s="1"/>
  <c r="D68" i="30"/>
  <c r="AF67" i="30"/>
  <c r="C60" i="19"/>
  <c r="S59" i="19"/>
  <c r="P67" i="30"/>
  <c r="AD58" i="19"/>
  <c r="K65" i="1"/>
  <c r="AX59" i="19"/>
  <c r="D66" i="51" l="1"/>
  <c r="T59" i="19"/>
  <c r="C67" i="1"/>
  <c r="D69" i="30"/>
  <c r="AF68" i="30"/>
  <c r="P68" i="30"/>
  <c r="C61" i="19"/>
  <c r="S60" i="19"/>
  <c r="AD59" i="19"/>
  <c r="K66" i="1"/>
  <c r="AX60" i="19"/>
  <c r="D67" i="51" l="1"/>
  <c r="T60" i="19"/>
  <c r="C68" i="1"/>
  <c r="B61" i="19" s="1"/>
  <c r="D70" i="30"/>
  <c r="P69" i="30"/>
  <c r="AF69" i="30"/>
  <c r="C62" i="19"/>
  <c r="S61" i="19"/>
  <c r="B24" i="28"/>
  <c r="B60" i="19"/>
  <c r="AD60" i="19"/>
  <c r="AD61" i="19" s="1"/>
  <c r="K67" i="1"/>
  <c r="AX61" i="19"/>
  <c r="D68" i="51" l="1"/>
  <c r="T61" i="19"/>
  <c r="C69" i="1"/>
  <c r="B62" i="19" s="1"/>
  <c r="D71" i="30"/>
  <c r="P70" i="30"/>
  <c r="AF70" i="30"/>
  <c r="C63" i="19"/>
  <c r="S62" i="19"/>
  <c r="K68" i="1"/>
  <c r="AX62" i="19"/>
  <c r="D69" i="51" l="1"/>
  <c r="T62" i="19"/>
  <c r="C70" i="1"/>
  <c r="B63" i="19" s="1"/>
  <c r="D72" i="30"/>
  <c r="AF71" i="30"/>
  <c r="C64" i="19"/>
  <c r="S63" i="19"/>
  <c r="P71" i="30"/>
  <c r="AD62" i="19"/>
  <c r="K69" i="1"/>
  <c r="AX63" i="19"/>
  <c r="D70" i="51" l="1"/>
  <c r="T63" i="19"/>
  <c r="C71" i="1"/>
  <c r="B64" i="19" s="1"/>
  <c r="D73" i="30"/>
  <c r="AF72" i="30"/>
  <c r="C65" i="19"/>
  <c r="S64" i="19"/>
  <c r="P72" i="30"/>
  <c r="AD63" i="19"/>
  <c r="AX64" i="19"/>
  <c r="K70" i="1"/>
  <c r="D71" i="51" l="1"/>
  <c r="T64" i="19"/>
  <c r="C72" i="1"/>
  <c r="D74" i="30"/>
  <c r="AF73" i="30"/>
  <c r="C66" i="19"/>
  <c r="S65" i="19"/>
  <c r="P73" i="30"/>
  <c r="AD64" i="19"/>
  <c r="K71" i="1"/>
  <c r="AX65" i="19"/>
  <c r="D72" i="51" l="1"/>
  <c r="T65" i="19"/>
  <c r="C73" i="1"/>
  <c r="B66" i="19" s="1"/>
  <c r="AF74" i="30"/>
  <c r="D75" i="30"/>
  <c r="C67" i="19"/>
  <c r="S66" i="19"/>
  <c r="P74" i="30"/>
  <c r="B25" i="28"/>
  <c r="B65" i="19"/>
  <c r="AD65" i="19"/>
  <c r="AD66" i="19" s="1"/>
  <c r="K72" i="1"/>
  <c r="AX66" i="19"/>
  <c r="C74" i="1" l="1"/>
  <c r="B67" i="19" s="1"/>
  <c r="D76" i="30"/>
  <c r="AF75" i="30"/>
  <c r="S67" i="19"/>
  <c r="C68" i="19"/>
  <c r="P75" i="30"/>
  <c r="D73" i="51"/>
  <c r="T66" i="19"/>
  <c r="AD67" i="19"/>
  <c r="K73" i="1"/>
  <c r="AX67" i="19"/>
  <c r="D74" i="51" l="1"/>
  <c r="T67" i="19"/>
  <c r="C75" i="1"/>
  <c r="B68" i="19" s="1"/>
  <c r="D77" i="30"/>
  <c r="AF76" i="30"/>
  <c r="P76" i="30"/>
  <c r="C69" i="19"/>
  <c r="S68" i="19"/>
  <c r="K74" i="1"/>
  <c r="AX68" i="19"/>
  <c r="D75" i="51" l="1"/>
  <c r="T68" i="19"/>
  <c r="C76" i="1"/>
  <c r="B69" i="19" s="1"/>
  <c r="AF77" i="30"/>
  <c r="D78" i="30"/>
  <c r="C70" i="19"/>
  <c r="S69" i="19"/>
  <c r="P77" i="30"/>
  <c r="AD68" i="19"/>
  <c r="K75" i="1"/>
  <c r="AX69" i="19"/>
  <c r="C77" i="1" l="1"/>
  <c r="D79" i="30"/>
  <c r="AF78" i="30"/>
  <c r="C71" i="19"/>
  <c r="S70" i="19"/>
  <c r="P78" i="30"/>
  <c r="D76" i="51"/>
  <c r="T69" i="19"/>
  <c r="AD69" i="19"/>
  <c r="AD70" i="19" s="1"/>
  <c r="K76" i="1"/>
  <c r="AX70" i="19"/>
  <c r="D77" i="51" l="1"/>
  <c r="T70" i="19"/>
  <c r="C78" i="1"/>
  <c r="B71" i="19" s="1"/>
  <c r="AF79" i="30"/>
  <c r="D80" i="30"/>
  <c r="S71" i="19"/>
  <c r="C72" i="19"/>
  <c r="P79" i="30"/>
  <c r="B26" i="28"/>
  <c r="B70" i="19"/>
  <c r="AX71" i="19"/>
  <c r="K77" i="1"/>
  <c r="C79" i="1" l="1"/>
  <c r="B72" i="19" s="1"/>
  <c r="D81" i="30"/>
  <c r="AF80" i="30"/>
  <c r="S72" i="19"/>
  <c r="C73" i="19"/>
  <c r="P80" i="30"/>
  <c r="D78" i="51"/>
  <c r="T71" i="19"/>
  <c r="AD71" i="19"/>
  <c r="AD72" i="19" s="1"/>
  <c r="K78" i="1"/>
  <c r="AX72" i="19"/>
  <c r="D79" i="51" l="1"/>
  <c r="T72" i="19"/>
  <c r="C80" i="1"/>
  <c r="B73" i="19" s="1"/>
  <c r="D82" i="30"/>
  <c r="P81" i="30"/>
  <c r="AF81" i="30"/>
  <c r="S73" i="19"/>
  <c r="C74" i="19"/>
  <c r="K79" i="1"/>
  <c r="AX73" i="19"/>
  <c r="C81" i="1" l="1"/>
  <c r="B74" i="19" s="1"/>
  <c r="D83" i="30"/>
  <c r="AF82" i="30"/>
  <c r="P82" i="30"/>
  <c r="C75" i="19"/>
  <c r="S74" i="19"/>
  <c r="D80" i="51"/>
  <c r="T73" i="19"/>
  <c r="AD73" i="19"/>
  <c r="AD74" i="19" s="1"/>
  <c r="K80" i="1"/>
  <c r="AX74" i="19"/>
  <c r="D81" i="51" l="1"/>
  <c r="T74" i="19"/>
  <c r="C82" i="1"/>
  <c r="D84" i="30"/>
  <c r="AF83" i="30"/>
  <c r="P83" i="30"/>
  <c r="C76" i="19"/>
  <c r="S75" i="19"/>
  <c r="K81" i="1"/>
  <c r="AX75" i="19"/>
  <c r="D82" i="51" l="1"/>
  <c r="T75" i="19"/>
  <c r="C83" i="1"/>
  <c r="B76" i="19" s="1"/>
  <c r="D85" i="30"/>
  <c r="AF84" i="30"/>
  <c r="C77" i="19"/>
  <c r="S76" i="19"/>
  <c r="P84" i="30"/>
  <c r="B27" i="28"/>
  <c r="B75" i="19"/>
  <c r="AD75" i="19"/>
  <c r="K82" i="1"/>
  <c r="AX76" i="19"/>
  <c r="D83" i="51" l="1"/>
  <c r="T76" i="19"/>
  <c r="C84" i="1"/>
  <c r="B77" i="19" s="1"/>
  <c r="D86" i="30"/>
  <c r="AF85" i="30"/>
  <c r="P85" i="30"/>
  <c r="S77" i="19"/>
  <c r="C78" i="19"/>
  <c r="AD76" i="19"/>
  <c r="K83" i="1"/>
  <c r="AX77" i="19"/>
  <c r="D84" i="51" l="1"/>
  <c r="T77" i="19"/>
  <c r="C85" i="1"/>
  <c r="B78" i="19" s="1"/>
  <c r="D87" i="30"/>
  <c r="P86" i="30"/>
  <c r="AF86" i="30"/>
  <c r="S78" i="19"/>
  <c r="C79" i="19"/>
  <c r="AD77" i="19"/>
  <c r="K84" i="1"/>
  <c r="AX78" i="19"/>
  <c r="C86" i="1" l="1"/>
  <c r="B79" i="19" s="1"/>
  <c r="D88" i="30"/>
  <c r="P87" i="30"/>
  <c r="AF87" i="30"/>
  <c r="S79" i="19"/>
  <c r="C80" i="19"/>
  <c r="D85" i="51"/>
  <c r="T78" i="19"/>
  <c r="AD78" i="19"/>
  <c r="AD79" i="19" s="1"/>
  <c r="K85" i="1"/>
  <c r="AX79" i="19"/>
  <c r="D86" i="51" l="1"/>
  <c r="T79" i="19"/>
  <c r="C87" i="1"/>
  <c r="D89" i="30"/>
  <c r="AF88" i="30"/>
  <c r="P88" i="30"/>
  <c r="S80" i="19"/>
  <c r="C81" i="19"/>
  <c r="K86" i="1"/>
  <c r="AX80" i="19"/>
  <c r="C88" i="1" l="1"/>
  <c r="B81" i="19" s="1"/>
  <c r="D90" i="30"/>
  <c r="AF89" i="30"/>
  <c r="S81" i="19"/>
  <c r="C82" i="19"/>
  <c r="P89" i="30"/>
  <c r="B28" i="28"/>
  <c r="B80" i="19"/>
  <c r="D87" i="51"/>
  <c r="T80" i="19"/>
  <c r="AD80" i="19"/>
  <c r="AD81" i="19" s="1"/>
  <c r="K87" i="1"/>
  <c r="AX81" i="19"/>
  <c r="D88" i="51" l="1"/>
  <c r="T81" i="19"/>
  <c r="C89" i="1"/>
  <c r="B82" i="19" s="1"/>
  <c r="D91" i="30"/>
  <c r="P90" i="30"/>
  <c r="AF90" i="30"/>
  <c r="C83" i="19"/>
  <c r="S82" i="19"/>
  <c r="K88" i="1"/>
  <c r="AX82" i="19"/>
  <c r="D89" i="51" l="1"/>
  <c r="T82" i="19"/>
  <c r="C90" i="1"/>
  <c r="B83" i="19" s="1"/>
  <c r="D92" i="30"/>
  <c r="P91" i="30"/>
  <c r="AF91" i="30"/>
  <c r="S83" i="19"/>
  <c r="C84" i="19"/>
  <c r="AD82" i="19"/>
  <c r="K89" i="1"/>
  <c r="AX83" i="19"/>
  <c r="C91" i="1" l="1"/>
  <c r="B84" i="19" s="1"/>
  <c r="AF92" i="30"/>
  <c r="P92" i="30"/>
  <c r="D93" i="30"/>
  <c r="S84" i="19"/>
  <c r="C85" i="19"/>
  <c r="D90" i="51"/>
  <c r="T83" i="19"/>
  <c r="AD83" i="19"/>
  <c r="AD84" i="19" s="1"/>
  <c r="K90" i="1"/>
  <c r="AX84" i="19"/>
  <c r="C92" i="1" l="1"/>
  <c r="D94" i="30"/>
  <c r="AF93" i="30"/>
  <c r="S85" i="19"/>
  <c r="C86" i="19"/>
  <c r="P93" i="30"/>
  <c r="D91" i="51"/>
  <c r="T84" i="19"/>
  <c r="AD85" i="19"/>
  <c r="K91" i="1"/>
  <c r="AX85" i="19"/>
  <c r="D92" i="51" l="1"/>
  <c r="T85" i="19"/>
  <c r="C93" i="1"/>
  <c r="B86" i="19" s="1"/>
  <c r="AF94" i="30"/>
  <c r="D95" i="30"/>
  <c r="C87" i="19"/>
  <c r="S86" i="19"/>
  <c r="P94" i="30"/>
  <c r="B29" i="28"/>
  <c r="B85" i="19"/>
  <c r="K92" i="1"/>
  <c r="AX86" i="19"/>
  <c r="C94" i="1" l="1"/>
  <c r="B87" i="19" s="1"/>
  <c r="D96" i="30"/>
  <c r="AF95" i="30"/>
  <c r="C88" i="19"/>
  <c r="S87" i="19"/>
  <c r="P95" i="30"/>
  <c r="D93" i="51"/>
  <c r="T86" i="19"/>
  <c r="AD86" i="19"/>
  <c r="AD87" i="19" s="1"/>
  <c r="K93" i="1"/>
  <c r="AX87" i="19"/>
  <c r="D94" i="51" l="1"/>
  <c r="T87" i="19"/>
  <c r="C95" i="1"/>
  <c r="B88" i="19" s="1"/>
  <c r="D97" i="30"/>
  <c r="AF96" i="30"/>
  <c r="S88" i="19"/>
  <c r="C89" i="19"/>
  <c r="P96" i="30"/>
  <c r="K94" i="1"/>
  <c r="AX88" i="19"/>
  <c r="D95" i="51" l="1"/>
  <c r="T88" i="19"/>
  <c r="C96" i="1"/>
  <c r="B89" i="19" s="1"/>
  <c r="D98" i="30"/>
  <c r="P97" i="30"/>
  <c r="AF97" i="30"/>
  <c r="S89" i="19"/>
  <c r="C90" i="19"/>
  <c r="AD88" i="19"/>
  <c r="K95" i="1"/>
  <c r="AX89" i="19"/>
  <c r="C97" i="1" l="1"/>
  <c r="AF98" i="30"/>
  <c r="P98" i="30"/>
  <c r="S90" i="19"/>
  <c r="D96" i="51"/>
  <c r="T89" i="19"/>
  <c r="AD89" i="19"/>
  <c r="AD90" i="19" s="1"/>
  <c r="K96" i="1"/>
  <c r="AX90" i="19"/>
  <c r="K97" i="1" s="1"/>
  <c r="D97" i="51" l="1"/>
  <c r="T90" i="19"/>
  <c r="F118" i="19" s="1"/>
  <c r="B30" i="28"/>
  <c r="B90" i="19"/>
</calcChain>
</file>

<file path=xl/sharedStrings.xml><?xml version="1.0" encoding="utf-8"?>
<sst xmlns="http://schemas.openxmlformats.org/spreadsheetml/2006/main" count="6766" uniqueCount="5298">
  <si>
    <t>Week</t>
  </si>
  <si>
    <t>Real</t>
  </si>
  <si>
    <t>Day</t>
  </si>
  <si>
    <t>Wk</t>
  </si>
  <si>
    <t>Lay 1</t>
  </si>
  <si>
    <t>Lay 2</t>
  </si>
  <si>
    <t>Lay 3</t>
  </si>
  <si>
    <t>Lay 4</t>
  </si>
  <si>
    <t>Lay 5</t>
  </si>
  <si>
    <t>Lay 6</t>
  </si>
  <si>
    <t>Lay 7</t>
  </si>
  <si>
    <t>EW 1</t>
  </si>
  <si>
    <t>EW 2</t>
  </si>
  <si>
    <t>EW 3</t>
  </si>
  <si>
    <t>EW 4</t>
  </si>
  <si>
    <t>EW 5</t>
  </si>
  <si>
    <t>EW 6</t>
  </si>
  <si>
    <t>EW 7</t>
  </si>
  <si>
    <t>or</t>
  </si>
  <si>
    <t>Year</t>
  </si>
  <si>
    <t>Month</t>
  </si>
  <si>
    <t>Country</t>
  </si>
  <si>
    <t>Product</t>
  </si>
  <si>
    <t>Algeria</t>
  </si>
  <si>
    <t>Belgium</t>
  </si>
  <si>
    <t>cg</t>
  </si>
  <si>
    <t>br</t>
  </si>
  <si>
    <t>fr</t>
  </si>
  <si>
    <t>vo</t>
  </si>
  <si>
    <t>ec</t>
  </si>
  <si>
    <t>BB</t>
  </si>
  <si>
    <t>BE</t>
  </si>
  <si>
    <t>BG</t>
  </si>
  <si>
    <t>BN</t>
  </si>
  <si>
    <t>BT</t>
  </si>
  <si>
    <t>BW</t>
  </si>
  <si>
    <t>DW</t>
  </si>
  <si>
    <t>HT</t>
  </si>
  <si>
    <t>IB</t>
  </si>
  <si>
    <t>IT</t>
  </si>
  <si>
    <t>IW</t>
  </si>
  <si>
    <t>SB</t>
  </si>
  <si>
    <t>SR</t>
  </si>
  <si>
    <t>United Arab Emirates</t>
  </si>
  <si>
    <t>Afghanistan</t>
  </si>
  <si>
    <t>Albania</t>
  </si>
  <si>
    <t>Armenia</t>
  </si>
  <si>
    <t>Angola</t>
  </si>
  <si>
    <t>Argentina</t>
  </si>
  <si>
    <t>Austria</t>
  </si>
  <si>
    <t>Australia</t>
  </si>
  <si>
    <t>Aruba</t>
  </si>
  <si>
    <t>Bosnia and Herzegovina</t>
  </si>
  <si>
    <t>Barbados</t>
  </si>
  <si>
    <t>Bangladesh</t>
  </si>
  <si>
    <t>Burkina Faso</t>
  </si>
  <si>
    <t>Bulgaria</t>
  </si>
  <si>
    <t>Bahrain</t>
  </si>
  <si>
    <t>Burundi</t>
  </si>
  <si>
    <t>Benin</t>
  </si>
  <si>
    <t>Bermuda</t>
  </si>
  <si>
    <t>Brazil</t>
  </si>
  <si>
    <t>Bhutan</t>
  </si>
  <si>
    <t>Botswana</t>
  </si>
  <si>
    <t>Belarus</t>
  </si>
  <si>
    <t>Belize</t>
  </si>
  <si>
    <t>Canada</t>
  </si>
  <si>
    <t>Central African Republic</t>
  </si>
  <si>
    <t>Congo</t>
  </si>
  <si>
    <t>Chile</t>
  </si>
  <si>
    <t>Cameroon</t>
  </si>
  <si>
    <t>China</t>
  </si>
  <si>
    <t>Colombia</t>
  </si>
  <si>
    <t>Costa Rica</t>
  </si>
  <si>
    <t>Cuba</t>
  </si>
  <si>
    <t>Cyprus</t>
  </si>
  <si>
    <t>Czech Republic</t>
  </si>
  <si>
    <t>Germany</t>
  </si>
  <si>
    <t>Djibouti</t>
  </si>
  <si>
    <t>Denmark</t>
  </si>
  <si>
    <t>Dominican Republic</t>
  </si>
  <si>
    <t>Ecuador</t>
  </si>
  <si>
    <t>Estonia</t>
  </si>
  <si>
    <t>Egypt</t>
  </si>
  <si>
    <t>Eritrea</t>
  </si>
  <si>
    <t>Spain</t>
  </si>
  <si>
    <t>Ethiopia</t>
  </si>
  <si>
    <t>Finland</t>
  </si>
  <si>
    <t>France</t>
  </si>
  <si>
    <t>Gabon</t>
  </si>
  <si>
    <t>Georgia</t>
  </si>
  <si>
    <t>Ghana</t>
  </si>
  <si>
    <t>Greenland</t>
  </si>
  <si>
    <t>Gambia</t>
  </si>
  <si>
    <t>Guinea</t>
  </si>
  <si>
    <t>Equatorial Guinea</t>
  </si>
  <si>
    <t>Greece</t>
  </si>
  <si>
    <t>Guinea-Bissau</t>
  </si>
  <si>
    <t>Guyana</t>
  </si>
  <si>
    <t>Hong Kong</t>
  </si>
  <si>
    <t>Honduras</t>
  </si>
  <si>
    <t>Croatia</t>
  </si>
  <si>
    <t>Haiti</t>
  </si>
  <si>
    <t>Hungary</t>
  </si>
  <si>
    <t>Indonesia</t>
  </si>
  <si>
    <t>Ireland</t>
  </si>
  <si>
    <t>Israel</t>
  </si>
  <si>
    <t>India</t>
  </si>
  <si>
    <t>Iraq</t>
  </si>
  <si>
    <t>Iceland</t>
  </si>
  <si>
    <t>Italy</t>
  </si>
  <si>
    <t>Jamaica</t>
  </si>
  <si>
    <t>Jordan</t>
  </si>
  <si>
    <t>Japan</t>
  </si>
  <si>
    <t>Kenya</t>
  </si>
  <si>
    <t>Cambodia</t>
  </si>
  <si>
    <t>Kiribati</t>
  </si>
  <si>
    <t>Kuwait</t>
  </si>
  <si>
    <t>Cayman Islands</t>
  </si>
  <si>
    <t>Lebanon</t>
  </si>
  <si>
    <t>Sri Lanka</t>
  </si>
  <si>
    <t>Liberia</t>
  </si>
  <si>
    <t>Lesotho</t>
  </si>
  <si>
    <t>Lithuania</t>
  </si>
  <si>
    <t>Luxembourg</t>
  </si>
  <si>
    <t>Latvia</t>
  </si>
  <si>
    <t>Morocco</t>
  </si>
  <si>
    <t>Madagascar</t>
  </si>
  <si>
    <t>Mali</t>
  </si>
  <si>
    <t>Myanmar</t>
  </si>
  <si>
    <t>Mongolia</t>
  </si>
  <si>
    <t>Mauritius</t>
  </si>
  <si>
    <t>Maldives</t>
  </si>
  <si>
    <t>Malawi</t>
  </si>
  <si>
    <t>Mexico</t>
  </si>
  <si>
    <t>Malaysia</t>
  </si>
  <si>
    <t>Mozambique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</si>
  <si>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</si>
  <si>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</si>
  <si>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</si>
  <si>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</si>
  <si>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</si>
  <si>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</si>
  <si>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</si>
  <si>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</si>
  <si>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</si>
  <si>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Panama</t>
  </si>
  <si>
    <t>Peru</t>
  </si>
  <si>
    <t>Papua New Guinea</t>
  </si>
  <si>
    <t>Pakistan</t>
  </si>
  <si>
    <t>Poland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</si>
  <si>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</si>
  <si>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</si>
  <si>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</si>
  <si>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</si>
  <si>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</si>
  <si>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</si>
  <si>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</si>
  <si>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Solomon Islands</t>
  </si>
  <si>
    <t>Seychelles</t>
  </si>
  <si>
    <t>Sudan</t>
  </si>
  <si>
    <t>Sweden</t>
  </si>
  <si>
    <t>Singapore</t>
  </si>
  <si>
    <t>Slovenia</t>
  </si>
  <si>
    <t>Slovakia</t>
  </si>
  <si>
    <t>Sierra Leone</t>
  </si>
  <si>
    <t>Senegal</t>
  </si>
  <si>
    <t>Somalia</t>
  </si>
  <si>
    <t>Suriname</t>
  </si>
  <si>
    <t>El Salvador</t>
  </si>
  <si>
    <t>Swaziland</t>
  </si>
  <si>
    <t>Chad</t>
  </si>
  <si>
    <t>Togo</t>
  </si>
  <si>
    <t>Thailand</t>
  </si>
  <si>
    <t>Tajikistan</t>
  </si>
  <si>
    <t>Turkmenistan</t>
  </si>
  <si>
    <t>Tonga</t>
  </si>
  <si>
    <t>Turkey</t>
  </si>
  <si>
    <t>Ukraine</t>
  </si>
  <si>
    <t>Uganda</t>
  </si>
  <si>
    <t>United States of America</t>
  </si>
  <si>
    <t>Uruguay</t>
  </si>
  <si>
    <t>Uzbekistan</t>
  </si>
  <si>
    <t>Yemen</t>
  </si>
  <si>
    <t>South Africa</t>
  </si>
  <si>
    <t>Zambia</t>
  </si>
  <si>
    <t>Zimbabwe</t>
  </si>
  <si>
    <t>AE</t>
  </si>
  <si>
    <t>AF</t>
  </si>
  <si>
    <t>AG</t>
  </si>
  <si>
    <t>AL</t>
  </si>
  <si>
    <t>AM</t>
  </si>
  <si>
    <t>AO</t>
  </si>
  <si>
    <t>AR</t>
  </si>
  <si>
    <t>AT</t>
  </si>
  <si>
    <t>AU</t>
  </si>
  <si>
    <t>AW</t>
  </si>
  <si>
    <t>AZ</t>
  </si>
  <si>
    <t>BA</t>
  </si>
  <si>
    <t>BD</t>
  </si>
  <si>
    <t>BF</t>
  </si>
  <si>
    <t>BH</t>
  </si>
  <si>
    <t>BI</t>
  </si>
  <si>
    <t>BJ</t>
  </si>
  <si>
    <t>BM</t>
  </si>
  <si>
    <t>BO</t>
  </si>
  <si>
    <t>BR</t>
  </si>
  <si>
    <t>BS</t>
  </si>
  <si>
    <t>BY</t>
  </si>
  <si>
    <t>BZ</t>
  </si>
  <si>
    <t>CA</t>
  </si>
  <si>
    <t>CF</t>
  </si>
  <si>
    <t>CG</t>
  </si>
  <si>
    <t>CH</t>
  </si>
  <si>
    <t>CI</t>
  </si>
  <si>
    <t>CL</t>
  </si>
  <si>
    <t>CM</t>
  </si>
  <si>
    <t>CN</t>
  </si>
  <si>
    <t>CO</t>
  </si>
  <si>
    <t>CR</t>
  </si>
  <si>
    <t>CU</t>
  </si>
  <si>
    <t>CV</t>
  </si>
  <si>
    <t>CY</t>
  </si>
  <si>
    <t>CZ</t>
  </si>
  <si>
    <t>DE</t>
  </si>
  <si>
    <t>DJ</t>
  </si>
  <si>
    <t>DK</t>
  </si>
  <si>
    <t>DO</t>
  </si>
  <si>
    <t>DZ</t>
  </si>
  <si>
    <t>EC</t>
  </si>
  <si>
    <t>EE</t>
  </si>
  <si>
    <t>EG</t>
  </si>
  <si>
    <t>ER</t>
  </si>
  <si>
    <t>ES</t>
  </si>
  <si>
    <t>ET</t>
  </si>
  <si>
    <t>FI</t>
  </si>
  <si>
    <t>FK</t>
  </si>
  <si>
    <t>FR</t>
  </si>
  <si>
    <t>GA</t>
  </si>
  <si>
    <t>GB</t>
  </si>
  <si>
    <t>GE</t>
  </si>
  <si>
    <t>GH</t>
  </si>
  <si>
    <t>GL</t>
  </si>
  <si>
    <t>GM</t>
  </si>
  <si>
    <t>GN</t>
  </si>
  <si>
    <t>GQ</t>
  </si>
  <si>
    <t>GR</t>
  </si>
  <si>
    <t>GT</t>
  </si>
  <si>
    <t>GW</t>
  </si>
  <si>
    <t>GY</t>
  </si>
  <si>
    <t>HK</t>
  </si>
  <si>
    <t>HN</t>
  </si>
  <si>
    <t>HR</t>
  </si>
  <si>
    <t>HU</t>
  </si>
  <si>
    <t>ID</t>
  </si>
  <si>
    <t>IE</t>
  </si>
  <si>
    <t>IL</t>
  </si>
  <si>
    <t>IN</t>
  </si>
  <si>
    <t>IQ</t>
  </si>
  <si>
    <t>IR</t>
  </si>
  <si>
    <t>IS</t>
  </si>
  <si>
    <t>JM</t>
  </si>
  <si>
    <t>JO</t>
  </si>
  <si>
    <t>JP</t>
  </si>
  <si>
    <t>KE</t>
  </si>
  <si>
    <t>KG</t>
  </si>
  <si>
    <t>KH</t>
  </si>
  <si>
    <t>KI</t>
  </si>
  <si>
    <t>KM</t>
  </si>
  <si>
    <t>KP</t>
  </si>
  <si>
    <t>KR</t>
  </si>
  <si>
    <t>KW</t>
  </si>
  <si>
    <t>KY</t>
  </si>
  <si>
    <t>KZ</t>
  </si>
  <si>
    <t>LA</t>
  </si>
  <si>
    <t>LB</t>
  </si>
  <si>
    <t>LK</t>
  </si>
  <si>
    <t>LR</t>
  </si>
  <si>
    <t>LS</t>
  </si>
  <si>
    <t>LT</t>
  </si>
  <si>
    <t>LU</t>
  </si>
  <si>
    <t>LV</t>
  </si>
  <si>
    <t>LY</t>
  </si>
  <si>
    <t>MA</t>
  </si>
  <si>
    <t>MD</t>
  </si>
  <si>
    <t>MG</t>
  </si>
  <si>
    <t>ML</t>
  </si>
  <si>
    <t>MM</t>
  </si>
  <si>
    <t>MN</t>
  </si>
  <si>
    <t>MO</t>
  </si>
  <si>
    <t>MR</t>
  </si>
  <si>
    <t>MS</t>
  </si>
  <si>
    <t>MU</t>
  </si>
  <si>
    <t>MV</t>
  </si>
  <si>
    <t>MW</t>
  </si>
  <si>
    <t>MX</t>
  </si>
  <si>
    <t>MY</t>
  </si>
  <si>
    <t>MZ</t>
  </si>
  <si>
    <t>NA</t>
  </si>
  <si>
    <t>NE</t>
  </si>
  <si>
    <t>NG</t>
  </si>
  <si>
    <t>NI</t>
  </si>
  <si>
    <t>NL</t>
  </si>
  <si>
    <t>NO</t>
  </si>
  <si>
    <t>NP</t>
  </si>
  <si>
    <t>NZ</t>
  </si>
  <si>
    <t>OM</t>
  </si>
  <si>
    <t>PA</t>
  </si>
  <si>
    <t>PE</t>
  </si>
  <si>
    <t>PG</t>
  </si>
  <si>
    <t>PH</t>
  </si>
  <si>
    <t>PK</t>
  </si>
  <si>
    <t>PL</t>
  </si>
  <si>
    <t>PT</t>
  </si>
  <si>
    <t>PY</t>
  </si>
  <si>
    <t>QA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</si>
  <si>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</si>
  <si>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</si>
  <si>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</si>
  <si>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</si>
  <si>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</si>
  <si>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</si>
  <si>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</si>
  <si>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</si>
  <si>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</si>
  <si>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</si>
  <si>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</si>
  <si>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</si>
  <si>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</si>
  <si>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</si>
  <si>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ST</t>
  </si>
  <si>
    <t>SV</t>
  </si>
  <si>
    <t>SY</t>
  </si>
  <si>
    <t>SZ</t>
  </si>
  <si>
    <t>TD</t>
  </si>
  <si>
    <t>TG</t>
  </si>
  <si>
    <t>TH</t>
  </si>
  <si>
    <t>TJ</t>
  </si>
  <si>
    <t>TM</t>
  </si>
  <si>
    <t>TN</t>
  </si>
  <si>
    <t>TO</t>
  </si>
  <si>
    <t>TR</t>
  </si>
  <si>
    <t>TT</t>
  </si>
  <si>
    <t>TW</t>
  </si>
  <si>
    <t>TZ</t>
  </si>
  <si>
    <t>UA</t>
  </si>
  <si>
    <t>UG</t>
  </si>
  <si>
    <t>US</t>
  </si>
  <si>
    <t>UY</t>
  </si>
  <si>
    <t>UZ</t>
  </si>
  <si>
    <t>VE</t>
  </si>
  <si>
    <t>VN</t>
  </si>
  <si>
    <t>YE</t>
  </si>
  <si>
    <t>ZA</t>
  </si>
  <si>
    <t>ZM</t>
  </si>
  <si>
    <t>ZW</t>
  </si>
  <si>
    <t>Hatch date</t>
  </si>
  <si>
    <t>PMO RETENU</t>
  </si>
  <si>
    <t>Cumul Petit</t>
  </si>
  <si>
    <t>Cumul Moyen</t>
  </si>
  <si>
    <t>Cumul Gros</t>
  </si>
  <si>
    <t>Cumul Très gros</t>
  </si>
  <si>
    <t>max</t>
  </si>
  <si>
    <t>BOVANS BROWN</t>
  </si>
  <si>
    <t>DEKALB WHITE</t>
  </si>
  <si>
    <t>ISA BROWN</t>
  </si>
  <si>
    <t>SHAVER BROWN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</si>
  <si>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</si>
  <si>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</si>
  <si>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</si>
  <si>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</si>
  <si>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</si>
  <si>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</si>
  <si>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</si>
  <si>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</si>
  <si>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</si>
  <si>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</si>
  <si>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</si>
  <si>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</si>
  <si>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</si>
  <si>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</si>
  <si>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</si>
  <si>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</si>
  <si>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</si>
  <si>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</si>
  <si>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</si>
  <si>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</si>
  <si>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</si>
  <si>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</si>
  <si>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</si>
  <si>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</si>
  <si>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</si>
  <si>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</si>
  <si>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</si>
  <si>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</si>
  <si>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</si>
  <si>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</si>
  <si>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</si>
  <si>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data rearing</t>
  </si>
  <si>
    <t>data laying</t>
  </si>
  <si>
    <t>Guatemala</t>
  </si>
  <si>
    <t>hatch date</t>
  </si>
  <si>
    <t>farm</t>
  </si>
  <si>
    <t>producer</t>
  </si>
  <si>
    <t>house</t>
  </si>
  <si>
    <t>country</t>
  </si>
  <si>
    <t>rearing farm</t>
  </si>
  <si>
    <t>number of layer housed</t>
  </si>
  <si>
    <t>transfer</t>
  </si>
  <si>
    <t>cum transfert</t>
  </si>
  <si>
    <t>cal inter</t>
  </si>
  <si>
    <t>cal inter1</t>
  </si>
  <si>
    <t>somme tranfert</t>
  </si>
  <si>
    <t>nb poule mep</t>
  </si>
  <si>
    <t>coef à appliquer</t>
  </si>
  <si>
    <t>Coef</t>
  </si>
  <si>
    <t>Nb mort corrigé</t>
  </si>
  <si>
    <t>Nb mort corrigé Cumulé</t>
  </si>
  <si>
    <t xml:space="preserve">Eau corrigée </t>
  </si>
  <si>
    <t>Eau corrigée cumulée</t>
  </si>
  <si>
    <t>effectif corrigé</t>
  </si>
  <si>
    <t xml:space="preserve">Aliment corrigé </t>
  </si>
  <si>
    <t>Aliment corrigé Cumulé</t>
  </si>
  <si>
    <t>depletion</t>
  </si>
  <si>
    <t>ponte semaine</t>
  </si>
  <si>
    <t>seconds farm</t>
  </si>
  <si>
    <t>seconds packing</t>
  </si>
  <si>
    <t>AEW</t>
  </si>
  <si>
    <t>WATER</t>
  </si>
  <si>
    <t>bdy weight</t>
  </si>
  <si>
    <t>feed EOW</t>
  </si>
  <si>
    <t>feed intake</t>
  </si>
  <si>
    <t>AD</t>
  </si>
  <si>
    <t>Andorra</t>
  </si>
  <si>
    <t>AI</t>
  </si>
  <si>
    <t>Anguilla</t>
  </si>
  <si>
    <t>AQ</t>
  </si>
  <si>
    <t>Antarctica</t>
  </si>
  <si>
    <t>AS</t>
  </si>
  <si>
    <t>American Samoa</t>
  </si>
  <si>
    <t>Azerbaijan</t>
  </si>
  <si>
    <t>Brunei Darussalam</t>
  </si>
  <si>
    <t>BV</t>
  </si>
  <si>
    <t>Bouvet Island</t>
  </si>
  <si>
    <t>CC</t>
  </si>
  <si>
    <t>Cocos (Keeling) Islands</t>
  </si>
  <si>
    <t>Switzerland</t>
  </si>
  <si>
    <t>CK</t>
  </si>
  <si>
    <t>CX</t>
  </si>
  <si>
    <t>Christmas Island</t>
  </si>
  <si>
    <t>DM</t>
  </si>
  <si>
    <t>Dominica</t>
  </si>
  <si>
    <t>EH</t>
  </si>
  <si>
    <t>Western Sahara</t>
  </si>
  <si>
    <t>FJ</t>
  </si>
  <si>
    <t>Fiji</t>
  </si>
  <si>
    <t>Falkland Islands (Malvinas)</t>
  </si>
  <si>
    <t>FM</t>
  </si>
  <si>
    <t>FO</t>
  </si>
  <si>
    <t>Faroe Islands</t>
  </si>
  <si>
    <t>GD</t>
  </si>
  <si>
    <t>Grenada</t>
  </si>
  <si>
    <t>GI</t>
  </si>
  <si>
    <t>Gibraltar</t>
  </si>
  <si>
    <t>GS</t>
  </si>
  <si>
    <t>South Georgia and the South Sandwich Islands</t>
  </si>
  <si>
    <t>GU</t>
  </si>
  <si>
    <t>Guam</t>
  </si>
  <si>
    <t>HM</t>
  </si>
  <si>
    <t>IO</t>
  </si>
  <si>
    <t>British Indian Ocean Territory</t>
  </si>
  <si>
    <t>Kyrgyzstan</t>
  </si>
  <si>
    <t>Comoros</t>
  </si>
  <si>
    <t>KN</t>
  </si>
  <si>
    <t>Kazakhstan</t>
  </si>
  <si>
    <t>Lao People's Democratic Republic</t>
  </si>
  <si>
    <t>LC</t>
  </si>
  <si>
    <t>Saint Lucia</t>
  </si>
  <si>
    <t>LI</t>
  </si>
  <si>
    <t>Liechtenstein</t>
  </si>
  <si>
    <t>MC</t>
  </si>
  <si>
    <t>Monaco</t>
  </si>
  <si>
    <t>MH</t>
  </si>
  <si>
    <t>Marshall Islands</t>
  </si>
  <si>
    <t>MP</t>
  </si>
  <si>
    <t>Northern Mariana Islands</t>
  </si>
  <si>
    <t>Mauritania</t>
  </si>
  <si>
    <t>MT</t>
  </si>
  <si>
    <t>Malta</t>
  </si>
  <si>
    <t>NC</t>
  </si>
  <si>
    <t>New Caledonia</t>
  </si>
  <si>
    <t>NF</t>
  </si>
  <si>
    <t>Norfolk Island</t>
  </si>
  <si>
    <t>NR</t>
  </si>
  <si>
    <t>Nauru</t>
  </si>
  <si>
    <t>NU</t>
  </si>
  <si>
    <t>Niue</t>
  </si>
  <si>
    <t>PF</t>
  </si>
  <si>
    <t>French Polynesia</t>
  </si>
  <si>
    <t>Philippines</t>
  </si>
  <si>
    <t>PN</t>
  </si>
  <si>
    <t>Pitcairn</t>
  </si>
  <si>
    <t>PR</t>
  </si>
  <si>
    <t>Puerto Rico</t>
  </si>
  <si>
    <t>PW</t>
  </si>
  <si>
    <t>Palau</t>
  </si>
  <si>
    <t>RE</t>
  </si>
  <si>
    <t>Réunion</t>
  </si>
  <si>
    <t>SH</t>
  </si>
  <si>
    <t>SJ</t>
  </si>
  <si>
    <t>San Marino</t>
  </si>
  <si>
    <t>Syrian Arab Republic</t>
  </si>
  <si>
    <t>TC</t>
  </si>
  <si>
    <t>TF</t>
  </si>
  <si>
    <t>French Southern Territories</t>
  </si>
  <si>
    <t>TK</t>
  </si>
  <si>
    <t>Tokelau</t>
  </si>
  <si>
    <t>Tunisia</t>
  </si>
  <si>
    <t>TV</t>
  </si>
  <si>
    <t>Tuvalu</t>
  </si>
  <si>
    <t>Tanzania, United Republic of</t>
  </si>
  <si>
    <t>UM</t>
  </si>
  <si>
    <t>United States Minor Outlying Islands</t>
  </si>
  <si>
    <t>VA</t>
  </si>
  <si>
    <t>VC</t>
  </si>
  <si>
    <t>VG</t>
  </si>
  <si>
    <t>VI</t>
  </si>
  <si>
    <t>Viet Nam</t>
  </si>
  <si>
    <t>VU</t>
  </si>
  <si>
    <t>Vanuatu</t>
  </si>
  <si>
    <t>WF</t>
  </si>
  <si>
    <t>WS</t>
  </si>
  <si>
    <t>Samoa</t>
  </si>
  <si>
    <t>REARING</t>
  </si>
  <si>
    <t>Gradings</t>
  </si>
  <si>
    <t>DOC housed</t>
  </si>
  <si>
    <t>version</t>
  </si>
  <si>
    <t>filename</t>
  </si>
  <si>
    <t>object</t>
  </si>
  <si>
    <t>weeks</t>
  </si>
  <si>
    <t>mortality</t>
  </si>
  <si>
    <t>bodyweight</t>
  </si>
  <si>
    <t>uniformity</t>
  </si>
  <si>
    <t>water</t>
  </si>
  <si>
    <t>feed</t>
  </si>
  <si>
    <t>light duration</t>
  </si>
  <si>
    <t>year</t>
  </si>
  <si>
    <t>day</t>
  </si>
  <si>
    <t xml:space="preserve">month </t>
  </si>
  <si>
    <t>complete year</t>
  </si>
  <si>
    <t>Daily</t>
  </si>
  <si>
    <t>Full date</t>
  </si>
  <si>
    <t>Global</t>
  </si>
  <si>
    <t>Rearing transfer date</t>
  </si>
  <si>
    <t>Laying rate std.</t>
  </si>
  <si>
    <t>Egg weight std.</t>
  </si>
  <si>
    <t>Graph redone</t>
  </si>
  <si>
    <t>Housing system rearing</t>
  </si>
  <si>
    <t>Housing system laying</t>
  </si>
  <si>
    <t>Laying chart summary data</t>
  </si>
  <si>
    <t>last</t>
  </si>
  <si>
    <t>test last week</t>
  </si>
  <si>
    <t>breed</t>
  </si>
  <si>
    <t>AUD</t>
  </si>
  <si>
    <t>CAD</t>
  </si>
  <si>
    <t>CHF</t>
  </si>
  <si>
    <t>EUR</t>
  </si>
  <si>
    <t>GBP</t>
  </si>
  <si>
    <t>HKD</t>
  </si>
  <si>
    <t>INR</t>
  </si>
  <si>
    <t>JPY</t>
  </si>
  <si>
    <t>KRW</t>
  </si>
  <si>
    <t>MXN</t>
  </si>
  <si>
    <t>NOK</t>
  </si>
  <si>
    <t>NZD</t>
  </si>
  <si>
    <t>SEK</t>
  </si>
  <si>
    <t>SGD</t>
  </si>
  <si>
    <t>USD</t>
  </si>
  <si>
    <t>Currencies</t>
  </si>
  <si>
    <t>mt</t>
  </si>
  <si>
    <t>housing sys</t>
  </si>
  <si>
    <t>rearing housing sys</t>
  </si>
  <si>
    <t>AFN</t>
  </si>
  <si>
    <t>afghani</t>
  </si>
  <si>
    <t>MGA</t>
  </si>
  <si>
    <t>ariary</t>
  </si>
  <si>
    <t>THB</t>
  </si>
  <si>
    <t>baht</t>
  </si>
  <si>
    <t>Thaïlande</t>
  </si>
  <si>
    <t>PAB</t>
  </si>
  <si>
    <t>balboa</t>
  </si>
  <si>
    <t>ETB</t>
  </si>
  <si>
    <t>birr</t>
  </si>
  <si>
    <t>Éthiopie</t>
  </si>
  <si>
    <t>VEB</t>
  </si>
  <si>
    <t>bolivar</t>
  </si>
  <si>
    <t>Vénézuéla</t>
  </si>
  <si>
    <t>GHC</t>
  </si>
  <si>
    <t>cedi</t>
  </si>
  <si>
    <t>CRC</t>
  </si>
  <si>
    <t>colon</t>
  </si>
  <si>
    <t>SVC</t>
  </si>
  <si>
    <t>Salvador</t>
  </si>
  <si>
    <t>NIO</t>
  </si>
  <si>
    <t>cordoba d'or</t>
  </si>
  <si>
    <t>couronne</t>
  </si>
  <si>
    <t>Suède</t>
  </si>
  <si>
    <t>ISK</t>
  </si>
  <si>
    <t>Islande</t>
  </si>
  <si>
    <t>Norvège</t>
  </si>
  <si>
    <t>CZK</t>
  </si>
  <si>
    <t>République Tchèque</t>
  </si>
  <si>
    <t>DKK</t>
  </si>
  <si>
    <t>Danemark</t>
  </si>
  <si>
    <t>EEK</t>
  </si>
  <si>
    <t>Estonie</t>
  </si>
  <si>
    <t>GMD</t>
  </si>
  <si>
    <t>dalasi</t>
  </si>
  <si>
    <t>Gambie</t>
  </si>
  <si>
    <t>MKD</t>
  </si>
  <si>
    <t>denar</t>
  </si>
  <si>
    <t>Macédoine</t>
  </si>
  <si>
    <t>IQD</t>
  </si>
  <si>
    <t>dinar</t>
  </si>
  <si>
    <t>Irak</t>
  </si>
  <si>
    <t>KWD</t>
  </si>
  <si>
    <t>Koweït</t>
  </si>
  <si>
    <t>DZD</t>
  </si>
  <si>
    <t>Algérie</t>
  </si>
  <si>
    <t>LYD</t>
  </si>
  <si>
    <t>Libye</t>
  </si>
  <si>
    <t>JOD</t>
  </si>
  <si>
    <t>Jordanie</t>
  </si>
  <si>
    <t>BHD</t>
  </si>
  <si>
    <t>Bahreïn</t>
  </si>
  <si>
    <t>TND</t>
  </si>
  <si>
    <t>Tunisie</t>
  </si>
  <si>
    <t>YUM</t>
  </si>
  <si>
    <t>Yougoslavie</t>
  </si>
  <si>
    <t>AED</t>
  </si>
  <si>
    <t>dirham</t>
  </si>
  <si>
    <t>Émirats Arabes Unis</t>
  </si>
  <si>
    <t>MAD</t>
  </si>
  <si>
    <t>Maroc</t>
  </si>
  <si>
    <t>STD</t>
  </si>
  <si>
    <t>dobra</t>
  </si>
  <si>
    <t>São Tomé-et-Principe</t>
  </si>
  <si>
    <t>TVD</t>
  </si>
  <si>
    <t>dollar</t>
  </si>
  <si>
    <t>Australie</t>
  </si>
  <si>
    <t>Singapour</t>
  </si>
  <si>
    <t>BMD</t>
  </si>
  <si>
    <t>Bermudes</t>
  </si>
  <si>
    <t>BND</t>
  </si>
  <si>
    <t>Brunei</t>
  </si>
  <si>
    <t>TTD</t>
  </si>
  <si>
    <t>Trinité-et-Tobago</t>
  </si>
  <si>
    <t>KYD</t>
  </si>
  <si>
    <t>Îles Caïmans</t>
  </si>
  <si>
    <t>BSD</t>
  </si>
  <si>
    <t>Bahamas</t>
  </si>
  <si>
    <t>SBD</t>
  </si>
  <si>
    <t>Iles Salomon</t>
  </si>
  <si>
    <t>ZWL</t>
  </si>
  <si>
    <t>Nouvelle Zélande</t>
  </si>
  <si>
    <t>BZD</t>
  </si>
  <si>
    <t>JMD</t>
  </si>
  <si>
    <t>Jamaïque</t>
  </si>
  <si>
    <t>Etats-Unis d'Amérique</t>
  </si>
  <si>
    <t>FJD</t>
  </si>
  <si>
    <t>Fidji</t>
  </si>
  <si>
    <t>BBD</t>
  </si>
  <si>
    <t>Barbade</t>
  </si>
  <si>
    <t>GYD</t>
  </si>
  <si>
    <t>NAD</t>
  </si>
  <si>
    <t>Namibie</t>
  </si>
  <si>
    <t>TWD</t>
  </si>
  <si>
    <t>Taïwan</t>
  </si>
  <si>
    <t>LRD</t>
  </si>
  <si>
    <t>Libéria</t>
  </si>
  <si>
    <t>VND</t>
  </si>
  <si>
    <t>dong</t>
  </si>
  <si>
    <t>Vietnam</t>
  </si>
  <si>
    <t>AMD</t>
  </si>
  <si>
    <t>dram</t>
  </si>
  <si>
    <t>Arménie</t>
  </si>
  <si>
    <t>XDR</t>
  </si>
  <si>
    <t>droit de tirage spécial</t>
  </si>
  <si>
    <t>Fonds Monétaire International</t>
  </si>
  <si>
    <t>CVE</t>
  </si>
  <si>
    <t>escudo</t>
  </si>
  <si>
    <t>Cap-Vert</t>
  </si>
  <si>
    <t>euro</t>
  </si>
  <si>
    <t>Membres de la zone Euro</t>
  </si>
  <si>
    <t>SRG</t>
  </si>
  <si>
    <t>florin</t>
  </si>
  <si>
    <t>Surinam</t>
  </si>
  <si>
    <t>AWG</t>
  </si>
  <si>
    <t>ANG</t>
  </si>
  <si>
    <t>Antilles Néerlandaises</t>
  </si>
  <si>
    <t>HUF</t>
  </si>
  <si>
    <t>forint</t>
  </si>
  <si>
    <t>Hongrie</t>
  </si>
  <si>
    <t>DJF</t>
  </si>
  <si>
    <t>franc</t>
  </si>
  <si>
    <t>GNF</t>
  </si>
  <si>
    <t>Guinée</t>
  </si>
  <si>
    <t>Suisse</t>
  </si>
  <si>
    <t>RWF</t>
  </si>
  <si>
    <t>KMF</t>
  </si>
  <si>
    <t>Comores</t>
  </si>
  <si>
    <t>BIF</t>
  </si>
  <si>
    <t>XAF</t>
  </si>
  <si>
    <t>franc CFA</t>
  </si>
  <si>
    <t>Communauté Financière Africaine BEAC</t>
  </si>
  <si>
    <t>XOF</t>
  </si>
  <si>
    <t>Communauté Financière Africaine BCEAO</t>
  </si>
  <si>
    <t>XPF</t>
  </si>
  <si>
    <t>franc CFP</t>
  </si>
  <si>
    <t>Comptoirs Français du Pacifique</t>
  </si>
  <si>
    <t>CDF</t>
  </si>
  <si>
    <t>franc congolais</t>
  </si>
  <si>
    <t>République Démocratique du Congo</t>
  </si>
  <si>
    <t>HTG</t>
  </si>
  <si>
    <t>gourde</t>
  </si>
  <si>
    <t>Haïti</t>
  </si>
  <si>
    <t>PYG</t>
  </si>
  <si>
    <t>guarani</t>
  </si>
  <si>
    <t>UAH</t>
  </si>
  <si>
    <t>hryvnia</t>
  </si>
  <si>
    <t>PGK</t>
  </si>
  <si>
    <t>kina</t>
  </si>
  <si>
    <t>Papouasie-Nouvelle-Guinée</t>
  </si>
  <si>
    <t>LAK</t>
  </si>
  <si>
    <t>kip</t>
  </si>
  <si>
    <t>Laos</t>
  </si>
  <si>
    <t>HRK</t>
  </si>
  <si>
    <t>kuna</t>
  </si>
  <si>
    <t>Croatie</t>
  </si>
  <si>
    <t>ZMK</t>
  </si>
  <si>
    <t>kwacha</t>
  </si>
  <si>
    <t>Zambie</t>
  </si>
  <si>
    <t>MWK</t>
  </si>
  <si>
    <t>AOA</t>
  </si>
  <si>
    <t>kwanza</t>
  </si>
  <si>
    <t>MMK</t>
  </si>
  <si>
    <t>kyat</t>
  </si>
  <si>
    <t>Birmanie</t>
  </si>
  <si>
    <t>GEL</t>
  </si>
  <si>
    <t>lari</t>
  </si>
  <si>
    <t>Géorgie</t>
  </si>
  <si>
    <t>LVL</t>
  </si>
  <si>
    <t>lats letton</t>
  </si>
  <si>
    <t>Lettonie</t>
  </si>
  <si>
    <t>ALL</t>
  </si>
  <si>
    <t>lek</t>
  </si>
  <si>
    <t>Albanie</t>
  </si>
  <si>
    <t>HNL</t>
  </si>
  <si>
    <t>lempira</t>
  </si>
  <si>
    <t>SLL</t>
  </si>
  <si>
    <t>leone</t>
  </si>
  <si>
    <t>MDL</t>
  </si>
  <si>
    <t>leu</t>
  </si>
  <si>
    <t>Moldavie</t>
  </si>
  <si>
    <t>ROL</t>
  </si>
  <si>
    <t>Roumanie</t>
  </si>
  <si>
    <t>BGL</t>
  </si>
  <si>
    <t>lev</t>
  </si>
  <si>
    <t>Bulgarie</t>
  </si>
  <si>
    <t>SZL</t>
  </si>
  <si>
    <t>lilangeni</t>
  </si>
  <si>
    <t>MTL</t>
  </si>
  <si>
    <t>lire</t>
  </si>
  <si>
    <t>Malte</t>
  </si>
  <si>
    <t>TRY</t>
  </si>
  <si>
    <t>Turquie</t>
  </si>
  <si>
    <t>LTL</t>
  </si>
  <si>
    <t>litas</t>
  </si>
  <si>
    <t>Lituanie</t>
  </si>
  <si>
    <t>EGP</t>
  </si>
  <si>
    <t>livre</t>
  </si>
  <si>
    <t>Egypte</t>
  </si>
  <si>
    <t>SDG</t>
  </si>
  <si>
    <t>Soudan</t>
  </si>
  <si>
    <t>FKP</t>
  </si>
  <si>
    <t>Îles Malouines</t>
  </si>
  <si>
    <t>Royaume-Uni</t>
  </si>
  <si>
    <t>IMP</t>
  </si>
  <si>
    <t>Ile de Man</t>
  </si>
  <si>
    <t>JEP</t>
  </si>
  <si>
    <t>Jersey</t>
  </si>
  <si>
    <t>GIP</t>
  </si>
  <si>
    <t>LBP</t>
  </si>
  <si>
    <t>Liban</t>
  </si>
  <si>
    <t>GGP</t>
  </si>
  <si>
    <t>Guernsey</t>
  </si>
  <si>
    <t>SHP</t>
  </si>
  <si>
    <t>Sainte-Hélène</t>
  </si>
  <si>
    <t>SYP</t>
  </si>
  <si>
    <t>Syrie</t>
  </si>
  <si>
    <t>LSL</t>
  </si>
  <si>
    <t>loti</t>
  </si>
  <si>
    <t>SPL</t>
  </si>
  <si>
    <t>luigini</t>
  </si>
  <si>
    <t>Seborga</t>
  </si>
  <si>
    <t>AZN</t>
  </si>
  <si>
    <t>manat</t>
  </si>
  <si>
    <t>Azerbaïdjan</t>
  </si>
  <si>
    <t>TMM</t>
  </si>
  <si>
    <t>Turkménistan</t>
  </si>
  <si>
    <t>BAM</t>
  </si>
  <si>
    <t>mark convertible</t>
  </si>
  <si>
    <t>Bosnie-Herzégovine</t>
  </si>
  <si>
    <t>MZM</t>
  </si>
  <si>
    <t>métical</t>
  </si>
  <si>
    <t>NGN</t>
  </si>
  <si>
    <t>naira</t>
  </si>
  <si>
    <t>ERN</t>
  </si>
  <si>
    <t>nakfa</t>
  </si>
  <si>
    <t>Érythrée</t>
  </si>
  <si>
    <t>BTN</t>
  </si>
  <si>
    <t>ngultrum</t>
  </si>
  <si>
    <t>Bhoutan</t>
  </si>
  <si>
    <t>PEN</t>
  </si>
  <si>
    <t>nuevo sol</t>
  </si>
  <si>
    <t>Pérou</t>
  </si>
  <si>
    <t>XPD</t>
  </si>
  <si>
    <t>once</t>
  </si>
  <si>
    <t>Palladium</t>
  </si>
  <si>
    <t>XAU</t>
  </si>
  <si>
    <t>Or</t>
  </si>
  <si>
    <t>XAG</t>
  </si>
  <si>
    <t>Argent</t>
  </si>
  <si>
    <t>XPT</t>
  </si>
  <si>
    <t>Platinum</t>
  </si>
  <si>
    <t>MRO</t>
  </si>
  <si>
    <t>ouguiya</t>
  </si>
  <si>
    <t>Mauritanie</t>
  </si>
  <si>
    <t>TOP</t>
  </si>
  <si>
    <t>pa’anga</t>
  </si>
  <si>
    <t>UYU</t>
  </si>
  <si>
    <t>peso</t>
  </si>
  <si>
    <t>PHP</t>
  </si>
  <si>
    <t>Mexique</t>
  </si>
  <si>
    <t>ARS</t>
  </si>
  <si>
    <t>Argentine</t>
  </si>
  <si>
    <t>DOP</t>
  </si>
  <si>
    <t>République Dominicaine</t>
  </si>
  <si>
    <t>COP</t>
  </si>
  <si>
    <t>Colombie</t>
  </si>
  <si>
    <t>CLP</t>
  </si>
  <si>
    <t>Chili</t>
  </si>
  <si>
    <t>CUP</t>
  </si>
  <si>
    <t>BWP</t>
  </si>
  <si>
    <t>pula</t>
  </si>
  <si>
    <t>GTQ</t>
  </si>
  <si>
    <t>quetzal</t>
  </si>
  <si>
    <t>ZAR</t>
  </si>
  <si>
    <t>rand</t>
  </si>
  <si>
    <t>Afrique du Sud</t>
  </si>
  <si>
    <t>IRR</t>
  </si>
  <si>
    <t>rial</t>
  </si>
  <si>
    <t>Iran</t>
  </si>
  <si>
    <t>QAR</t>
  </si>
  <si>
    <t>OMR</t>
  </si>
  <si>
    <t>KHR</t>
  </si>
  <si>
    <t>riel</t>
  </si>
  <si>
    <t>Cambodge</t>
  </si>
  <si>
    <t>MYR</t>
  </si>
  <si>
    <t>ringgit</t>
  </si>
  <si>
    <t>Malaisie</t>
  </si>
  <si>
    <t>YER</t>
  </si>
  <si>
    <t>riyal</t>
  </si>
  <si>
    <t>Yémen</t>
  </si>
  <si>
    <t>BYR</t>
  </si>
  <si>
    <t>rouble</t>
  </si>
  <si>
    <t>Bielorussie</t>
  </si>
  <si>
    <t>RUB</t>
  </si>
  <si>
    <t>Russie</t>
  </si>
  <si>
    <t>LKR</t>
  </si>
  <si>
    <t>roupie</t>
  </si>
  <si>
    <t>IDR</t>
  </si>
  <si>
    <t>Indonésie</t>
  </si>
  <si>
    <t>MUR</t>
  </si>
  <si>
    <t>Maurice</t>
  </si>
  <si>
    <t>Inde</t>
  </si>
  <si>
    <t>NPR</t>
  </si>
  <si>
    <t>Népal</t>
  </si>
  <si>
    <t>SCR</t>
  </si>
  <si>
    <t>PKR</t>
  </si>
  <si>
    <t>MVR</t>
  </si>
  <si>
    <t>rufiyaa</t>
  </si>
  <si>
    <t>SAR</t>
  </si>
  <si>
    <t>ryal</t>
  </si>
  <si>
    <t>Arabie saoudite</t>
  </si>
  <si>
    <t>BRL</t>
  </si>
  <si>
    <t>réal</t>
  </si>
  <si>
    <t>Brésil</t>
  </si>
  <si>
    <t>TZS</t>
  </si>
  <si>
    <t>schilling</t>
  </si>
  <si>
    <t>Tanzanie</t>
  </si>
  <si>
    <t>UGX</t>
  </si>
  <si>
    <t>Ouganda</t>
  </si>
  <si>
    <t>KES</t>
  </si>
  <si>
    <t>SOS</t>
  </si>
  <si>
    <t>Somalie</t>
  </si>
  <si>
    <t>ILS</t>
  </si>
  <si>
    <t>shekel</t>
  </si>
  <si>
    <t>Israël</t>
  </si>
  <si>
    <t>KGS</t>
  </si>
  <si>
    <t>som</t>
  </si>
  <si>
    <t>Kirghizistan</t>
  </si>
  <si>
    <t>TJS</t>
  </si>
  <si>
    <t>somoni</t>
  </si>
  <si>
    <t>Tadjikistan</t>
  </si>
  <si>
    <t>UZS</t>
  </si>
  <si>
    <t>sum</t>
  </si>
  <si>
    <t>Ouzbékistan</t>
  </si>
  <si>
    <t>BDT</t>
  </si>
  <si>
    <t>taka</t>
  </si>
  <si>
    <t>WST</t>
  </si>
  <si>
    <t>tala</t>
  </si>
  <si>
    <t>KZT</t>
  </si>
  <si>
    <t>tenge</t>
  </si>
  <si>
    <t>MNT</t>
  </si>
  <si>
    <t>tugrik</t>
  </si>
  <si>
    <t>Mongolie</t>
  </si>
  <si>
    <t>VUV</t>
  </si>
  <si>
    <t>vatu</t>
  </si>
  <si>
    <t>KPW</t>
  </si>
  <si>
    <t>won</t>
  </si>
  <si>
    <t>Corée du Nord</t>
  </si>
  <si>
    <t>Corée du Sud</t>
  </si>
  <si>
    <t>yen</t>
  </si>
  <si>
    <t>Japon</t>
  </si>
  <si>
    <t>CNY</t>
  </si>
  <si>
    <t>yuan renminbi</t>
  </si>
  <si>
    <t>Chine</t>
  </si>
  <si>
    <t>CNH</t>
  </si>
  <si>
    <t>yuan renminbi (Hong Kong)</t>
  </si>
  <si>
    <t>PLN</t>
  </si>
  <si>
    <t>zloty</t>
  </si>
  <si>
    <t>Pologne</t>
  </si>
  <si>
    <t>email sent to</t>
  </si>
  <si>
    <t>WS1</t>
  </si>
  <si>
    <t>Version:</t>
  </si>
  <si>
    <t>WS2</t>
  </si>
  <si>
    <t>Date</t>
  </si>
  <si>
    <t>Age</t>
  </si>
  <si>
    <t>Cum.</t>
  </si>
  <si>
    <t>Unif. %</t>
  </si>
  <si>
    <t>Standard</t>
  </si>
  <si>
    <t>WS3</t>
  </si>
  <si>
    <t>WS4</t>
  </si>
  <si>
    <t>WS5</t>
  </si>
  <si>
    <t>WS6</t>
  </si>
  <si>
    <t>Std.</t>
  </si>
  <si>
    <t>WS7</t>
  </si>
  <si>
    <t>WS8</t>
  </si>
  <si>
    <t>Cage</t>
  </si>
  <si>
    <t>WS9</t>
  </si>
  <si>
    <t>cardridge1</t>
  </si>
  <si>
    <t>cardridge2</t>
  </si>
  <si>
    <t>G0</t>
  </si>
  <si>
    <t>G1</t>
  </si>
  <si>
    <t>G2</t>
  </si>
  <si>
    <t>G3</t>
  </si>
  <si>
    <t>Ratio</t>
  </si>
  <si>
    <t>G4</t>
  </si>
  <si>
    <t>G5</t>
  </si>
  <si>
    <t>G6</t>
  </si>
  <si>
    <t>G1bis</t>
  </si>
  <si>
    <t>/kg</t>
  </si>
  <si>
    <t>comments</t>
  </si>
  <si>
    <t>light on at</t>
  </si>
  <si>
    <t>feed price /ton</t>
  </si>
  <si>
    <t>Semaine de présence cumulées</t>
  </si>
  <si>
    <t>TEST LANGUE</t>
  </si>
  <si>
    <t>FORMULE ENG</t>
  </si>
  <si>
    <t>FORMULE CHI</t>
  </si>
  <si>
    <t>CS</t>
  </si>
  <si>
    <t>Taiwan</t>
  </si>
  <si>
    <t>Date format</t>
  </si>
  <si>
    <t>BABCOCK B400</t>
  </si>
  <si>
    <t>BCW400</t>
  </si>
  <si>
    <t>BABCOCK BROWN</t>
  </si>
  <si>
    <t>BCB</t>
  </si>
  <si>
    <t>BABCOCK COLUMBIAN BLACK TAIL</t>
  </si>
  <si>
    <t>CBT</t>
  </si>
  <si>
    <t>BABCOCK WHITE</t>
  </si>
  <si>
    <t>BCW</t>
  </si>
  <si>
    <t>BOVANS BLACK</t>
  </si>
  <si>
    <t>BBL</t>
  </si>
  <si>
    <t>BOVANS BROWN (GOLDLINE)</t>
  </si>
  <si>
    <t>BBR</t>
  </si>
  <si>
    <t>BOVANS GOLDLINE</t>
  </si>
  <si>
    <t>BOVANS NERA</t>
  </si>
  <si>
    <t>BOVANS SPERWER</t>
  </si>
  <si>
    <t>SP</t>
  </si>
  <si>
    <t>BOVANS TINTED</t>
  </si>
  <si>
    <t>BOVANS WHITE</t>
  </si>
  <si>
    <t>DEKALB AMBERLINK</t>
  </si>
  <si>
    <t>DA</t>
  </si>
  <si>
    <t>DEKALB BETA</t>
  </si>
  <si>
    <t>DEKALB BLACK</t>
  </si>
  <si>
    <t>DBL</t>
  </si>
  <si>
    <t>DEKALB BROWN</t>
  </si>
  <si>
    <t>DB</t>
  </si>
  <si>
    <t>DEKALB RUBY</t>
  </si>
  <si>
    <t>DR</t>
  </si>
  <si>
    <t>DEKALB TX</t>
  </si>
  <si>
    <t>TX</t>
  </si>
  <si>
    <t>HISEX BROWN</t>
  </si>
  <si>
    <t>HB</t>
  </si>
  <si>
    <t>HISEX FREILAND</t>
  </si>
  <si>
    <t>HF</t>
  </si>
  <si>
    <t>HISEX TINTED</t>
  </si>
  <si>
    <t>HISEX WHITE</t>
  </si>
  <si>
    <t>HW</t>
  </si>
  <si>
    <t>ISA BROWN PREMIUM</t>
  </si>
  <si>
    <t>IBP</t>
  </si>
  <si>
    <t>ISA GOLDEN COMET</t>
  </si>
  <si>
    <t>GC</t>
  </si>
  <si>
    <t>ISA RIR LOURD</t>
  </si>
  <si>
    <t>RIRL</t>
  </si>
  <si>
    <t>ISA SUSSEX</t>
  </si>
  <si>
    <t>SU</t>
  </si>
  <si>
    <t>ISA TINTED</t>
  </si>
  <si>
    <t>ISA WARREN</t>
  </si>
  <si>
    <t>WA</t>
  </si>
  <si>
    <t>ISA WHITE</t>
  </si>
  <si>
    <t>RED</t>
  </si>
  <si>
    <t>RIR</t>
  </si>
  <si>
    <t>SHAVER BLACK</t>
  </si>
  <si>
    <t>SBL</t>
  </si>
  <si>
    <t>SHAVER RED</t>
  </si>
  <si>
    <t>SHAVER WHITE</t>
  </si>
  <si>
    <t>SW</t>
  </si>
  <si>
    <t>eggs HD</t>
  </si>
  <si>
    <t>eggs HD cum</t>
  </si>
  <si>
    <t>egg mass HD cum</t>
  </si>
  <si>
    <t>egg mass HD wk</t>
  </si>
  <si>
    <t>Åland Islands</t>
  </si>
  <si>
    <t>AX</t>
  </si>
  <si>
    <t>Antigua and Barbuda</t>
  </si>
  <si>
    <t>Bolivia (Plurinational State of)</t>
  </si>
  <si>
    <t>Bonaire, Sint Eustatius and Saba</t>
  </si>
  <si>
    <t>BQ</t>
  </si>
  <si>
    <t>Cabo Verde</t>
  </si>
  <si>
    <t>Congo (Democratic Republic of the)</t>
  </si>
  <si>
    <t>CD</t>
  </si>
  <si>
    <t>Cook Islands</t>
  </si>
  <si>
    <t>Côte d'Ivoire</t>
  </si>
  <si>
    <t>Curaçao</t>
  </si>
  <si>
    <t>CW</t>
  </si>
  <si>
    <t>French Guiana</t>
  </si>
  <si>
    <t>GF</t>
  </si>
  <si>
    <t>Guadeloupe</t>
  </si>
  <si>
    <t>GP</t>
  </si>
  <si>
    <t>GG</t>
  </si>
  <si>
    <t>Heard Island and McDonald Islands</t>
  </si>
  <si>
    <t>Holy See</t>
  </si>
  <si>
    <t>Iran (Islamic Republic of)</t>
  </si>
  <si>
    <t>Isle of Man</t>
  </si>
  <si>
    <t>IM</t>
  </si>
  <si>
    <t>JE</t>
  </si>
  <si>
    <t>Korea (Democratic People's Republic of)</t>
  </si>
  <si>
    <t>Korea (Republic of)</t>
  </si>
  <si>
    <t>Libya</t>
  </si>
  <si>
    <t>Macao</t>
  </si>
  <si>
    <t>Macedonia (the former Yugoslav Republic of)</t>
  </si>
  <si>
    <t>MK</t>
  </si>
  <si>
    <t>Martinique</t>
  </si>
  <si>
    <t>MQ</t>
  </si>
  <si>
    <t>Mayotte</t>
  </si>
  <si>
    <t>YT</t>
  </si>
  <si>
    <t>Micronesia (Federated States of)</t>
  </si>
  <si>
    <t>Moldova (Republic of)</t>
  </si>
  <si>
    <t>Montenegro</t>
  </si>
  <si>
    <t>ME</t>
  </si>
  <si>
    <t>Montserrat</t>
  </si>
  <si>
    <t>Palestine, State of</t>
  </si>
  <si>
    <t>PS</t>
  </si>
  <si>
    <t>Saint Barthélemy</t>
  </si>
  <si>
    <t>BL</t>
  </si>
  <si>
    <t>Saint Helena, Ascension and Tristan da Cunha</t>
  </si>
  <si>
    <t>Saint Kitts and Nevis</t>
  </si>
  <si>
    <t>Saint Martin (French part)</t>
  </si>
  <si>
    <t>MF</t>
  </si>
  <si>
    <t>Saint Pierre and Miquelon</t>
  </si>
  <si>
    <t>PM</t>
  </si>
  <si>
    <t>Saint Vincent and the Grenadines</t>
  </si>
  <si>
    <t>Sao Tome and Principe</t>
  </si>
  <si>
    <t>Serbia</t>
  </si>
  <si>
    <t>RS</t>
  </si>
  <si>
    <t>Sint Maarten (Dutch part)</t>
  </si>
  <si>
    <t>SX</t>
  </si>
  <si>
    <t>South Sudan</t>
  </si>
  <si>
    <t>SS</t>
  </si>
  <si>
    <t>Svalbard and Jan Mayen</t>
  </si>
  <si>
    <t>Timor-Leste</t>
  </si>
  <si>
    <t>TL</t>
  </si>
  <si>
    <t>Trinidad and Tobago</t>
  </si>
  <si>
    <t>Turks and Caicos Islands</t>
  </si>
  <si>
    <t>United Kingdom of Great Britain and Northern Ireland</t>
  </si>
  <si>
    <t>Venezuela (Bolivarian Republic of)</t>
  </si>
  <si>
    <t>Virgin Islands (British)</t>
  </si>
  <si>
    <t>Virgin Islands (U.S.)</t>
  </si>
  <si>
    <t>Wallis and Futuna</t>
  </si>
  <si>
    <t>Cage aménagée</t>
  </si>
  <si>
    <t>Informations générales</t>
  </si>
  <si>
    <t>Explications sur le fichier</t>
  </si>
  <si>
    <t>Merci de remplir les cellules colorées</t>
  </si>
  <si>
    <t>Vous trouverez le nom du fichier en cellule B27</t>
  </si>
  <si>
    <t>Vous pouvez utiliser ce nom afin de sauvegarder votre fichier.</t>
  </si>
  <si>
    <t>Informations requises.</t>
  </si>
  <si>
    <t>Chaque calcul et graphique se générera à partir des données saisies</t>
  </si>
  <si>
    <t>dans les feuilles "Informations générales", "Données d'élevage" et "Données de ponte"</t>
  </si>
  <si>
    <t>Date d'éclosion</t>
  </si>
  <si>
    <t>Souche</t>
  </si>
  <si>
    <t>Système de production</t>
  </si>
  <si>
    <t>Organisation</t>
  </si>
  <si>
    <t>Ferme de production</t>
  </si>
  <si>
    <t>Bâtiment n°</t>
  </si>
  <si>
    <t>Pays</t>
  </si>
  <si>
    <t>Devise</t>
  </si>
  <si>
    <t>Contact technique (e-mail)</t>
  </si>
  <si>
    <t>Nom du fichier</t>
  </si>
  <si>
    <t>Merci de nous envoyez vos résultats.</t>
  </si>
  <si>
    <t>Feuilles disponibles</t>
  </si>
  <si>
    <t>Données d'élevage</t>
  </si>
  <si>
    <t>Courbe d'élevage</t>
  </si>
  <si>
    <t>Données de ponte</t>
  </si>
  <si>
    <t>Courbe de ponte</t>
  </si>
  <si>
    <t>Masse et conso</t>
  </si>
  <si>
    <t>Courbe d'indice</t>
  </si>
  <si>
    <t>Courbe des déclassés</t>
  </si>
  <si>
    <t>Calibres</t>
  </si>
  <si>
    <t>Répartition des calibres en %</t>
  </si>
  <si>
    <t>Répartition des calibres en qt</t>
  </si>
  <si>
    <t>Profits</t>
  </si>
  <si>
    <t>Performances de production</t>
  </si>
  <si>
    <t>Résumé de production</t>
  </si>
  <si>
    <t>Contenu</t>
  </si>
  <si>
    <t>Mortalité journalière et hebdomadaire, Poids corporel, consommation et programmes lumineux.</t>
  </si>
  <si>
    <t>Mortalité, consommation d'aliment, Poids corporel et homogénéité.</t>
  </si>
  <si>
    <t>Production journalière et hebdomadaire, Poids d'œuf et Poids corporel hebdos, consommation et prix d'aliment.</t>
  </si>
  <si>
    <t>Viabilité, pourcentage de ponte, Poids moyen d'œuf et Poids corporel.</t>
  </si>
  <si>
    <t>Masse d'œuf, consommation et nombre d'œufs cumulés.</t>
  </si>
  <si>
    <t>Indice de conversion au kilo et à l'œuf.</t>
  </si>
  <si>
    <t>Nombre de déclassés en ferme et en centre de conditionnement hebdo et cumulé.</t>
  </si>
  <si>
    <t>Répartition des calibres en % et en quantité.</t>
  </si>
  <si>
    <t>Répartition des calibres en quantité</t>
  </si>
  <si>
    <t>Coût hebdo en aliment par tonne, kilo d'œuf, œuf et poule.</t>
  </si>
  <si>
    <t>Tableau de suivi de production, vue d'ensemble des performances hedbomadaires.</t>
  </si>
  <si>
    <t>Vue détaillée des performances de ponte du lot toutes les 5 semaines</t>
  </si>
  <si>
    <t>Année</t>
  </si>
  <si>
    <t>Mois</t>
  </si>
  <si>
    <t>Jours</t>
  </si>
  <si>
    <t>Merci de nous envoyer vos résultats de performance</t>
  </si>
  <si>
    <t>afin de vous procurer un meilleur support technique.</t>
  </si>
  <si>
    <t xml:space="preserve">Pour toute suggestion ou réclamation merci de vous adressez à : isa.technicalfieldresults@hendrix-genetics.com </t>
  </si>
  <si>
    <t>Suivi d'élevage</t>
  </si>
  <si>
    <t>Mortalité</t>
  </si>
  <si>
    <t>Journalière</t>
  </si>
  <si>
    <t>Hebdo</t>
  </si>
  <si>
    <t>Cumulée</t>
  </si>
  <si>
    <t>Transferts</t>
  </si>
  <si>
    <t>% de mortalité</t>
  </si>
  <si>
    <t>Poids corporel</t>
  </si>
  <si>
    <t>Réel</t>
  </si>
  <si>
    <t>Mini</t>
  </si>
  <si>
    <t>Maxi</t>
  </si>
  <si>
    <t>Livraison d'aliment (kg)</t>
  </si>
  <si>
    <t>Livraison cumulée d'aliment (kg)</t>
  </si>
  <si>
    <t>Conso journalière par poule (g)</t>
  </si>
  <si>
    <t>Conso cumulée par poule (g)</t>
  </si>
  <si>
    <t>Eclairage</t>
  </si>
  <si>
    <t>Durée en heures</t>
  </si>
  <si>
    <t>Heure d'allumage</t>
  </si>
  <si>
    <t>Vaccinations et opérations</t>
  </si>
  <si>
    <t>Poussinière</t>
  </si>
  <si>
    <t>Nombre de poulettes départ</t>
  </si>
  <si>
    <t>Système d'élevage</t>
  </si>
  <si>
    <t>Troupeau n°:</t>
  </si>
  <si>
    <t>Batiment n°:</t>
  </si>
  <si>
    <t>Date de transfert (jj/mm/aaaa):</t>
  </si>
  <si>
    <t>Age lors du transfert</t>
  </si>
  <si>
    <t>Semaines</t>
  </si>
  <si>
    <t>Nombre de poulettes transférées</t>
  </si>
  <si>
    <t>Conso d'eau en litres</t>
  </si>
  <si>
    <t>Consommation</t>
  </si>
  <si>
    <t>Conso eau ml/poule/j</t>
  </si>
  <si>
    <t>Ratio eau/aliment</t>
  </si>
  <si>
    <t>Suivi de production</t>
  </si>
  <si>
    <t>Ferme:</t>
  </si>
  <si>
    <t>N° Batiment:</t>
  </si>
  <si>
    <t>Date à 18 semaines d'age:</t>
  </si>
  <si>
    <t>Date de transfert:</t>
  </si>
  <si>
    <t>Nombre de poules départ:</t>
  </si>
  <si>
    <t>Date en début de semaine</t>
  </si>
  <si>
    <t>Age en semaine</t>
  </si>
  <si>
    <t>Nombre de poules fin de semaine</t>
  </si>
  <si>
    <t>Mortalité hebdo</t>
  </si>
  <si>
    <t>Production hebdo ou journalière</t>
  </si>
  <si>
    <t>Jours de la semaine</t>
  </si>
  <si>
    <t>Lun.</t>
  </si>
  <si>
    <t>Mar.</t>
  </si>
  <si>
    <t>Mer.</t>
  </si>
  <si>
    <t>Jeu.</t>
  </si>
  <si>
    <t>Ven.</t>
  </si>
  <si>
    <t>Sam.</t>
  </si>
  <si>
    <t>Dim.</t>
  </si>
  <si>
    <t>Ou hebdo</t>
  </si>
  <si>
    <t>Production hebdo</t>
  </si>
  <si>
    <t>Production cumulée</t>
  </si>
  <si>
    <t>Déclassés</t>
  </si>
  <si>
    <t>Ferme</t>
  </si>
  <si>
    <t>Centre</t>
  </si>
  <si>
    <t>Nombre cumulé</t>
  </si>
  <si>
    <t>PMO (g)</t>
  </si>
  <si>
    <t>Conso</t>
  </si>
  <si>
    <t>Eau</t>
  </si>
  <si>
    <t>Conso eau (L)</t>
  </si>
  <si>
    <t>Aliment</t>
  </si>
  <si>
    <t>Prix à la tonne</t>
  </si>
  <si>
    <t>Livraison en kg</t>
  </si>
  <si>
    <t>Stock fin de semaine</t>
  </si>
  <si>
    <t>Cumul</t>
  </si>
  <si>
    <t>Uniformité %</t>
  </si>
  <si>
    <t>Moyenne hebdo</t>
  </si>
  <si>
    <t>Commentaires</t>
  </si>
  <si>
    <t>Suivi des calibres</t>
  </si>
  <si>
    <t>Répartition des calibres</t>
  </si>
  <si>
    <t>Petits</t>
  </si>
  <si>
    <t>Moyens</t>
  </si>
  <si>
    <t>Gros</t>
  </si>
  <si>
    <t>Très gros</t>
  </si>
  <si>
    <t>Maxi.</t>
  </si>
  <si>
    <t>Tableau dynamique de répartition des calibres</t>
  </si>
  <si>
    <t>Poids moyen hebdo</t>
  </si>
  <si>
    <t>PMO actuel</t>
  </si>
  <si>
    <t>Pourcentage du calibre</t>
  </si>
  <si>
    <t>Tableau dynamique de répartition des calibres en quantité</t>
  </si>
  <si>
    <t>Semaine de l'année</t>
  </si>
  <si>
    <t>Nombre d'œufs produits hebdo</t>
  </si>
  <si>
    <t>Répartition des œufs par calibre</t>
  </si>
  <si>
    <t>Répartition moyenne des calibres par rapport à toute la production (%)</t>
  </si>
  <si>
    <t>Nombre d'œufs produits cumulés</t>
  </si>
  <si>
    <t>Coûts de production</t>
  </si>
  <si>
    <t>Age en semaines</t>
  </si>
  <si>
    <t>Consommation d'aliment</t>
  </si>
  <si>
    <t>Hebdo (kg)</t>
  </si>
  <si>
    <t>Cumulé (kg)</t>
  </si>
  <si>
    <t>Prix d'aliment</t>
  </si>
  <si>
    <t>/tonne</t>
  </si>
  <si>
    <t>/œuf</t>
  </si>
  <si>
    <t>Moyenne cumulée</t>
  </si>
  <si>
    <t>Cout d'aliment</t>
  </si>
  <si>
    <t>/poule/jour</t>
  </si>
  <si>
    <t>Livraison moyenne</t>
  </si>
  <si>
    <t>Données de production</t>
  </si>
  <si>
    <t>Bâtiment n° / Système de production</t>
  </si>
  <si>
    <t>Date de transfert</t>
  </si>
  <si>
    <t>Nombre de poules départ</t>
  </si>
  <si>
    <t>Système</t>
  </si>
  <si>
    <t>% de viabilité</t>
  </si>
  <si>
    <t>Taux de ponte</t>
  </si>
  <si>
    <t>Nombre d'œufs par poule départ</t>
  </si>
  <si>
    <t>PMO hebdo</t>
  </si>
  <si>
    <t>Masse d'œuf</t>
  </si>
  <si>
    <t>Conso d'aliment PP</t>
  </si>
  <si>
    <t>Indice à l'œuf</t>
  </si>
  <si>
    <t>Indice au kg</t>
  </si>
  <si>
    <t>% déclassés</t>
  </si>
  <si>
    <t>Poids corporel (g)</t>
  </si>
  <si>
    <t>PP</t>
  </si>
  <si>
    <t>PD</t>
  </si>
  <si>
    <t>Standard moyenne cumulée</t>
  </si>
  <si>
    <t>/ j</t>
  </si>
  <si>
    <t>Cumulé</t>
  </si>
  <si>
    <t>Résumé</t>
  </si>
  <si>
    <t>Bâtiment n°:</t>
  </si>
  <si>
    <t>Date d'éclosion:</t>
  </si>
  <si>
    <t>Date à 18 semaines d'âge :</t>
  </si>
  <si>
    <t>Fournisseur d'aliment:</t>
  </si>
  <si>
    <t>Nombre de pondeuses:</t>
  </si>
  <si>
    <t>Système de production:</t>
  </si>
  <si>
    <t>Mortalité %</t>
  </si>
  <si>
    <t>Taux de ponte %</t>
  </si>
  <si>
    <t>Nombre d'œufs PD.</t>
  </si>
  <si>
    <t>Masse d'œufs PD.</t>
  </si>
  <si>
    <t>IC 18 sem. kg/kg</t>
  </si>
  <si>
    <t>IC / Œuf 18 sem. g/œuf</t>
  </si>
  <si>
    <t>Cumul des déclassés en %</t>
  </si>
  <si>
    <t>Divers</t>
  </si>
  <si>
    <t>Janvier</t>
  </si>
  <si>
    <t>Février</t>
  </si>
  <si>
    <t xml:space="preserve">Mars 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</si>
  <si>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</si>
  <si>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</si>
  <si>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</si>
  <si>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</si>
  <si>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</si>
  <si>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</si>
  <si>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</si>
  <si>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</si>
  <si>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</si>
  <si>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Sol</t>
  </si>
  <si>
    <t>Plein air</t>
  </si>
  <si>
    <t>Volière plein air</t>
  </si>
  <si>
    <t>Volière</t>
  </si>
  <si>
    <t>Bio</t>
  </si>
  <si>
    <t>Viabilité</t>
  </si>
  <si>
    <t>Mortalité hebdo %</t>
  </si>
  <si>
    <t>% de ponte</t>
  </si>
  <si>
    <t>Std taux de ponte</t>
  </si>
  <si>
    <t>PMO</t>
  </si>
  <si>
    <t>PMO std</t>
  </si>
  <si>
    <t>Poids corporel en production std</t>
  </si>
  <si>
    <t>Masse d'œufs</t>
  </si>
  <si>
    <t>Masse d'œufs journalière</t>
  </si>
  <si>
    <t>Elevage</t>
  </si>
  <si>
    <t>Déclassés centre de conditionnement</t>
  </si>
  <si>
    <t>Déclassés ferme</t>
  </si>
  <si>
    <t>Centre de conditionnement</t>
  </si>
  <si>
    <t>Poules présentes</t>
  </si>
  <si>
    <t>Cumul aliment/poule/jour</t>
  </si>
  <si>
    <t>IC hebdo</t>
  </si>
  <si>
    <t>IC cum</t>
  </si>
  <si>
    <t>IC œuf hebdo</t>
  </si>
  <si>
    <t>IC œuf cum</t>
  </si>
  <si>
    <t>Nombre d'œufs cumulé</t>
  </si>
  <si>
    <t xml:space="preserve">% mortalité </t>
  </si>
  <si>
    <t>Uniformité</t>
  </si>
  <si>
    <t>Conso cumulée par poule</t>
  </si>
  <si>
    <t>Std min</t>
  </si>
  <si>
    <t>Production</t>
  </si>
  <si>
    <t>Système:</t>
  </si>
  <si>
    <t>Souche:</t>
  </si>
  <si>
    <t>Poules départ:</t>
  </si>
  <si>
    <t>Poussins:</t>
  </si>
  <si>
    <t>Performances d'élevage</t>
  </si>
  <si>
    <t>Conso d'aliment cumulée (g)</t>
  </si>
  <si>
    <t>Uniformité (%)</t>
  </si>
  <si>
    <t>Performances de ponte</t>
  </si>
  <si>
    <t xml:space="preserve">% viabilité </t>
  </si>
  <si>
    <t>% mortalité hebdo</t>
  </si>
  <si>
    <t>Nombre d'œufs PD</t>
  </si>
  <si>
    <t>IC</t>
  </si>
  <si>
    <t>Conso moyenne cumulée</t>
  </si>
  <si>
    <t>Masse d'œuf &amp; consommation</t>
  </si>
  <si>
    <t>Masse d'œuf en g/jour</t>
  </si>
  <si>
    <t>Conso d'aliment (g)</t>
  </si>
  <si>
    <t>Nombre d'œufs cumulé PD</t>
  </si>
  <si>
    <t>Indices de conversion</t>
  </si>
  <si>
    <t>G par œuf</t>
  </si>
  <si>
    <t>% de déclassés</t>
  </si>
  <si>
    <t>Calibres en %</t>
  </si>
  <si>
    <t>Calibres %</t>
  </si>
  <si>
    <t>Calibres en quantité</t>
  </si>
  <si>
    <t>Nombre d'œufs par calibre</t>
  </si>
  <si>
    <t>Récapitulatif</t>
  </si>
  <si>
    <t>Œuf/PD</t>
  </si>
  <si>
    <t>IC kg</t>
  </si>
  <si>
    <t>IC œuf</t>
  </si>
  <si>
    <t>Conso cumulée</t>
  </si>
  <si>
    <t>Semaine</t>
  </si>
  <si>
    <t>house nr</t>
  </si>
  <si>
    <t>light</t>
  </si>
  <si>
    <t>Nombre de poules</t>
  </si>
  <si>
    <t>General input</t>
  </si>
  <si>
    <t>Spread sheet explanation</t>
  </si>
  <si>
    <t xml:space="preserve">Please fill in the coloured cells. </t>
  </si>
  <si>
    <t>Your document name will be in cell B25</t>
  </si>
  <si>
    <t>You can use this format to name your document.</t>
  </si>
  <si>
    <t>Required informations</t>
  </si>
  <si>
    <t>Every calculation and graph will generate themselves from the data</t>
  </si>
  <si>
    <t xml:space="preserve"> entered in "input general", "input rearing" and "input laying" worksheets.</t>
  </si>
  <si>
    <t>Breed</t>
  </si>
  <si>
    <t>Housing system during laying period</t>
  </si>
  <si>
    <t>Company name / Egg Organisation</t>
  </si>
  <si>
    <t>Laying farm name</t>
  </si>
  <si>
    <t>House No. during laying period</t>
  </si>
  <si>
    <t>Currency</t>
  </si>
  <si>
    <t>Technical contact (e-mail)</t>
  </si>
  <si>
    <t>File name</t>
  </si>
  <si>
    <t>Please send your results to us by clicking on the following button.</t>
  </si>
  <si>
    <t>Available sheets</t>
  </si>
  <si>
    <t>Input rearing</t>
  </si>
  <si>
    <t>Rearing graph</t>
  </si>
  <si>
    <t>Input Laying</t>
  </si>
  <si>
    <t>Laying graph</t>
  </si>
  <si>
    <t>Mass &amp; cons graph</t>
  </si>
  <si>
    <t>FCR graph</t>
  </si>
  <si>
    <t>Down grading graph</t>
  </si>
  <si>
    <t>Egg grading</t>
  </si>
  <si>
    <t>Egg grading distribution graph</t>
  </si>
  <si>
    <t>Egg grading cum</t>
  </si>
  <si>
    <t>Financial sheet</t>
  </si>
  <si>
    <t>Production data</t>
  </si>
  <si>
    <t>Summary</t>
  </si>
  <si>
    <t>Content</t>
  </si>
  <si>
    <t>Daily and weekly mortality, body weight, consumptions and light programs.</t>
  </si>
  <si>
    <t>Mortality, feed consumption, body weight and uniformity</t>
  </si>
  <si>
    <t>Daily and weekly production, weekly egg and body weights, consumptions and feed price.</t>
  </si>
  <si>
    <t>Liveability, % lay, egg weight and body weight</t>
  </si>
  <si>
    <t>Egg mass, consumption and cum. egg no.</t>
  </si>
  <si>
    <t>Feed conversion ratio and feed conversion/egg</t>
  </si>
  <si>
    <t>Downgrading farm and packing station, weekly and cum.</t>
  </si>
  <si>
    <t>Egg weight distribution and number of eggs produced per grading</t>
  </si>
  <si>
    <t>% egg grading repartion.</t>
  </si>
  <si>
    <t>Quantity egg produced per grading</t>
  </si>
  <si>
    <t>Weekly feed cost in ton, kg, egg and bird.</t>
  </si>
  <si>
    <t>Production chart, overview of the flock performance every week</t>
  </si>
  <si>
    <t>Detailed overview of the flock performance during the laying period every 5 weeks</t>
  </si>
  <si>
    <t>We would be very pleased to receive your results</t>
  </si>
  <si>
    <t>In order to create overviews of different breeds and compare their performances.</t>
  </si>
  <si>
    <t>The overviews will be available on OxyGen for all ISA employees</t>
  </si>
  <si>
    <t xml:space="preserve">Please send this document to: isa.technicalfieldresults@hendrix-genetics.com </t>
  </si>
  <si>
    <t>Rearing input</t>
  </si>
  <si>
    <t>Mortality</t>
  </si>
  <si>
    <t>Weekly</t>
  </si>
  <si>
    <t>Transfer</t>
  </si>
  <si>
    <t>Mortality %</t>
  </si>
  <si>
    <t>Number of birds end of period</t>
  </si>
  <si>
    <t>Body weight</t>
  </si>
  <si>
    <t>Actual (g)</t>
  </si>
  <si>
    <t>Min</t>
  </si>
  <si>
    <t>Max</t>
  </si>
  <si>
    <t>Total feed intake (kg)</t>
  </si>
  <si>
    <t>Cum. Feed intake (kg)</t>
  </si>
  <si>
    <t>Daily feed cons per bird (g)</t>
  </si>
  <si>
    <t>Cum. Feed cons per bird (g)</t>
  </si>
  <si>
    <t>Lighting</t>
  </si>
  <si>
    <t>Light duration in hrs</t>
  </si>
  <si>
    <t>Light on at</t>
  </si>
  <si>
    <t>Vaccination or Operations</t>
  </si>
  <si>
    <t>Rearing farm name</t>
  </si>
  <si>
    <t>Number of day old chickens</t>
  </si>
  <si>
    <t>Housing system</t>
  </si>
  <si>
    <t>Flock no. :</t>
  </si>
  <si>
    <t>House no.</t>
  </si>
  <si>
    <t>Transfer date (dd/mm/yyyy)</t>
  </si>
  <si>
    <t>Age at transfer</t>
  </si>
  <si>
    <t>No. of pullets transferred</t>
  </si>
  <si>
    <t>Water Cons in Ltrs</t>
  </si>
  <si>
    <t>Consumptions</t>
  </si>
  <si>
    <t>Water Cons ml/d/bird</t>
  </si>
  <si>
    <t>Water/feed ratio</t>
  </si>
  <si>
    <t>Laying input</t>
  </si>
  <si>
    <t>Farm name:</t>
  </si>
  <si>
    <t>House no. :</t>
  </si>
  <si>
    <t>Hatch date:</t>
  </si>
  <si>
    <t>Date at 18 weeks old :</t>
  </si>
  <si>
    <t xml:space="preserve">Transfer date: </t>
  </si>
  <si>
    <t>Number of laying birds housed:</t>
  </si>
  <si>
    <t>Date beginning of the week</t>
  </si>
  <si>
    <t>Age in weeks</t>
  </si>
  <si>
    <t>No. of birds end of week</t>
  </si>
  <si>
    <t>Weekly mortality No. of birds</t>
  </si>
  <si>
    <t>Egg production per day OR per week</t>
  </si>
  <si>
    <t>Day of the week</t>
  </si>
  <si>
    <t>Mon.</t>
  </si>
  <si>
    <t>Tue.</t>
  </si>
  <si>
    <t>Wed.</t>
  </si>
  <si>
    <t>Thu.</t>
  </si>
  <si>
    <t>Fri.</t>
  </si>
  <si>
    <t>Sat.</t>
  </si>
  <si>
    <t>Sun.</t>
  </si>
  <si>
    <t>Or per week</t>
  </si>
  <si>
    <t>Weekly egg prod.</t>
  </si>
  <si>
    <t>Cum. Egg Prod.</t>
  </si>
  <si>
    <t>Seconds</t>
  </si>
  <si>
    <t>Farm</t>
  </si>
  <si>
    <t>Packing station</t>
  </si>
  <si>
    <t>Cum. Number</t>
  </si>
  <si>
    <t>Egg weight (g)</t>
  </si>
  <si>
    <t>Water</t>
  </si>
  <si>
    <t>Water cons in Ltrs.</t>
  </si>
  <si>
    <t>Water cons ml/d/bird</t>
  </si>
  <si>
    <t>Feed</t>
  </si>
  <si>
    <t>Price per ton</t>
  </si>
  <si>
    <t>Intake in kg</t>
  </si>
  <si>
    <t>Body Weight (g)</t>
  </si>
  <si>
    <t>Uniformity %</t>
  </si>
  <si>
    <t>Weekly average</t>
  </si>
  <si>
    <t>Comments</t>
  </si>
  <si>
    <t>Egg grading input</t>
  </si>
  <si>
    <t>Egg weight distribution</t>
  </si>
  <si>
    <t>S</t>
  </si>
  <si>
    <t>M</t>
  </si>
  <si>
    <t>L</t>
  </si>
  <si>
    <t>XL</t>
  </si>
  <si>
    <t>max.</t>
  </si>
  <si>
    <t>Table of egg weight distribution</t>
  </si>
  <si>
    <t>Average weight week</t>
  </si>
  <si>
    <t>Current average weight</t>
  </si>
  <si>
    <t>Percentage grade</t>
  </si>
  <si>
    <t>Table of egg weight distribution in volume per grade</t>
  </si>
  <si>
    <t>Week of the year</t>
  </si>
  <si>
    <t>Weekly produced eggs</t>
  </si>
  <si>
    <t>Eggs repartition per grading</t>
  </si>
  <si>
    <t>Average weight distribution over the whole production (%)</t>
  </si>
  <si>
    <t>Cumulative No's of eggs produced</t>
  </si>
  <si>
    <t>Production costs</t>
  </si>
  <si>
    <t>Feed consumption</t>
  </si>
  <si>
    <t>Weekly (kg)</t>
  </si>
  <si>
    <t>Cum (kg)</t>
  </si>
  <si>
    <t>Feed price</t>
  </si>
  <si>
    <t>/ton</t>
  </si>
  <si>
    <t>/egg</t>
  </si>
  <si>
    <t>/kg egg mass</t>
  </si>
  <si>
    <t>Cumulative average</t>
  </si>
  <si>
    <t>Feed cost</t>
  </si>
  <si>
    <t>/bird/day</t>
  </si>
  <si>
    <t>Average feed price</t>
  </si>
  <si>
    <t>Farm name :</t>
  </si>
  <si>
    <t>House No.  / Housing system:</t>
  </si>
  <si>
    <t>No. of laying birds housed:</t>
  </si>
  <si>
    <t xml:space="preserve">Feed company: </t>
  </si>
  <si>
    <t>House No.</t>
  </si>
  <si>
    <t>Liveability %</t>
  </si>
  <si>
    <t>Laying rate</t>
  </si>
  <si>
    <t>Egg number HH</t>
  </si>
  <si>
    <t>Egg weight / week</t>
  </si>
  <si>
    <t xml:space="preserve">Egg mass </t>
  </si>
  <si>
    <t>Feed cons HD</t>
  </si>
  <si>
    <t>Feed cons. / egg</t>
  </si>
  <si>
    <t>Feed conversion</t>
  </si>
  <si>
    <t>Seconds %</t>
  </si>
  <si>
    <t>Body weight (g)</t>
  </si>
  <si>
    <t>Hen day</t>
  </si>
  <si>
    <t>Birds housed</t>
  </si>
  <si>
    <t>Actual</t>
  </si>
  <si>
    <t>Cum average</t>
  </si>
  <si>
    <t>Cum std.</t>
  </si>
  <si>
    <t>/ day</t>
  </si>
  <si>
    <t>Name :</t>
  </si>
  <si>
    <t>House No. :</t>
  </si>
  <si>
    <t>Transfer date :</t>
  </si>
  <si>
    <t>Feed company :</t>
  </si>
  <si>
    <t>Number of layers :</t>
  </si>
  <si>
    <t>Housing system:</t>
  </si>
  <si>
    <t>% Mortality</t>
  </si>
  <si>
    <t>% Laying rate</t>
  </si>
  <si>
    <t>Egg number per hh</t>
  </si>
  <si>
    <t>Egg mass per hh (kg)</t>
  </si>
  <si>
    <t>F.C.R. 18 wks kg/kg</t>
  </si>
  <si>
    <t xml:space="preserve">F.C. / egg 18 wks (g) </t>
  </si>
  <si>
    <t>Cum seconds %</t>
  </si>
  <si>
    <t>Diverse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</si>
  <si>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</si>
  <si>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</si>
  <si>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</si>
  <si>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</si>
  <si>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</si>
  <si>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</si>
  <si>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</si>
  <si>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</si>
  <si>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</si>
  <si>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</si>
  <si>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</si>
  <si>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</si>
  <si>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Barn</t>
  </si>
  <si>
    <t>Free range</t>
  </si>
  <si>
    <t>Free range multi tier</t>
  </si>
  <si>
    <t>Aviary</t>
  </si>
  <si>
    <t>Enriched cage</t>
  </si>
  <si>
    <t>Organic</t>
  </si>
  <si>
    <t>Graph values</t>
  </si>
  <si>
    <t>Liveability</t>
  </si>
  <si>
    <t>Weekly mortality %</t>
  </si>
  <si>
    <t>Laying %</t>
  </si>
  <si>
    <t>Egg Weight</t>
  </si>
  <si>
    <t>Laying body weight std.</t>
  </si>
  <si>
    <t>Cons</t>
  </si>
  <si>
    <t>Egg mass</t>
  </si>
  <si>
    <t>Daily egg mass std.</t>
  </si>
  <si>
    <t>Rearing</t>
  </si>
  <si>
    <t>Seconds packing station</t>
  </si>
  <si>
    <t>Seconds farm</t>
  </si>
  <si>
    <t>Day hen</t>
  </si>
  <si>
    <t>Cum. feed/bird /day</t>
  </si>
  <si>
    <t>Wk FCR</t>
  </si>
  <si>
    <t>Cum. FCR</t>
  </si>
  <si>
    <t>Wk FCR/egg</t>
  </si>
  <si>
    <t>Cum FCR/egg</t>
  </si>
  <si>
    <t>Cumulative egg number</t>
  </si>
  <si>
    <t>Uniformity</t>
  </si>
  <si>
    <t>Unif %</t>
  </si>
  <si>
    <t>feed/water ratio</t>
  </si>
  <si>
    <t>cum cons per bird</t>
  </si>
  <si>
    <t>std min</t>
  </si>
  <si>
    <t>Laying</t>
  </si>
  <si>
    <t>House number</t>
  </si>
  <si>
    <t>DOC number</t>
  </si>
  <si>
    <t>Rearing performances</t>
  </si>
  <si>
    <t>Body weight in g</t>
  </si>
  <si>
    <t>Cum feed cons in g</t>
  </si>
  <si>
    <t>Water to feed ratio</t>
  </si>
  <si>
    <t>Laying performances</t>
  </si>
  <si>
    <t>Average Egg weight</t>
  </si>
  <si>
    <t>Eggs per HH</t>
  </si>
  <si>
    <t>FCR</t>
  </si>
  <si>
    <t>Average cum cons</t>
  </si>
  <si>
    <t>Egg mass / Feed consumption</t>
  </si>
  <si>
    <t>Egg mass in g/day</t>
  </si>
  <si>
    <t>Feed consumption in g</t>
  </si>
  <si>
    <t>Cum no. of eggs per HH</t>
  </si>
  <si>
    <t>Feed conversion rates</t>
  </si>
  <si>
    <t>G per egg</t>
  </si>
  <si>
    <t>Percentage egg grading</t>
  </si>
  <si>
    <t>Grading %</t>
  </si>
  <si>
    <t>Cumulative Egg Gradings</t>
  </si>
  <si>
    <t>Egg number per grading</t>
  </si>
  <si>
    <t>Summary chart</t>
  </si>
  <si>
    <t>Egg/hh</t>
  </si>
  <si>
    <t>FCR egg</t>
  </si>
  <si>
    <t>Cum feed cons</t>
  </si>
  <si>
    <t>일반</t>
  </si>
  <si>
    <t>스프레드시트설명</t>
  </si>
  <si>
    <t>색칠된 셀에 기입</t>
  </si>
  <si>
    <t>문서명은 셀B25에 표시됨</t>
  </si>
  <si>
    <t>이 형식을 문서제목에 사용가능함</t>
  </si>
  <si>
    <t>필수정보</t>
  </si>
  <si>
    <t>모든 계산 및 그래프는 데이터로부터 생성합니다</t>
  </si>
  <si>
    <t>"일반입력", "육성입력", "산란입력"을 기입한다.</t>
  </si>
  <si>
    <t>부화데이터</t>
  </si>
  <si>
    <t>육성</t>
  </si>
  <si>
    <t>산란기 계사 시스템</t>
  </si>
  <si>
    <t>회사명/계란협회</t>
  </si>
  <si>
    <t>산란농장명</t>
  </si>
  <si>
    <t>산란기 계사번호</t>
  </si>
  <si>
    <t>국가</t>
  </si>
  <si>
    <t>전화</t>
  </si>
  <si>
    <t>기술지원연락처(e-mail)</t>
  </si>
  <si>
    <t>파일명</t>
  </si>
  <si>
    <t>다음의 회색 버튼을 클릭하여 결과를 보내 주시기 바랍니다.</t>
  </si>
  <si>
    <t>가능한 시트</t>
  </si>
  <si>
    <t>육성기입력</t>
  </si>
  <si>
    <t>육성기그래프</t>
  </si>
  <si>
    <t>산란기입력</t>
  </si>
  <si>
    <t>산란기그래프</t>
  </si>
  <si>
    <t>에그매스(산란량) 및 사료섭취량</t>
  </si>
  <si>
    <t>사료전환율그래프</t>
  </si>
  <si>
    <t>다운등급그래프</t>
  </si>
  <si>
    <t>계란등급</t>
  </si>
  <si>
    <t>계란 등급 분포 그래프</t>
  </si>
  <si>
    <t>계란등급축적</t>
  </si>
  <si>
    <t>재정시트</t>
  </si>
  <si>
    <t>생산데이터</t>
  </si>
  <si>
    <t>정리</t>
  </si>
  <si>
    <t>함유량</t>
  </si>
  <si>
    <t>일간/주간 폐사율, 체중, 소비량과 점등프로그램</t>
  </si>
  <si>
    <t>폐사율 사료 소비량, 체중 및 균일도</t>
  </si>
  <si>
    <t>일간/주간 생산성, 주간 난중 및 체중, 사료가격 및 소비량</t>
  </si>
  <si>
    <t>생존율, 산란율(%), 난중 및 체중</t>
  </si>
  <si>
    <t>에그매스(산란량), 소비량 및 합산, 계란수</t>
  </si>
  <si>
    <t>사료 전환율 및 개당 사료 효율</t>
  </si>
  <si>
    <t>다운 그레이드 농장 및 포장 시설, 주간성적 및 누적.</t>
  </si>
  <si>
    <t>난중분포, 등급 별 계란 수</t>
  </si>
  <si>
    <t>등급 비율별 계란 재분할.</t>
  </si>
  <si>
    <t>등급 당 계란 생산량</t>
  </si>
  <si>
    <t>주간 사료비(톤, kg, 계란, 계군)</t>
  </si>
  <si>
    <t>생산 차트, 매주 계군 성적 개요</t>
  </si>
  <si>
    <t>5주 산란 기간 동안 자세한 계군 성적 개요</t>
  </si>
  <si>
    <t>연</t>
  </si>
  <si>
    <t>월</t>
  </si>
  <si>
    <t>일</t>
  </si>
  <si>
    <t>농가의 결과를받게되어 매우 감사합니다.</t>
  </si>
  <si>
    <t>각기 다른 성적을 비교하여 전반적인 개요를 만들어갑니다.</t>
  </si>
  <si>
    <t>만들어진 개요는 모든 ISA임직원에게 산소와 같습니다.</t>
  </si>
  <si>
    <t xml:space="preserve">이 문서를 다음의 메일로 전송해주시기 바랍니다. isa.technicalfieldresults@hendrix-genetics.com </t>
  </si>
  <si>
    <t>버전:</t>
  </si>
  <si>
    <t>육성기 입력</t>
  </si>
  <si>
    <t>일령</t>
  </si>
  <si>
    <t>연령</t>
  </si>
  <si>
    <t>폐사율</t>
  </si>
  <si>
    <t>주간</t>
  </si>
  <si>
    <t>누적</t>
  </si>
  <si>
    <t>이동</t>
  </si>
  <si>
    <t>폐사율(%)</t>
  </si>
  <si>
    <t>계군 종료시 수수</t>
  </si>
  <si>
    <t>체중</t>
  </si>
  <si>
    <t>실제(g)</t>
  </si>
  <si>
    <t>균일도(%)</t>
  </si>
  <si>
    <t>표준</t>
  </si>
  <si>
    <t>최소</t>
  </si>
  <si>
    <t>최대</t>
  </si>
  <si>
    <t>총 사료섭취량(kg)</t>
  </si>
  <si>
    <t>사료섭취누적(kg)</t>
  </si>
  <si>
    <t>수당 일일 사료섭취량(g)</t>
  </si>
  <si>
    <t>수당 사료섭취 누적(g)</t>
  </si>
  <si>
    <t>점등</t>
  </si>
  <si>
    <t>시간당 점등시간</t>
  </si>
  <si>
    <t>점등시점</t>
  </si>
  <si>
    <t>백신/작업</t>
  </si>
  <si>
    <t>육성농장명</t>
  </si>
  <si>
    <t>초생추수</t>
  </si>
  <si>
    <t>계사구조</t>
  </si>
  <si>
    <t>계군번호</t>
  </si>
  <si>
    <t>계사번호</t>
  </si>
  <si>
    <t>이동날짜(일/월/년)</t>
  </si>
  <si>
    <t>이동주령</t>
  </si>
  <si>
    <t>계군이동번호</t>
  </si>
  <si>
    <t>물소비량(리터)</t>
  </si>
  <si>
    <t>소비량</t>
  </si>
  <si>
    <t>물소비 ml/일/수수</t>
  </si>
  <si>
    <t>음사비</t>
  </si>
  <si>
    <t>산란기 입력</t>
  </si>
  <si>
    <t>계사번호:</t>
  </si>
  <si>
    <t>부화일자:</t>
  </si>
  <si>
    <t>18주령일자:</t>
  </si>
  <si>
    <t>이동날짜:</t>
  </si>
  <si>
    <t>가임계사수:</t>
  </si>
  <si>
    <t>주령시작일자</t>
  </si>
  <si>
    <t>주령</t>
  </si>
  <si>
    <t>주령 말일 수수</t>
  </si>
  <si>
    <t>주간폐사수수</t>
  </si>
  <si>
    <t>계란생산 일간/주간</t>
  </si>
  <si>
    <t>주령날짜</t>
  </si>
  <si>
    <t>월요일</t>
  </si>
  <si>
    <t>화요일</t>
  </si>
  <si>
    <t>수요일</t>
  </si>
  <si>
    <t>목요일</t>
  </si>
  <si>
    <t>금요일</t>
  </si>
  <si>
    <t>토요일</t>
  </si>
  <si>
    <t>일요일</t>
  </si>
  <si>
    <t>또는주간</t>
  </si>
  <si>
    <t>주간 계란생간</t>
  </si>
  <si>
    <t>계란생산누적</t>
  </si>
  <si>
    <t>농장</t>
  </si>
  <si>
    <t>포장센터</t>
  </si>
  <si>
    <t>수량누적</t>
  </si>
  <si>
    <t>주</t>
  </si>
  <si>
    <t>난중(g)</t>
  </si>
  <si>
    <t>물</t>
  </si>
  <si>
    <t>물소비량/리터</t>
  </si>
  <si>
    <t>물소비량 ml/일/수수</t>
  </si>
  <si>
    <t>사료</t>
  </si>
  <si>
    <t>톤당가격</t>
  </si>
  <si>
    <t>kg당섭취량</t>
  </si>
  <si>
    <t>주령 말일</t>
  </si>
  <si>
    <t>체중(g)</t>
  </si>
  <si>
    <t>균일도%</t>
  </si>
  <si>
    <t>주간평균</t>
  </si>
  <si>
    <t>코멘트</t>
  </si>
  <si>
    <t>계란등급입력</t>
  </si>
  <si>
    <t>난중분포</t>
  </si>
  <si>
    <t>중란</t>
  </si>
  <si>
    <t>대란</t>
  </si>
  <si>
    <t>특란</t>
  </si>
  <si>
    <t>왕란</t>
  </si>
  <si>
    <t>최대중량</t>
  </si>
  <si>
    <t>난중분포표</t>
  </si>
  <si>
    <t>평균체중</t>
  </si>
  <si>
    <t>현재 평균 체중</t>
  </si>
  <si>
    <t>백분율등급</t>
  </si>
  <si>
    <t>등급당 난중분포표</t>
  </si>
  <si>
    <t>해당연도의주순</t>
  </si>
  <si>
    <t>주간계란생산</t>
  </si>
  <si>
    <t>등급당계란재분할</t>
  </si>
  <si>
    <t>평균난중분포(%)</t>
  </si>
  <si>
    <t>계란생산누적수량</t>
  </si>
  <si>
    <t>생산비용</t>
  </si>
  <si>
    <t>일자</t>
  </si>
  <si>
    <t>사료소비량</t>
  </si>
  <si>
    <t>주간(kg)</t>
  </si>
  <si>
    <t>누적(kg)</t>
  </si>
  <si>
    <t>사료단가</t>
  </si>
  <si>
    <t>/톤</t>
  </si>
  <si>
    <t>/계란</t>
  </si>
  <si>
    <t>누적평균</t>
  </si>
  <si>
    <t>사료비</t>
  </si>
  <si>
    <t>/수수/일</t>
  </si>
  <si>
    <t>평균사료단가</t>
  </si>
  <si>
    <t>농장명:</t>
  </si>
  <si>
    <t>계사번호/계사구조:</t>
  </si>
  <si>
    <t>이동일자:</t>
  </si>
  <si>
    <t>성계사번호:</t>
  </si>
  <si>
    <t>사료회사:</t>
  </si>
  <si>
    <t>생존율%</t>
  </si>
  <si>
    <t>산란율</t>
  </si>
  <si>
    <t>HH(헨하우스)수량</t>
  </si>
  <si>
    <t>난중/주</t>
  </si>
  <si>
    <t>에그매스(산란량)</t>
  </si>
  <si>
    <t>사료소비 HD(헨데이)</t>
  </si>
  <si>
    <t>사료소비/계란</t>
  </si>
  <si>
    <t>사료전환</t>
  </si>
  <si>
    <t>헨데이</t>
  </si>
  <si>
    <t>계사</t>
  </si>
  <si>
    <t>실제</t>
  </si>
  <si>
    <t>누적표준</t>
  </si>
  <si>
    <t>/일</t>
  </si>
  <si>
    <t>성명:</t>
  </si>
  <si>
    <t>성계수수:</t>
  </si>
  <si>
    <t>계사구조:</t>
  </si>
  <si>
    <t>폐사율%</t>
  </si>
  <si>
    <t>산란율%</t>
  </si>
  <si>
    <t>헨하우스산란량(kg)</t>
  </si>
  <si>
    <t>18주령 F.C.R. kg/kg</t>
  </si>
  <si>
    <t xml:space="preserve">18주령 F.C. / 계란 (g) </t>
  </si>
  <si>
    <t>누적 seconds %</t>
  </si>
  <si>
    <t>분류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</si>
  <si>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</si>
  <si>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</si>
  <si>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</si>
  <si>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</si>
  <si>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</si>
  <si>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</si>
  <si>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</si>
  <si>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</si>
  <si>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</si>
  <si>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</si>
  <si>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</si>
  <si>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</si>
  <si>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케이지</t>
  </si>
  <si>
    <t>반시스템</t>
  </si>
  <si>
    <t>방사</t>
  </si>
  <si>
    <t>방사 다중층구조</t>
  </si>
  <si>
    <t>새장</t>
  </si>
  <si>
    <t>농축케이지</t>
  </si>
  <si>
    <t>유기농</t>
  </si>
  <si>
    <t>그래프값</t>
  </si>
  <si>
    <t>생존율</t>
  </si>
  <si>
    <t>주간폐사율%</t>
  </si>
  <si>
    <t>표준산란율</t>
  </si>
  <si>
    <t>난중</t>
  </si>
  <si>
    <t>표준난중</t>
  </si>
  <si>
    <t>표준산란체중</t>
  </si>
  <si>
    <t>섭취량</t>
  </si>
  <si>
    <t>일일에그매스표준</t>
  </si>
  <si>
    <t>Seconds 포장센터</t>
  </si>
  <si>
    <t>Seconds 농장</t>
  </si>
  <si>
    <t>누적 사료/수수/일</t>
  </si>
  <si>
    <t>주간 사료전환율</t>
  </si>
  <si>
    <t>누적 사료전환율</t>
  </si>
  <si>
    <t>주간 사료전환율/계란</t>
  </si>
  <si>
    <t>누적 사료전환율/계란</t>
  </si>
  <si>
    <t>누적계란수</t>
  </si>
  <si>
    <t>균일도</t>
  </si>
  <si>
    <t>소비누적/수수</t>
  </si>
  <si>
    <t>최소 표준</t>
  </si>
  <si>
    <t>산란</t>
  </si>
  <si>
    <t>부화일자</t>
  </si>
  <si>
    <t>품종</t>
  </si>
  <si>
    <t>DOC 번호</t>
  </si>
  <si>
    <t>육성성적</t>
  </si>
  <si>
    <t>체중 g</t>
  </si>
  <si>
    <t>사료소비누적 g</t>
  </si>
  <si>
    <t>산란성적</t>
  </si>
  <si>
    <t>평균난중</t>
  </si>
  <si>
    <t>HH(헨하우스) 수량</t>
  </si>
  <si>
    <t>사료전환율</t>
  </si>
  <si>
    <t>평균 소비 누적</t>
  </si>
  <si>
    <t>에그매스(산란량)/사료소비</t>
  </si>
  <si>
    <t>에그매스(산란량) g/일</t>
  </si>
  <si>
    <t>사료소비 g</t>
  </si>
  <si>
    <t>헨하우스 계란 누적수</t>
  </si>
  <si>
    <t>g/계란</t>
  </si>
  <si>
    <t>비율</t>
  </si>
  <si>
    <t>다운그레이드 그래프</t>
  </si>
  <si>
    <t>계란등급비율</t>
  </si>
  <si>
    <t>등급%</t>
  </si>
  <si>
    <t>계란등급누적</t>
  </si>
  <si>
    <t>계란수/등급</t>
  </si>
  <si>
    <t>정리도표</t>
  </si>
  <si>
    <t>계란/HH(헨하우스)</t>
  </si>
  <si>
    <t>사료전환율 계란</t>
  </si>
  <si>
    <t>사료소비누적</t>
  </si>
  <si>
    <t>Français</t>
  </si>
  <si>
    <t>Datos generales</t>
  </si>
  <si>
    <t>Explicación de la hoja de cálculo</t>
  </si>
  <si>
    <t>Por favor, rellene las celdas coloreadas</t>
  </si>
  <si>
    <t>El nombre del documento aparecerá en la celda B27</t>
  </si>
  <si>
    <t>Puede usar este formato como nombre para su documento.</t>
  </si>
  <si>
    <t>Informaciones necesarias</t>
  </si>
  <si>
    <t>Los cálculos y gráficos se generarán automáticamente a partir de los datos</t>
  </si>
  <si>
    <t>introducidos en las hojas "datos generales", "datos de recría" y "datos de puesta".</t>
  </si>
  <si>
    <t>Fecha de nacimiento</t>
  </si>
  <si>
    <t>Estirpe</t>
  </si>
  <si>
    <t>Sistema de alojamiento en producción</t>
  </si>
  <si>
    <t>Nombre de la compañía</t>
  </si>
  <si>
    <t>Nombre de la granja de puesta</t>
  </si>
  <si>
    <t>Nº de nave de puesta</t>
  </si>
  <si>
    <t>País</t>
  </si>
  <si>
    <t>Moneda</t>
  </si>
  <si>
    <t>Contacto técnico (e-mail)</t>
  </si>
  <si>
    <t>Nombre del archivo</t>
  </si>
  <si>
    <t>Por favor, envíenos los resultados</t>
  </si>
  <si>
    <t>Hojas disponibles</t>
  </si>
  <si>
    <t>Datos de recría</t>
  </si>
  <si>
    <t>Gráfico de recría</t>
  </si>
  <si>
    <t>Datos de puesta</t>
  </si>
  <si>
    <t>Gráfico de puesta</t>
  </si>
  <si>
    <t>Gráf. masa de huevo y consumo</t>
  </si>
  <si>
    <t>Gráfico de IC</t>
  </si>
  <si>
    <t>Gráfico de huevos de segunda</t>
  </si>
  <si>
    <t>Clasificación de los huevos</t>
  </si>
  <si>
    <t>Gráf. clasific. de huevos</t>
  </si>
  <si>
    <t>Clasific. huevos acum.</t>
  </si>
  <si>
    <t>Cálculos financieros</t>
  </si>
  <si>
    <t>Datos de producción</t>
  </si>
  <si>
    <t>Resumen</t>
  </si>
  <si>
    <t>Contenido</t>
  </si>
  <si>
    <t>Mortalidad diaria y semanal, peso corporal, consumo y programa de iluminación.</t>
  </si>
  <si>
    <t>Mortalidad, consumo de pienso, peso corporal y uniformidad</t>
  </si>
  <si>
    <t>Producción diaria y semanal, peso de huevo y peso corporal semanal, consumo y precio del pienso.</t>
  </si>
  <si>
    <t>Viabilidad, % puesta, peso de huevo y peso corporal</t>
  </si>
  <si>
    <t>Masa de huevo, consumo y nº de huevos acumulado.</t>
  </si>
  <si>
    <t>Índice de conversión y conversión pienso/huevo</t>
  </si>
  <si>
    <t>Huevos de segunda en granja y centro de clasificación, semanal y acumulado.</t>
  </si>
  <si>
    <t>Clasificación de huevos por tamaño y número de huevos producidos por clase</t>
  </si>
  <si>
    <t>% clasificación de huevo.</t>
  </si>
  <si>
    <t>Cantidad de huevos producidos por clase de peso</t>
  </si>
  <si>
    <t>Coste semanal del pienso en Tm, kg, huevo y ave.</t>
  </si>
  <si>
    <t>Gráfico de producción, vista general de los resultados del lote por semana</t>
  </si>
  <si>
    <t>Vista detallada de los resultados del lote en producción por periodos de 5 semanas</t>
  </si>
  <si>
    <t>Año</t>
  </si>
  <si>
    <t>Mes</t>
  </si>
  <si>
    <t>Día</t>
  </si>
  <si>
    <t>Estaríamos muy agradecidos de recibir sus resultados</t>
  </si>
  <si>
    <t>El sistema permite generar resúmenes de resultados de las diferentes estirpes y comparar sus rendimientos.</t>
  </si>
  <si>
    <t xml:space="preserve">Por favor, envíe este documento a: isa.technicalfieldresults@hendrix-genetics.com </t>
  </si>
  <si>
    <t>Versión:</t>
  </si>
  <si>
    <t>Fecha</t>
  </si>
  <si>
    <t>Edad</t>
  </si>
  <si>
    <t>Mortalidad</t>
  </si>
  <si>
    <t>Diario</t>
  </si>
  <si>
    <t>Semanal</t>
  </si>
  <si>
    <t>Acum.</t>
  </si>
  <si>
    <t>Traslado</t>
  </si>
  <si>
    <t>Mortalidad %</t>
  </si>
  <si>
    <t>Nª aves al final del periodo</t>
  </si>
  <si>
    <t>Peso corporal</t>
  </si>
  <si>
    <t>Real (g)</t>
  </si>
  <si>
    <t>Estándar</t>
  </si>
  <si>
    <t>Mín.</t>
  </si>
  <si>
    <t>Máx.</t>
  </si>
  <si>
    <t>Cons. de pienso total (kg)</t>
  </si>
  <si>
    <t>Consumo de pienso acum. (kg)</t>
  </si>
  <si>
    <t>Consumo diario por ave (g)</t>
  </si>
  <si>
    <t>Consumo acum. por ave (g)</t>
  </si>
  <si>
    <t>Iluminación</t>
  </si>
  <si>
    <t>Duracion de la luz en h.</t>
  </si>
  <si>
    <t>Hora de encendido</t>
  </si>
  <si>
    <t>Vacunaciones e intervenciones</t>
  </si>
  <si>
    <t>Nombre de la granja de recría:</t>
  </si>
  <si>
    <t>Nº pollitos de 1 día:</t>
  </si>
  <si>
    <t xml:space="preserve">Sistema de alojamiento: </t>
  </si>
  <si>
    <t>Lote nº:</t>
  </si>
  <si>
    <t>Nave nº:</t>
  </si>
  <si>
    <t>Fecha de traslado (dd/mm/aaaa):</t>
  </si>
  <si>
    <t>Edad al traslado:</t>
  </si>
  <si>
    <t>Nº de pollitas trasladadas</t>
  </si>
  <si>
    <t>Consumo de agua en l.</t>
  </si>
  <si>
    <t>Consumos</t>
  </si>
  <si>
    <t>Cons. agua ml/d/ave</t>
  </si>
  <si>
    <t>Relación agua/pienso</t>
  </si>
  <si>
    <t>Nombre de la granja:</t>
  </si>
  <si>
    <t>Fecha de nacimiento:</t>
  </si>
  <si>
    <t>Fecha a las 18 sem.:</t>
  </si>
  <si>
    <t xml:space="preserve">Fecha de traslado: </t>
  </si>
  <si>
    <t>Número de aves alojadas:</t>
  </si>
  <si>
    <t>Fecha inicio de semana</t>
  </si>
  <si>
    <t>Edad en sem.</t>
  </si>
  <si>
    <t>Nº de aves al final de sem.</t>
  </si>
  <si>
    <t>Mortalidad semanal (nº de aves)</t>
  </si>
  <si>
    <t>Producción de huevos diaria o semanal</t>
  </si>
  <si>
    <t>Día de la semana</t>
  </si>
  <si>
    <t>Mie.</t>
  </si>
  <si>
    <t>Jue.</t>
  </si>
  <si>
    <t>Vie.</t>
  </si>
  <si>
    <t>Sáb.</t>
  </si>
  <si>
    <t>Dom.</t>
  </si>
  <si>
    <t>O por semana</t>
  </si>
  <si>
    <t>Producción de huevos semanal</t>
  </si>
  <si>
    <t>Producción de huevos acum.</t>
  </si>
  <si>
    <t>H. de segunda</t>
  </si>
  <si>
    <t>Granja</t>
  </si>
  <si>
    <t>Centro de clasificación</t>
  </si>
  <si>
    <t>Nº acum.</t>
  </si>
  <si>
    <t>Peso huevo (g)</t>
  </si>
  <si>
    <t>Agua</t>
  </si>
  <si>
    <t>Pienso</t>
  </si>
  <si>
    <t>Precio por Tm</t>
  </si>
  <si>
    <t>Consumo en kg</t>
  </si>
  <si>
    <t>Existencias al final de sem.</t>
  </si>
  <si>
    <t>Peso corporal (g)</t>
  </si>
  <si>
    <t>Uniformidad %</t>
  </si>
  <si>
    <t>Peso medio semanal</t>
  </si>
  <si>
    <t>Comentarios</t>
  </si>
  <si>
    <t>Datos clasificación de huevo</t>
  </si>
  <si>
    <t>Clasificación de huevos por peso</t>
  </si>
  <si>
    <t>máx.</t>
  </si>
  <si>
    <t>Tabla de distribución de peso de huevo</t>
  </si>
  <si>
    <t>Peso promedio sem.</t>
  </si>
  <si>
    <t>Peso promedio real</t>
  </si>
  <si>
    <t>Porcentaje por clase</t>
  </si>
  <si>
    <t>Tabla de clasificación en número de huevos por clase de peso</t>
  </si>
  <si>
    <t>Semana del año</t>
  </si>
  <si>
    <t>Huevos producidos por semana</t>
  </si>
  <si>
    <t>Distribución de huevos por clase</t>
  </si>
  <si>
    <t>Cantidad de huevos por clase de peso en toda la fase de puesta (%)</t>
  </si>
  <si>
    <t>Nº de huevos producidos acum.</t>
  </si>
  <si>
    <t>Costes de producción</t>
  </si>
  <si>
    <t>Consumo de pienso</t>
  </si>
  <si>
    <t>Semanal (kg)</t>
  </si>
  <si>
    <t>Acum. (kg)</t>
  </si>
  <si>
    <t>Precio del pienso</t>
  </si>
  <si>
    <t>/Tm</t>
  </si>
  <si>
    <t>/huevo</t>
  </si>
  <si>
    <t>Promedio acum.</t>
  </si>
  <si>
    <t>Coste pienso</t>
  </si>
  <si>
    <t>/ave/día</t>
  </si>
  <si>
    <t>Media ponderada suministros</t>
  </si>
  <si>
    <t>Nombre de la granja :</t>
  </si>
  <si>
    <t>Nº de nave  / Sistema de alojamiento:</t>
  </si>
  <si>
    <t>Nº de aves alojadas en puesta:</t>
  </si>
  <si>
    <t>Nº de nave</t>
  </si>
  <si>
    <t>Sist. aloj.</t>
  </si>
  <si>
    <t>Edad en semanas</t>
  </si>
  <si>
    <t>Viabilidad %</t>
  </si>
  <si>
    <t>Porcentaje de puesta</t>
  </si>
  <si>
    <t>Nº huevos AA</t>
  </si>
  <si>
    <t>Peso de huevo / sem.</t>
  </si>
  <si>
    <t>Masa de huevo</t>
  </si>
  <si>
    <t>Consumo de pienso AD</t>
  </si>
  <si>
    <t>Consumo pienso / huevo</t>
  </si>
  <si>
    <t>Índice de conversión</t>
  </si>
  <si>
    <t>H. de segunda %</t>
  </si>
  <si>
    <t>Ave día</t>
  </si>
  <si>
    <t>Ave alojada</t>
  </si>
  <si>
    <t>Est.</t>
  </si>
  <si>
    <t>Est. acum.</t>
  </si>
  <si>
    <t>/ día</t>
  </si>
  <si>
    <t>Nombre :</t>
  </si>
  <si>
    <t>Nº nave :</t>
  </si>
  <si>
    <t>Fecha de traslado :</t>
  </si>
  <si>
    <t>Fecha de nacimiento :</t>
  </si>
  <si>
    <t>Fecha a las 18 sem. :</t>
  </si>
  <si>
    <t>Proveedor pienso :</t>
  </si>
  <si>
    <t>Nº aves en puesta :</t>
  </si>
  <si>
    <t>Sistema de alojamiento:</t>
  </si>
  <si>
    <t>% Mortalidad</t>
  </si>
  <si>
    <t>% Puesta</t>
  </si>
  <si>
    <t>Nº de huevos por AA</t>
  </si>
  <si>
    <t>Peso de huevo (g)</t>
  </si>
  <si>
    <t>Masa de huevo por AA (kg)</t>
  </si>
  <si>
    <t>I.C. 18 sem. kg/kg</t>
  </si>
  <si>
    <t xml:space="preserve">I.C. / huevo 18 sem. (g) </t>
  </si>
  <si>
    <t>H. de segunda acum. %</t>
  </si>
  <si>
    <t>Varios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</si>
  <si>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</si>
  <si>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</si>
  <si>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</si>
  <si>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</si>
  <si>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</si>
  <si>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</si>
  <si>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</si>
  <si>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</si>
  <si>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</si>
  <si>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</si>
  <si>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</si>
  <si>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</si>
  <si>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Jaula</t>
  </si>
  <si>
    <t>Suelo</t>
  </si>
  <si>
    <t>Campera</t>
  </si>
  <si>
    <t>Campera multi-nivel</t>
  </si>
  <si>
    <t>Aviario</t>
  </si>
  <si>
    <t>Jaula enriquecida</t>
  </si>
  <si>
    <t>Ecológico</t>
  </si>
  <si>
    <t>Valores de los gráficos</t>
  </si>
  <si>
    <t>Viabilidad</t>
  </si>
  <si>
    <t>Mortalidad semanal %</t>
  </si>
  <si>
    <t>Puesta %</t>
  </si>
  <si>
    <t>% de puesta est.</t>
  </si>
  <si>
    <t>Peso de huevo</t>
  </si>
  <si>
    <t>Peso de huevo est.</t>
  </si>
  <si>
    <t>Peso corporal en puesta est.</t>
  </si>
  <si>
    <t>Cons.</t>
  </si>
  <si>
    <t>Masa de huevo diaria est.</t>
  </si>
  <si>
    <t>Recría</t>
  </si>
  <si>
    <t>H. de segunda en centro de clasificación</t>
  </si>
  <si>
    <t>H. de segunda en granja</t>
  </si>
  <si>
    <t>Día ave</t>
  </si>
  <si>
    <t>Pienso acum./ave/día</t>
  </si>
  <si>
    <t>IC sem.</t>
  </si>
  <si>
    <t>IC acum.</t>
  </si>
  <si>
    <t>IC sem./huevo</t>
  </si>
  <si>
    <t>IC acum/huevo</t>
  </si>
  <si>
    <t>Nº huevos acum.</t>
  </si>
  <si>
    <t>Uniformidad</t>
  </si>
  <si>
    <t>Relación pienso/agua</t>
  </si>
  <si>
    <t>Cons. acum. por ave</t>
  </si>
  <si>
    <t>Est. mín.</t>
  </si>
  <si>
    <t>Puesta</t>
  </si>
  <si>
    <t>Nº nave</t>
  </si>
  <si>
    <t>Sist. alojamiento</t>
  </si>
  <si>
    <t>Fecha nacim.</t>
  </si>
  <si>
    <t>Aves alojadas</t>
  </si>
  <si>
    <t>Fecha nac.</t>
  </si>
  <si>
    <t>Nª pollitos 1 día</t>
  </si>
  <si>
    <t>Resultados de recría</t>
  </si>
  <si>
    <t>Peso corporal en g.</t>
  </si>
  <si>
    <t xml:space="preserve">Consumo de pienso acum. en g. </t>
  </si>
  <si>
    <t>Resultados de puesta</t>
  </si>
  <si>
    <t>Peso medio huevo</t>
  </si>
  <si>
    <t>% de puesta</t>
  </si>
  <si>
    <t>Mortalidad sem. %</t>
  </si>
  <si>
    <t>Huevos por AA</t>
  </si>
  <si>
    <t>Consumo de pienso acum.</t>
  </si>
  <si>
    <t>Masa de huevo / Consumo pienso</t>
  </si>
  <si>
    <t>Masa de huevo en g./día</t>
  </si>
  <si>
    <t>Consumo de pienso en g.</t>
  </si>
  <si>
    <t>Nº huevos acum. por AA</t>
  </si>
  <si>
    <t>Índices de conversión</t>
  </si>
  <si>
    <t>g por huevo</t>
  </si>
  <si>
    <t>Índice</t>
  </si>
  <si>
    <t>Gráfico de h. de segunda</t>
  </si>
  <si>
    <t>Porcentaje de clasificación</t>
  </si>
  <si>
    <t>Clasificación %</t>
  </si>
  <si>
    <t>Clasificación huevos acum.</t>
  </si>
  <si>
    <t>Nº huevos por clase de peso</t>
  </si>
  <si>
    <t>Tabla resumen</t>
  </si>
  <si>
    <t>Peso m. huevo</t>
  </si>
  <si>
    <t>Huevos/aa</t>
  </si>
  <si>
    <t>IC / huevo</t>
  </si>
  <si>
    <t>Cons. pienso ac.</t>
  </si>
  <si>
    <t>Sem.</t>
  </si>
  <si>
    <t>English</t>
  </si>
  <si>
    <t>Entrada geral</t>
  </si>
  <si>
    <t>Explicação do programa</t>
  </si>
  <si>
    <t>Por favor preencher as células coloridas</t>
  </si>
  <si>
    <t>O nome do documento será na célula B27</t>
  </si>
  <si>
    <t>Você pode usar este formato para nomear seu documento</t>
  </si>
  <si>
    <t>Informações necessárias</t>
  </si>
  <si>
    <t>Todos os cálculos e gráficos serão gerados a partir dos dados inseridos</t>
  </si>
  <si>
    <t>Entrada na planilha "Dados Gerais", "Dados de cria" e "Dados de postura"</t>
  </si>
  <si>
    <t>Data de eclosão</t>
  </si>
  <si>
    <t>Linhagem</t>
  </si>
  <si>
    <t>Sistema de alojamento durante o período de postura</t>
  </si>
  <si>
    <t>Nome da companhia/ Empresa de ovos</t>
  </si>
  <si>
    <t>Nome da granja</t>
  </si>
  <si>
    <t>Numero do Galpão durante o período de postura</t>
  </si>
  <si>
    <t>Moeda</t>
  </si>
  <si>
    <t>Contato técnico (e-mail)</t>
  </si>
  <si>
    <t>Nome do arquivo</t>
  </si>
  <si>
    <t>Por favor nos envie os resultados.</t>
  </si>
  <si>
    <t>Folhas disponíveis</t>
  </si>
  <si>
    <t>Dados de cria</t>
  </si>
  <si>
    <t>Gráfico de crescimento</t>
  </si>
  <si>
    <t>Dados de postura</t>
  </si>
  <si>
    <t>Gráfico de postura</t>
  </si>
  <si>
    <t>Gráfico de Massa e consumo</t>
  </si>
  <si>
    <t>Gráfico de C.A.</t>
  </si>
  <si>
    <t>Gráfico de ovos de segunda</t>
  </si>
  <si>
    <t>Classificação dos ovos</t>
  </si>
  <si>
    <t xml:space="preserve">Gráf. Classif. Ovos. </t>
  </si>
  <si>
    <t>Classificação de ovos acumulado</t>
  </si>
  <si>
    <t>Ficha Financeira</t>
  </si>
  <si>
    <t>Dados de produção</t>
  </si>
  <si>
    <t>Resumo</t>
  </si>
  <si>
    <t>Conteúdo</t>
  </si>
  <si>
    <t>Mortalidade diária e semanal, peso corporal, consumo e programa de luz</t>
  </si>
  <si>
    <t>Mortalidade, consumo de alimento, peso corporal e uniformidade</t>
  </si>
  <si>
    <t>Produção diária e semanal, ovo semanal e peso corporal, consumo e preço de alimento</t>
  </si>
  <si>
    <t>Viabilidade, % Postura, peso de ovos e peso corporal</t>
  </si>
  <si>
    <t>Massa de ovos, consumo e numero de ovos acumulado</t>
  </si>
  <si>
    <t>Taxa de conversão alimentar e conversão alimento/ovo</t>
  </si>
  <si>
    <t>Ovos de segunda granja e sala de classificação, semanal e acumulado</t>
  </si>
  <si>
    <t>Distribuição de peso dos ovos e numero de ovos por classificação</t>
  </si>
  <si>
    <t>Repartição do % de ovos por classificação</t>
  </si>
  <si>
    <t>Quantidade de ovos por classificação</t>
  </si>
  <si>
    <t>Custo semanal de alimento em ton., kg, ovos e aves</t>
  </si>
  <si>
    <t>Gráfico de Produção, visão geral do desempenho do lote a cada semana</t>
  </si>
  <si>
    <t>Visão detalhada do desempenho do lote durante o período de postura a cada 5 semanas</t>
  </si>
  <si>
    <t>Ano</t>
  </si>
  <si>
    <t>Mês</t>
  </si>
  <si>
    <t>Data</t>
  </si>
  <si>
    <t>Ficaríamos muito agradecidos de receber os resultados</t>
  </si>
  <si>
    <t>A fim de criar visões de diferentes linhagens e comparar suas performances.</t>
  </si>
  <si>
    <t>Por favor envie este documento para: Isa. technicalfieldresults@hendrix-genetics.com</t>
  </si>
  <si>
    <t>Versão:</t>
  </si>
  <si>
    <t>Dados de cria/recria</t>
  </si>
  <si>
    <t>Idade</t>
  </si>
  <si>
    <t>Mortalidade</t>
  </si>
  <si>
    <t>Diário</t>
  </si>
  <si>
    <t>Transferência</t>
  </si>
  <si>
    <t>% Mortalidade</t>
  </si>
  <si>
    <t>Numero de aves no final do período</t>
  </si>
  <si>
    <t>Peso Corporal</t>
  </si>
  <si>
    <t>Atual (g)</t>
  </si>
  <si>
    <t>Unif. % (g)</t>
  </si>
  <si>
    <t>Padrão</t>
  </si>
  <si>
    <t>Min.</t>
  </si>
  <si>
    <t>Total de alimento consumido (kg)</t>
  </si>
  <si>
    <t>Total Acum. de alimento consumido (kg)</t>
  </si>
  <si>
    <t>Consumo diário por ave (g)</t>
  </si>
  <si>
    <t>Iluminação</t>
  </si>
  <si>
    <t>Duração de luz em horas.</t>
  </si>
  <si>
    <t>Luz ligada às</t>
  </si>
  <si>
    <t>Vacinações e manejos</t>
  </si>
  <si>
    <t>Nome da granja de recria</t>
  </si>
  <si>
    <t>Numero de pintainhas</t>
  </si>
  <si>
    <t>Sistema de alojamento</t>
  </si>
  <si>
    <t>Lote no.:</t>
  </si>
  <si>
    <t>Galpão no.:</t>
  </si>
  <si>
    <t>Data de transferência (dd/mm/aaaa)</t>
  </si>
  <si>
    <t>Idade na transferência</t>
  </si>
  <si>
    <t>Numero de frangas transferidas</t>
  </si>
  <si>
    <t>Consumo de água em Litros</t>
  </si>
  <si>
    <t xml:space="preserve">Consumo </t>
  </si>
  <si>
    <t>Consumo de água ml/dia/ave</t>
  </si>
  <si>
    <t>Água/Consumo de alim.</t>
  </si>
  <si>
    <t>Dados de Produção</t>
  </si>
  <si>
    <t xml:space="preserve">Nome da Granja  </t>
  </si>
  <si>
    <t>Data de nascimento:</t>
  </si>
  <si>
    <t>Data às 18 sem. de idade</t>
  </si>
  <si>
    <t>Data da transferência</t>
  </si>
  <si>
    <t>Numero de aves alojadas</t>
  </si>
  <si>
    <t>Data no inicio da semana</t>
  </si>
  <si>
    <t>Idade em semanas</t>
  </si>
  <si>
    <t>Número de aves no final da semana</t>
  </si>
  <si>
    <t>Mortalidade semanal No. de aves</t>
  </si>
  <si>
    <t>Produção de ovos por dia ou por semana</t>
  </si>
  <si>
    <t>Dia da semana</t>
  </si>
  <si>
    <t xml:space="preserve">Seg. </t>
  </si>
  <si>
    <t>Ter.</t>
  </si>
  <si>
    <t>Qua.</t>
  </si>
  <si>
    <t>Qui.</t>
  </si>
  <si>
    <t>Sex.</t>
  </si>
  <si>
    <t>Sab.</t>
  </si>
  <si>
    <t>Ou por semana</t>
  </si>
  <si>
    <t>Produção de ovos semanal</t>
  </si>
  <si>
    <t>Produção de ovos acumulada</t>
  </si>
  <si>
    <t>Segundos</t>
  </si>
  <si>
    <t>Setor de classificação</t>
  </si>
  <si>
    <t>Numero Acum.</t>
  </si>
  <si>
    <t xml:space="preserve">Semana </t>
  </si>
  <si>
    <t>Peso de ovo (g)</t>
  </si>
  <si>
    <t>Consumo</t>
  </si>
  <si>
    <t>Água</t>
  </si>
  <si>
    <t>Cons. de água em Litros</t>
  </si>
  <si>
    <t>Cons. de água ml/dia/ave</t>
  </si>
  <si>
    <t>Água/consumo alimento</t>
  </si>
  <si>
    <t>Alimento</t>
  </si>
  <si>
    <t>Preço por tonelada</t>
  </si>
  <si>
    <t>Consumo em Kg</t>
  </si>
  <si>
    <t>Final da semana</t>
  </si>
  <si>
    <t>Uniformidade (%)</t>
  </si>
  <si>
    <t>Média semanal</t>
  </si>
  <si>
    <t>Comentários</t>
  </si>
  <si>
    <t>Dados de classificação de ovos</t>
  </si>
  <si>
    <t>Distribuição de peso de ovos</t>
  </si>
  <si>
    <t>P</t>
  </si>
  <si>
    <t xml:space="preserve">M </t>
  </si>
  <si>
    <t xml:space="preserve">G </t>
  </si>
  <si>
    <t>máx..</t>
  </si>
  <si>
    <t>Tabela de distribuição de peso de ovos</t>
  </si>
  <si>
    <t>Media de peso semanal</t>
  </si>
  <si>
    <t>Peso médio atual</t>
  </si>
  <si>
    <t>Classificação percentual</t>
  </si>
  <si>
    <t>Tabela de distribuição de peso de ovo e volume por classificação</t>
  </si>
  <si>
    <t>Semana do ano</t>
  </si>
  <si>
    <t>Produção semanal de ovos</t>
  </si>
  <si>
    <t>Repartição de ovos por classificação</t>
  </si>
  <si>
    <t>Média de distribuição de peso sobre a produção total (%)</t>
  </si>
  <si>
    <t>Numero acumulado de ovos produzidos</t>
  </si>
  <si>
    <t>Custo de produção</t>
  </si>
  <si>
    <t>Consumo de alimento</t>
  </si>
  <si>
    <t>Preço de alimento</t>
  </si>
  <si>
    <t>/ton.</t>
  </si>
  <si>
    <t>/ovo</t>
  </si>
  <si>
    <t>Média acumulada</t>
  </si>
  <si>
    <t>Custo de alimento</t>
  </si>
  <si>
    <t>/ave/dia</t>
  </si>
  <si>
    <t>Média entregue</t>
  </si>
  <si>
    <t>Media acumulada</t>
  </si>
  <si>
    <t>Data de produção</t>
  </si>
  <si>
    <t>Nome da granja:</t>
  </si>
  <si>
    <t>Galpão no. /Sistema de alojamento:</t>
  </si>
  <si>
    <t>Data de Transferência:</t>
  </si>
  <si>
    <t>Numero de poedeiras alojadas:</t>
  </si>
  <si>
    <t xml:space="preserve">Galpão no.  </t>
  </si>
  <si>
    <t>Viabilidade %</t>
  </si>
  <si>
    <t>Taxa de postura</t>
  </si>
  <si>
    <t>Numero de ovos A/A</t>
  </si>
  <si>
    <t>Peso de ovo/ semana</t>
  </si>
  <si>
    <t>Massa de ovo</t>
  </si>
  <si>
    <t>Consumo de alimento ( ave/ dia)</t>
  </si>
  <si>
    <t>Cons. Alim./ ovo</t>
  </si>
  <si>
    <t>Conversão alimentar</t>
  </si>
  <si>
    <t>% ovos de segunda</t>
  </si>
  <si>
    <t>Ave diário</t>
  </si>
  <si>
    <t>Atual</t>
  </si>
  <si>
    <t>Média Acum.</t>
  </si>
  <si>
    <t>Padrão Acum.</t>
  </si>
  <si>
    <t>/dia</t>
  </si>
  <si>
    <t>Nome:</t>
  </si>
  <si>
    <t>Data de transferência:</t>
  </si>
  <si>
    <t>Data às 18 sem. de idade:</t>
  </si>
  <si>
    <t>Companhia de alimento:</t>
  </si>
  <si>
    <t>Numero de poedeiras:</t>
  </si>
  <si>
    <t>Sistema de alojamento:</t>
  </si>
  <si>
    <t>% Taxa de postura</t>
  </si>
  <si>
    <t>Padrão.</t>
  </si>
  <si>
    <t>Numero de ovos por a/a</t>
  </si>
  <si>
    <t>Peso de ovos (g)</t>
  </si>
  <si>
    <t>Massa de ovo por a/a (kg)</t>
  </si>
  <si>
    <t>C.A. 18 sem kg/kg</t>
  </si>
  <si>
    <t>Cons. Alim/ovo 18 sem (g)</t>
  </si>
  <si>
    <t>Ovos segunda acum. %</t>
  </si>
  <si>
    <t>Diverso</t>
  </si>
  <si>
    <t>Janeiro</t>
  </si>
  <si>
    <t>Fevereiro</t>
  </si>
  <si>
    <t>Março</t>
  </si>
  <si>
    <t>Maio</t>
  </si>
  <si>
    <t>Junho</t>
  </si>
  <si>
    <t>Julho</t>
  </si>
  <si>
    <t>Setembro</t>
  </si>
  <si>
    <t>Outubro</t>
  </si>
  <si>
    <t>Novembro</t>
  </si>
  <si>
    <t>Dezembro</t>
  </si>
  <si>
    <t>Gaiola</t>
  </si>
  <si>
    <t>Galpão</t>
  </si>
  <si>
    <t>ao ar livre</t>
  </si>
  <si>
    <t>livre em vários níveis</t>
  </si>
  <si>
    <t>Aviário</t>
  </si>
  <si>
    <t>Gaiolas enriquecidas</t>
  </si>
  <si>
    <t>Orgânico</t>
  </si>
  <si>
    <t>Gráfico de valores</t>
  </si>
  <si>
    <t>Viabilidade</t>
  </si>
  <si>
    <t>Mortalidade semanal %</t>
  </si>
  <si>
    <t>Postura %</t>
  </si>
  <si>
    <t>Taxa de postura pad.</t>
  </si>
  <si>
    <t>Peso de ovos</t>
  </si>
  <si>
    <t>Peso de ovos pad.</t>
  </si>
  <si>
    <t>Peso corporal produção pad.</t>
  </si>
  <si>
    <t>Massa de ovo diário pad.</t>
  </si>
  <si>
    <t>Criação</t>
  </si>
  <si>
    <t>Setor de embalagem de segunda</t>
  </si>
  <si>
    <t>Ovos de segunda - granja</t>
  </si>
  <si>
    <t>Alim. Acum/Ave/dia</t>
  </si>
  <si>
    <t>C.A. Sem.</t>
  </si>
  <si>
    <t>C.A. Acum.</t>
  </si>
  <si>
    <t>C.A. Sem/ovo</t>
  </si>
  <si>
    <t>C.A.acum/ovo</t>
  </si>
  <si>
    <t>Numero de ovos acumulado</t>
  </si>
  <si>
    <t>Pad.</t>
  </si>
  <si>
    <t>Mortalidade %</t>
  </si>
  <si>
    <t>Uniformidade</t>
  </si>
  <si>
    <t>Alimento/Água taxa</t>
  </si>
  <si>
    <t>Cons. Acum/ave</t>
  </si>
  <si>
    <t>pad. min.</t>
  </si>
  <si>
    <t>Postura</t>
  </si>
  <si>
    <t>Galpão numero</t>
  </si>
  <si>
    <t>Data de nascimento</t>
  </si>
  <si>
    <t>Cria</t>
  </si>
  <si>
    <t>Performance de cria</t>
  </si>
  <si>
    <t>Peso corporal em g</t>
  </si>
  <si>
    <t>Cons. Alim. Acum em g</t>
  </si>
  <si>
    <t>Uniformidade %</t>
  </si>
  <si>
    <t>Água para taxa de consumo</t>
  </si>
  <si>
    <t>Performance de postura</t>
  </si>
  <si>
    <t>Peso médio de ovo</t>
  </si>
  <si>
    <t>MPO ? Average egg weight</t>
  </si>
  <si>
    <t>Ovos por A/A</t>
  </si>
  <si>
    <t>C.A.</t>
  </si>
  <si>
    <t>Média cons. Acum.</t>
  </si>
  <si>
    <t>Massa ovos/ Consumo de alimento</t>
  </si>
  <si>
    <t>Massa de ovo em g/dia</t>
  </si>
  <si>
    <t>Consumo de alimento em g</t>
  </si>
  <si>
    <t>No. ovos acum. A/A</t>
  </si>
  <si>
    <t>Taxa de conversão alimentar</t>
  </si>
  <si>
    <t>G por ovo</t>
  </si>
  <si>
    <t>Taxa</t>
  </si>
  <si>
    <t>Ovos de segunda %</t>
  </si>
  <si>
    <t>Porcentagem de classificação de ovos</t>
  </si>
  <si>
    <t>Classificação %</t>
  </si>
  <si>
    <t>Acumulado de classificação de ovos</t>
  </si>
  <si>
    <t>Numero de ovos por classificação</t>
  </si>
  <si>
    <t>Gráfico de resumo</t>
  </si>
  <si>
    <t xml:space="preserve">MPO </t>
  </si>
  <si>
    <t>ovos/A/A</t>
  </si>
  <si>
    <t>C. A.</t>
  </si>
  <si>
    <t>C. A./ovo</t>
  </si>
  <si>
    <t>Conv. Alim. Acum.</t>
  </si>
  <si>
    <t>Semana</t>
  </si>
  <si>
    <t>一般数据输入</t>
  </si>
  <si>
    <t>填表说明</t>
  </si>
  <si>
    <t xml:space="preserve">请将数字填入蓝色空格. </t>
  </si>
  <si>
    <t>文件名在表格B27</t>
  </si>
  <si>
    <t>可以此格式命名文件</t>
  </si>
  <si>
    <t>所需信息/数据</t>
  </si>
  <si>
    <t>计算结果和曲线将自动生成</t>
  </si>
  <si>
    <t xml:space="preserve"> 进入"一般数据", "生长期记录" 和 "产蛋期记录"工作表.</t>
  </si>
  <si>
    <t>出雏日期</t>
  </si>
  <si>
    <t>品种</t>
  </si>
  <si>
    <t>产蛋期鸡舍类型</t>
  </si>
  <si>
    <t>公司名称/产蛋场名称</t>
  </si>
  <si>
    <t>产蛋鸡场名称</t>
  </si>
  <si>
    <t>产蛋鸡舍编号</t>
  </si>
  <si>
    <t>国家</t>
  </si>
  <si>
    <t>货币名称</t>
  </si>
  <si>
    <t>技术支持联系方式(e-mail)</t>
  </si>
  <si>
    <t>文件名</t>
  </si>
  <si>
    <t>请将鸡群数据发送给我们.</t>
  </si>
  <si>
    <t>各表名称</t>
  </si>
  <si>
    <t>生长期记录表</t>
  </si>
  <si>
    <t>生长期曲线表</t>
  </si>
  <si>
    <t>产蛋期记录表</t>
  </si>
  <si>
    <t>产蛋期曲线表</t>
  </si>
  <si>
    <t>产蛋量和饲料消耗曲线</t>
  </si>
  <si>
    <t>饲料转化率曲线</t>
  </si>
  <si>
    <t>次品蛋曲线表</t>
  </si>
  <si>
    <t>蛋重分级</t>
  </si>
  <si>
    <t>蛋重分布图</t>
  </si>
  <si>
    <t>累计蛋重分级</t>
  </si>
  <si>
    <t>经济效益核算表</t>
  </si>
  <si>
    <t>生产数据</t>
  </si>
  <si>
    <t>总结</t>
  </si>
  <si>
    <t>内容</t>
  </si>
  <si>
    <t>每天及每周的死亡鸡数、体重、采食量和光照时数。</t>
  </si>
  <si>
    <t>死亡鸡数、采食量、体重和均匀度。</t>
  </si>
  <si>
    <t>每天及每周的产蛋数、每周平均蛋重和体重、饲料消耗和饲料价格。</t>
  </si>
  <si>
    <t>存活率、产蛋率、蛋重及体重。</t>
  </si>
  <si>
    <t>产蛋重、饲料消耗和累计产蛋数。</t>
  </si>
  <si>
    <t>饲料转换率及每枚蛋的饲料消耗。</t>
  </si>
  <si>
    <t>每周及累计次品蛋数（鸡场及分级站）。</t>
  </si>
  <si>
    <t>蛋重分布及每级蛋数</t>
  </si>
  <si>
    <t>每等级蛋的百分比</t>
  </si>
  <si>
    <t>每等级蛋的数量</t>
  </si>
  <si>
    <t>每周每吨饲料成本，公斤蛋成本及鸡的成本。</t>
  </si>
  <si>
    <t>产蛋期图表，每周生产性能概况</t>
  </si>
  <si>
    <t>产蛋期每5周生产性能概况。</t>
  </si>
  <si>
    <t>年</t>
  </si>
  <si>
    <t>月</t>
  </si>
  <si>
    <t>日</t>
  </si>
  <si>
    <t>非常高兴能收到你的鸡群记录</t>
  </si>
  <si>
    <t>为了制定不同品种的生产标准及对比其产蛋性能.</t>
  </si>
  <si>
    <t xml:space="preserve">请将此文件发往: isa.technicalfieldresults@hendrix-genetics.com </t>
  </si>
  <si>
    <t>版本:</t>
  </si>
  <si>
    <t>生长期记录</t>
  </si>
  <si>
    <t>日期</t>
  </si>
  <si>
    <t>周龄</t>
  </si>
  <si>
    <t>死亡</t>
  </si>
  <si>
    <t>每日</t>
  </si>
  <si>
    <t>每周</t>
  </si>
  <si>
    <t>累计死亡</t>
  </si>
  <si>
    <t>转群</t>
  </si>
  <si>
    <t>死亡率 %</t>
  </si>
  <si>
    <t>期末鸡数</t>
  </si>
  <si>
    <t>体重</t>
  </si>
  <si>
    <t>实际 (g)</t>
  </si>
  <si>
    <t>均匀度 %</t>
  </si>
  <si>
    <t>标准</t>
  </si>
  <si>
    <t>最小</t>
  </si>
  <si>
    <t>最大</t>
  </si>
  <si>
    <t>饲料消耗(kg)</t>
  </si>
  <si>
    <t>累计饲料消耗(kg)</t>
  </si>
  <si>
    <t>采食量(g/只/日)</t>
  </si>
  <si>
    <t>累计采食量(g)</t>
  </si>
  <si>
    <t>光照程序</t>
  </si>
  <si>
    <t>光照时数</t>
  </si>
  <si>
    <t>开灯时间</t>
  </si>
  <si>
    <t>免疫或管理工作</t>
  </si>
  <si>
    <t>育成场名称</t>
  </si>
  <si>
    <t>入舍雏鸡数</t>
  </si>
  <si>
    <t>鸡舍类型</t>
  </si>
  <si>
    <t>鸡群编号：</t>
  </si>
  <si>
    <t>鸡舍编号：</t>
  </si>
  <si>
    <t>转群时间(日/月/年)</t>
  </si>
  <si>
    <t>转群时周龄</t>
  </si>
  <si>
    <t>转入育成鸡数量</t>
  </si>
  <si>
    <t>饮水量（升）</t>
  </si>
  <si>
    <t>料水消耗</t>
  </si>
  <si>
    <t>饮水量 毫升/日/只</t>
  </si>
  <si>
    <t>水料比</t>
  </si>
  <si>
    <t>产蛋期记录</t>
  </si>
  <si>
    <t>鸡场名称:</t>
  </si>
  <si>
    <t>鸡舍编号 :</t>
  </si>
  <si>
    <t>出雏日期:</t>
  </si>
  <si>
    <t>18周龄日期 :</t>
  </si>
  <si>
    <t xml:space="preserve">转群日期: </t>
  </si>
  <si>
    <t>入舍鸡数:</t>
  </si>
  <si>
    <t>本周开始的日期</t>
  </si>
  <si>
    <t>周末存栏鸡数</t>
  </si>
  <si>
    <t>本周死亡鸡数</t>
  </si>
  <si>
    <t>产蛋数</t>
  </si>
  <si>
    <t>日产蛋数</t>
  </si>
  <si>
    <t>周一.</t>
  </si>
  <si>
    <t>周二.</t>
  </si>
  <si>
    <t>周三.</t>
  </si>
  <si>
    <t>周四.</t>
  </si>
  <si>
    <t>周五.</t>
  </si>
  <si>
    <t>周六.</t>
  </si>
  <si>
    <t>周日.</t>
  </si>
  <si>
    <t>周产蛋数</t>
  </si>
  <si>
    <t>每周产蛋数</t>
  </si>
  <si>
    <t>累计产蛋数</t>
  </si>
  <si>
    <t>次品蛋数</t>
  </si>
  <si>
    <t>鸡场</t>
  </si>
  <si>
    <t>蛋包装站</t>
  </si>
  <si>
    <t>累计数量</t>
  </si>
  <si>
    <t>周</t>
  </si>
  <si>
    <t>累计</t>
  </si>
  <si>
    <t>蛋重 (g)</t>
  </si>
  <si>
    <t>饲料、水消耗</t>
  </si>
  <si>
    <t>水</t>
  </si>
  <si>
    <t>饮水量  毫升/日/只</t>
  </si>
  <si>
    <t>饲料</t>
  </si>
  <si>
    <t>每吨价格</t>
  </si>
  <si>
    <t>饲料消耗 kg</t>
  </si>
  <si>
    <t>周饲料消耗</t>
  </si>
  <si>
    <t>体重 (g)</t>
  </si>
  <si>
    <t>周平均</t>
  </si>
  <si>
    <t>备注</t>
  </si>
  <si>
    <t>次品蛋</t>
  </si>
  <si>
    <t>小</t>
  </si>
  <si>
    <t>中</t>
  </si>
  <si>
    <t>大</t>
  </si>
  <si>
    <t>特大</t>
  </si>
  <si>
    <t>蛋重等级分布表</t>
  </si>
  <si>
    <t>平均蛋重</t>
  </si>
  <si>
    <t>实际蛋重</t>
  </si>
  <si>
    <t>每蛋重等级百分比</t>
  </si>
  <si>
    <t>每蛋重等级的蛋数</t>
  </si>
  <si>
    <t>本年度第几周</t>
  </si>
  <si>
    <t>每等级分布的蛋数</t>
  </si>
  <si>
    <t>全期平均蛋重的等级分布(%)</t>
  </si>
  <si>
    <t>产蛋期成本</t>
  </si>
  <si>
    <t>饲料消耗</t>
  </si>
  <si>
    <t>周耗料 (kg)</t>
  </si>
  <si>
    <t>累计耗料 (kg)</t>
  </si>
  <si>
    <t>饲料价格</t>
  </si>
  <si>
    <t>/吨</t>
  </si>
  <si>
    <t>/枚蛋</t>
  </si>
  <si>
    <t>/公斤</t>
  </si>
  <si>
    <t>累计平均</t>
  </si>
  <si>
    <t>饲料成本</t>
  </si>
  <si>
    <t>/只/日</t>
  </si>
  <si>
    <t>平均每次进料</t>
  </si>
  <si>
    <t>鸡场名称 :</t>
  </si>
  <si>
    <t>鸡舍编号 / 鸡舍类型:</t>
  </si>
  <si>
    <t>鸡舍编号.</t>
  </si>
  <si>
    <t>存活率 %</t>
  </si>
  <si>
    <t>产蛋率%</t>
  </si>
  <si>
    <t>入舍产蛋数</t>
  </si>
  <si>
    <t>平均蛋重g</t>
  </si>
  <si>
    <t>产蛋重g</t>
  </si>
  <si>
    <t>只日饲料消耗</t>
  </si>
  <si>
    <t>饲料消耗 /枚蛋</t>
  </si>
  <si>
    <t>饲料转化率</t>
  </si>
  <si>
    <t>次品蛋 %</t>
  </si>
  <si>
    <t>体重(g)</t>
  </si>
  <si>
    <t>只日</t>
  </si>
  <si>
    <t>入舍</t>
  </si>
  <si>
    <t>实际</t>
  </si>
  <si>
    <t>累计标准</t>
  </si>
  <si>
    <t>/ 日</t>
  </si>
  <si>
    <t>本周</t>
  </si>
  <si>
    <t>概要</t>
  </si>
  <si>
    <t>转群日期 :</t>
  </si>
  <si>
    <t>18周龄时日期 :</t>
  </si>
  <si>
    <t>饲料供应商 :</t>
  </si>
  <si>
    <t>入舍鸡数 :</t>
  </si>
  <si>
    <t>鸡舍类型:</t>
  </si>
  <si>
    <t>死亡率%</t>
  </si>
  <si>
    <t>蛋重(g)</t>
  </si>
  <si>
    <t>入舍产蛋量(kg)</t>
  </si>
  <si>
    <t>自18周饲料转化率 kg/kg</t>
  </si>
  <si>
    <t xml:space="preserve">自18周饲料消耗g /枚蛋 </t>
  </si>
  <si>
    <t>累计次品蛋 %</t>
  </si>
  <si>
    <t>变异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</si>
  <si>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</si>
  <si>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</si>
  <si>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</si>
  <si>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</si>
  <si>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</si>
  <si>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</si>
  <si>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</si>
  <si>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</si>
  <si>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</si>
  <si>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</si>
  <si>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</si>
  <si>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</si>
  <si>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笼养</t>
  </si>
  <si>
    <t>平养</t>
  </si>
  <si>
    <t>放养</t>
  </si>
  <si>
    <t>多层放养</t>
  </si>
  <si>
    <t>Voliere</t>
  </si>
  <si>
    <t>大空间笼养</t>
  </si>
  <si>
    <t>有机饲养</t>
  </si>
  <si>
    <t>图表数值</t>
  </si>
  <si>
    <t>存活率%</t>
  </si>
  <si>
    <t>产蛋率 %</t>
  </si>
  <si>
    <t>产蛋率标准%</t>
  </si>
  <si>
    <t>蛋重</t>
  </si>
  <si>
    <t>蛋重标准</t>
  </si>
  <si>
    <t>产蛋体重标准</t>
  </si>
  <si>
    <t>产蛋量</t>
  </si>
  <si>
    <t>只日产蛋重标准</t>
  </si>
  <si>
    <t>育成期</t>
  </si>
  <si>
    <t>包装站次品蛋</t>
  </si>
  <si>
    <t>鸡场次品蛋</t>
  </si>
  <si>
    <t>蛋品包装站</t>
  </si>
  <si>
    <t>采食量g/只/日</t>
  </si>
  <si>
    <t>周饲料转换率</t>
  </si>
  <si>
    <t>累计饲料转化率</t>
  </si>
  <si>
    <t>周饲料转化率/枚蛋</t>
  </si>
  <si>
    <t>累计饲料转化率/枚蛋</t>
  </si>
  <si>
    <t>均匀度</t>
  </si>
  <si>
    <t>每只累计消耗</t>
  </si>
  <si>
    <t>最低标准</t>
  </si>
  <si>
    <t>产蛋期</t>
  </si>
  <si>
    <t>鸡舍编号</t>
  </si>
  <si>
    <t>入舍鸡数</t>
  </si>
  <si>
    <t>1日龄雏鸡数</t>
  </si>
  <si>
    <t>育成期曲线</t>
  </si>
  <si>
    <t>体重g</t>
  </si>
  <si>
    <t>累计采食量g</t>
  </si>
  <si>
    <t>均匀度%</t>
  </si>
  <si>
    <t>死亡率</t>
  </si>
  <si>
    <t>产蛋期曲线</t>
  </si>
  <si>
    <t>产蛋率</t>
  </si>
  <si>
    <t>周死亡率 %</t>
  </si>
  <si>
    <t>平均累计饲料消耗</t>
  </si>
  <si>
    <t>产蛋量/饲料消耗</t>
  </si>
  <si>
    <t>只日产蛋重g</t>
  </si>
  <si>
    <t>饲料消耗g</t>
  </si>
  <si>
    <t>累计入舍产蛋数</t>
  </si>
  <si>
    <t>每枚蛋耗料</t>
  </si>
  <si>
    <t>转化率</t>
  </si>
  <si>
    <t>次品蛋图表</t>
  </si>
  <si>
    <t>蛋重分级百分比</t>
  </si>
  <si>
    <t>蛋等级 %</t>
  </si>
  <si>
    <t>各等级的蛋数</t>
  </si>
  <si>
    <t>概况表</t>
  </si>
  <si>
    <t>入舍产蛋数Egg/hh</t>
  </si>
  <si>
    <t>饲料转化率/枚蛋</t>
  </si>
  <si>
    <t>累计饲料消耗</t>
  </si>
  <si>
    <t>Všeobecné vstupné údaje</t>
  </si>
  <si>
    <t>Vysvetlenie</t>
  </si>
  <si>
    <t>Vyplňte prosím farebné bunky</t>
  </si>
  <si>
    <t>Názov vašej tabuľky bude v bunke B27</t>
  </si>
  <si>
    <t>Pre názov Vášho dokumentu môžete použiť tento formát</t>
  </si>
  <si>
    <t>Požadované informácie</t>
  </si>
  <si>
    <t>Všetky kalkulácie a grafy sa automaticky vygenerujú z údajov</t>
  </si>
  <si>
    <t>ktoré vložíte do listov "Všeobecné vstupné údaje", "Obdobie odchovu" a "Obdobie produkcie"</t>
  </si>
  <si>
    <t>Dátum liahnutia</t>
  </si>
  <si>
    <t>Hybrid</t>
  </si>
  <si>
    <t>Systém ustajnenia v produkcii</t>
  </si>
  <si>
    <t>Názov firmy/Výrobcu vajec</t>
  </si>
  <si>
    <t>Názov znáškovej farmy</t>
  </si>
  <si>
    <t>Číslo haly v období produkcie</t>
  </si>
  <si>
    <t>Krajina</t>
  </si>
  <si>
    <t>Mena</t>
  </si>
  <si>
    <t>Kontakt (e-mail)</t>
  </si>
  <si>
    <t>Názov súboru (dokumentu)</t>
  </si>
  <si>
    <t>Prosím, pošlite nám svoje výsledky</t>
  </si>
  <si>
    <t>Dostupné listy</t>
  </si>
  <si>
    <t>Obdobie odchovu</t>
  </si>
  <si>
    <t>Odchovný graf</t>
  </si>
  <si>
    <t>Obdobie produkcie</t>
  </si>
  <si>
    <t>Graf produkcie</t>
  </si>
  <si>
    <t>Vaječná Hmota &amp; Príjem KZ</t>
  </si>
  <si>
    <t>Konverzia KZ</t>
  </si>
  <si>
    <t>Neštandard</t>
  </si>
  <si>
    <t>Hmotnostné triedenie vajec</t>
  </si>
  <si>
    <t>Rozdelenie hmot. tried vajec</t>
  </si>
  <si>
    <t>Triedenie vajec nápočtom</t>
  </si>
  <si>
    <t>List finančného zhodnotenia</t>
  </si>
  <si>
    <t>Produkčné údaje</t>
  </si>
  <si>
    <t>Sumár</t>
  </si>
  <si>
    <t>Obsah</t>
  </si>
  <si>
    <t>Denný, týždenný úhyn, ŽH, príjem KZ, svetelný režim</t>
  </si>
  <si>
    <t>Úhyn, príjem KZ, ŽH, uniformita</t>
  </si>
  <si>
    <t>Dennná a týždenná produkcia, hmot vajec, ŽH, príjem a cena KZ</t>
  </si>
  <si>
    <t>Životaschopnosť, % znášky, hmotnosť vajec a ŽH</t>
  </si>
  <si>
    <t xml:space="preserve">Množstvo vaječnej hmoty, príjem KZ a kumulatívny počet vajec </t>
  </si>
  <si>
    <t>Konverzia KZ kg/kg a konverzia na vajce</t>
  </si>
  <si>
    <t>Množstvo neštandardných na farme a v triediarni, týždenne a kumulatívne</t>
  </si>
  <si>
    <t>Rozdelenie hmotnosti vajec a počty vajec v hmotnostných triedach</t>
  </si>
  <si>
    <t>% rozdelenie vajec v hmotnostných triedach</t>
  </si>
  <si>
    <t>Množstvo vajec v hmotnostných triedach</t>
  </si>
  <si>
    <t>Týždenné náklady na KZ, v t, kg, na vajce a na sliepku</t>
  </si>
  <si>
    <t>Graf produkcie, prehľad týždennej produkcie kŕdľa</t>
  </si>
  <si>
    <t>Detailný prehľad úžitkovosti kŕdľa v 5 týždňových intervaloch</t>
  </si>
  <si>
    <t>Rok</t>
  </si>
  <si>
    <t>Mesiac</t>
  </si>
  <si>
    <t>Dátum</t>
  </si>
  <si>
    <t>Budeme veľmi radi, ak nám pošlete svoje výsledky</t>
  </si>
  <si>
    <t>aby sme mohli vytvoriť prehľad za rôzne hybridy a porovnať ich úžitkovosť</t>
  </si>
  <si>
    <t xml:space="preserve">Prosím pošlite tento dokument na: isa.technicalfieldresults@hendrix-genetics.com </t>
  </si>
  <si>
    <t>Verzia</t>
  </si>
  <si>
    <t>Vek</t>
  </si>
  <si>
    <t>Úhyn</t>
  </si>
  <si>
    <t>Denne</t>
  </si>
  <si>
    <t>Týždenne</t>
  </si>
  <si>
    <t>Kumulatív</t>
  </si>
  <si>
    <t>Presun</t>
  </si>
  <si>
    <t>% úhynu</t>
  </si>
  <si>
    <t>Konečný stav sliepok</t>
  </si>
  <si>
    <t>ŽH</t>
  </si>
  <si>
    <t>Skut (g)</t>
  </si>
  <si>
    <t>Štandard</t>
  </si>
  <si>
    <t>Celkový príjem KZ (kg)</t>
  </si>
  <si>
    <t>Kumul. Príjem KZ (kg)</t>
  </si>
  <si>
    <t>Denný príjem KZ/zviera (g)</t>
  </si>
  <si>
    <t>Kumul. príjem KZ/zviera (g)</t>
  </si>
  <si>
    <t>Svetelný režim</t>
  </si>
  <si>
    <t>Dĺžka svetelného dňa</t>
  </si>
  <si>
    <t>Začiatok svetelného dňa</t>
  </si>
  <si>
    <t>Vakcinácie a operácie</t>
  </si>
  <si>
    <t>Názov odchovnej farmy</t>
  </si>
  <si>
    <t>Počet JDK</t>
  </si>
  <si>
    <t>Systém ustajnenia</t>
  </si>
  <si>
    <t>Číslo kŕdľa.:</t>
  </si>
  <si>
    <t>Číslo haly</t>
  </si>
  <si>
    <t>Dátum presunu (dd/mm/rrrr)</t>
  </si>
  <si>
    <t>Vek pri presune</t>
  </si>
  <si>
    <t>Počet presunutých kuričiek</t>
  </si>
  <si>
    <t>Spotreba vody v l</t>
  </si>
  <si>
    <t>Spotreby</t>
  </si>
  <si>
    <t>Príjem vody ml/d/zviera</t>
  </si>
  <si>
    <t>Pomer voda/krmivo</t>
  </si>
  <si>
    <t>Meno farmy:</t>
  </si>
  <si>
    <t>Číslo haly:</t>
  </si>
  <si>
    <t>Dátum liahnutia:</t>
  </si>
  <si>
    <t>Dátum v 18 týždni veku:</t>
  </si>
  <si>
    <t>Dátum presunu:</t>
  </si>
  <si>
    <t>Počet zastavených nosníc:</t>
  </si>
  <si>
    <t>Dátum začiatku týždňa</t>
  </si>
  <si>
    <t>Vek v týždňoch</t>
  </si>
  <si>
    <t>Konečný stav v týždni</t>
  </si>
  <si>
    <t>Týždenný úhyn v ks</t>
  </si>
  <si>
    <t>Produkcia vajec denne ALEBO týždenne</t>
  </si>
  <si>
    <t>deň v týždni</t>
  </si>
  <si>
    <t>Po</t>
  </si>
  <si>
    <t>Ut</t>
  </si>
  <si>
    <t>St</t>
  </si>
  <si>
    <t>Št</t>
  </si>
  <si>
    <t>Pia</t>
  </si>
  <si>
    <t>So</t>
  </si>
  <si>
    <t>Ne</t>
  </si>
  <si>
    <t>ALEBO týždenne</t>
  </si>
  <si>
    <t>Týždenná produkcia vajec</t>
  </si>
  <si>
    <t>Kumul. produkcia vajec</t>
  </si>
  <si>
    <t>Farma</t>
  </si>
  <si>
    <t>Triediareň</t>
  </si>
  <si>
    <t>Kumulatívny počet</t>
  </si>
  <si>
    <t>Kumulatívne</t>
  </si>
  <si>
    <t>Hmot. vajec. (g)</t>
  </si>
  <si>
    <t>Voda</t>
  </si>
  <si>
    <t>Spotreba vody ml/d/zviera</t>
  </si>
  <si>
    <t>Krmivo</t>
  </si>
  <si>
    <t>Cena za tonu</t>
  </si>
  <si>
    <t>Príjem v kg</t>
  </si>
  <si>
    <t>Koniec týždňa</t>
  </si>
  <si>
    <t>Kum.</t>
  </si>
  <si>
    <t>ŽH (g)</t>
  </si>
  <si>
    <t>% uniformity</t>
  </si>
  <si>
    <t>Týždenný priemer</t>
  </si>
  <si>
    <t>Poznámky</t>
  </si>
  <si>
    <t>Triedenie vajec</t>
  </si>
  <si>
    <t>Hmotnostné rozdelenie vajec</t>
  </si>
  <si>
    <t>Tabuľka hmotnostného rozdelenia vajec</t>
  </si>
  <si>
    <t>Priem.hmot v týždni</t>
  </si>
  <si>
    <t>Skutočná priem hmot.</t>
  </si>
  <si>
    <t>% hmotnostnej triedy</t>
  </si>
  <si>
    <t>Tabuľka množstiev vajec podľa hmot. tried</t>
  </si>
  <si>
    <t>Kalendárny týždeň</t>
  </si>
  <si>
    <t>Týždenné množstvo vajec</t>
  </si>
  <si>
    <t>Rozdelenie vajec podľa hmot. tried</t>
  </si>
  <si>
    <t>Rozdelenie priem. hmot. vajec počas celej produkcie (%)</t>
  </si>
  <si>
    <t>Kumulatívny počet vyprodukovaných vajec</t>
  </si>
  <si>
    <t>Náklady na produkciu</t>
  </si>
  <si>
    <t>Príjem krmiva</t>
  </si>
  <si>
    <t>Týždenne (kg)</t>
  </si>
  <si>
    <t>Kumulatívne (kg)</t>
  </si>
  <si>
    <t>Cena KZ</t>
  </si>
  <si>
    <t>/tonu</t>
  </si>
  <si>
    <t>/vajce</t>
  </si>
  <si>
    <t>Kum. priemer</t>
  </si>
  <si>
    <t>/sliepku/deň</t>
  </si>
  <si>
    <t>Priemerná dodávka</t>
  </si>
  <si>
    <t>Kumulatívny priemer</t>
  </si>
  <si>
    <t>Číslo haly/systém ustajnenia</t>
  </si>
  <si>
    <t>Číslo haly.</t>
  </si>
  <si>
    <t>Životaschopnosť</t>
  </si>
  <si>
    <t>Intenzita znášky</t>
  </si>
  <si>
    <t>Vajec na PS</t>
  </si>
  <si>
    <t>Hmotnosť vajec/týždeň</t>
  </si>
  <si>
    <t>Vaječná hmota</t>
  </si>
  <si>
    <t>Denný príjem KZ</t>
  </si>
  <si>
    <t>Konverzia KZ/vajce</t>
  </si>
  <si>
    <t>% neštandardu</t>
  </si>
  <si>
    <t>Priemerný stav</t>
  </si>
  <si>
    <t>Počiatočný stav</t>
  </si>
  <si>
    <t>Skut.</t>
  </si>
  <si>
    <t>Kum priemer</t>
  </si>
  <si>
    <t>Kum. Štandard</t>
  </si>
  <si>
    <t>/deň</t>
  </si>
  <si>
    <t>Meno:</t>
  </si>
  <si>
    <t>Dátum v 18. týždni veku:</t>
  </si>
  <si>
    <t>Dodávateľ KZ:</t>
  </si>
  <si>
    <t>Počet nosníc:</t>
  </si>
  <si>
    <t>Systém ustajnenia:</t>
  </si>
  <si>
    <t>% znášky</t>
  </si>
  <si>
    <t>Hmot. vajec (g)</t>
  </si>
  <si>
    <t>Vaječná hmota na PS (kg)</t>
  </si>
  <si>
    <t>Konverzia KZ v kg/kg od 18. týžd.</t>
  </si>
  <si>
    <t>Konverzia  KZ/vajce od 18. týžd (g)</t>
  </si>
  <si>
    <t>Kum. % neštandardu</t>
  </si>
  <si>
    <t>Rôzne</t>
  </si>
  <si>
    <t>január</t>
  </si>
  <si>
    <t>február</t>
  </si>
  <si>
    <t>marec</t>
  </si>
  <si>
    <t>apríl</t>
  </si>
  <si>
    <t>máj</t>
  </si>
  <si>
    <t>jún</t>
  </si>
  <si>
    <t>júl</t>
  </si>
  <si>
    <t>august</t>
  </si>
  <si>
    <t>september</t>
  </si>
  <si>
    <t>október</t>
  </si>
  <si>
    <t>november</t>
  </si>
  <si>
    <t>december</t>
  </si>
  <si>
    <t>Klietky</t>
  </si>
  <si>
    <t>Podstielka</t>
  </si>
  <si>
    <t>Chov s výbehom</t>
  </si>
  <si>
    <t>Voliérový chov s výbehom</t>
  </si>
  <si>
    <t>Voliéra</t>
  </si>
  <si>
    <t>Obohatené klietky</t>
  </si>
  <si>
    <t>Bilologický chov</t>
  </si>
  <si>
    <t>Hodnoty pre graf</t>
  </si>
  <si>
    <t>Týždenný úhyn v %</t>
  </si>
  <si>
    <t>% produkcie</t>
  </si>
  <si>
    <t>Štandard intenzity produkcie</t>
  </si>
  <si>
    <t>Hmotnosť vajec</t>
  </si>
  <si>
    <t>Štandard hmotnosti valec</t>
  </si>
  <si>
    <t>Živá hmotnosť</t>
  </si>
  <si>
    <t>Štandard Živej Hmotnosti v produkcii</t>
  </si>
  <si>
    <t>Štand. prod. vaječ. hmoty v týždni</t>
  </si>
  <si>
    <t>Odchov</t>
  </si>
  <si>
    <t>Neštandardné vajcia v triediarni</t>
  </si>
  <si>
    <t>Neštandardné vajcia na farme</t>
  </si>
  <si>
    <t>Kumulatív.</t>
  </si>
  <si>
    <t>Kum.krmiva/sliepku/deň</t>
  </si>
  <si>
    <t>Konverzia v týždni</t>
  </si>
  <si>
    <t>Konverzia kum.</t>
  </si>
  <si>
    <t>Konverzia v týždni/vajce</t>
  </si>
  <si>
    <t>Konverzia kum./vajce</t>
  </si>
  <si>
    <t>Kum. počet vajec</t>
  </si>
  <si>
    <t>Uniformita</t>
  </si>
  <si>
    <t>Pomer príjmu krmiva/vody</t>
  </si>
  <si>
    <t>Kum. príjem/sliepku</t>
  </si>
  <si>
    <t>Štandard Minimum</t>
  </si>
  <si>
    <t>Produkcia</t>
  </si>
  <si>
    <t>Úžitkovosť počas odchovu</t>
  </si>
  <si>
    <t>Živá hmotnosť v g</t>
  </si>
  <si>
    <t>Kumul. príjem KZ v g</t>
  </si>
  <si>
    <t>uniformita</t>
  </si>
  <si>
    <t>úhyn</t>
  </si>
  <si>
    <t>Pomer príjmu vody a krmiva</t>
  </si>
  <si>
    <t>Úžitkovosť v produkcii</t>
  </si>
  <si>
    <t>% životaschopnosti</t>
  </si>
  <si>
    <t>Priem. hmot. vajec</t>
  </si>
  <si>
    <t>Živá Hmotnosť</t>
  </si>
  <si>
    <t>Konverzia</t>
  </si>
  <si>
    <t>Priem. príjem KZ kum.</t>
  </si>
  <si>
    <t>Vaječná hmota/Príjem KZ</t>
  </si>
  <si>
    <t>Vaječná hmota v g/deň</t>
  </si>
  <si>
    <t>Denný príjem krmiva v g</t>
  </si>
  <si>
    <t>Kumulatívny počet vajec /PS</t>
  </si>
  <si>
    <t>Spotreba g na vajce</t>
  </si>
  <si>
    <t>Pomer</t>
  </si>
  <si>
    <t>Graf množstva neštandardných vajec</t>
  </si>
  <si>
    <t>% neštandardných vajec</t>
  </si>
  <si>
    <t>% hmotnost. zatriedenia vajec</t>
  </si>
  <si>
    <t>% zatriedenia</t>
  </si>
  <si>
    <t>Kumulatívne zatriedenie vajec</t>
  </si>
  <si>
    <t>Počet vajec na kategóriu</t>
  </si>
  <si>
    <t>Sumárny graf</t>
  </si>
  <si>
    <t>vajec/PS</t>
  </si>
  <si>
    <t>Konverzia/vajce</t>
  </si>
  <si>
    <t>Kum. spotr. KZ</t>
  </si>
  <si>
    <t>Týždeň</t>
  </si>
  <si>
    <t>Invoer</t>
  </si>
  <si>
    <t>Uitleg excel document</t>
  </si>
  <si>
    <t>Gelieve de gekleurde cellen in te voeren</t>
  </si>
  <si>
    <t>Uw documentnaam staat in cel B27</t>
  </si>
  <si>
    <t>U kunt dit format gebruiken als documentnaam</t>
  </si>
  <si>
    <t>Vereiste informatie</t>
  </si>
  <si>
    <t>Grafieken en gecalculeerde data worden automatisch gegenereerd uit uw invoer</t>
  </si>
  <si>
    <t xml:space="preserve">  in de tabbladen "input general", "input rearing" en "input laying".</t>
  </si>
  <si>
    <t>Uitkomstdatum</t>
  </si>
  <si>
    <t>Ras/Merk</t>
  </si>
  <si>
    <t>Huisvestingssysteem legperiode</t>
  </si>
  <si>
    <t>Bedrijfsnaam</t>
  </si>
  <si>
    <t>Bedrijfsnaam (2)</t>
  </si>
  <si>
    <t>Stalnummer</t>
  </si>
  <si>
    <t>Land</t>
  </si>
  <si>
    <t>Valuta</t>
  </si>
  <si>
    <t>Technisch adviseur (e-mail)</t>
  </si>
  <si>
    <t>Bestandsnaam</t>
  </si>
  <si>
    <t>ISA is zeer benieuwd naar uw resultaten</t>
  </si>
  <si>
    <t>BESCHIKBARE TAB BLADEN</t>
  </si>
  <si>
    <t>Invoer opfokperiode</t>
  </si>
  <si>
    <t>Grafieken opfokperiode</t>
  </si>
  <si>
    <t>Invoer legperiode</t>
  </si>
  <si>
    <t>Grafieken legperiode</t>
  </si>
  <si>
    <t>Eimassa en voeropname grafiek</t>
  </si>
  <si>
    <t>VC grafiek</t>
  </si>
  <si>
    <t>Grafiek 2e soort</t>
  </si>
  <si>
    <t>Verdeling eigewichten</t>
  </si>
  <si>
    <t>Graf verdeling eigewichten proc</t>
  </si>
  <si>
    <t>Graf verdeling eigewichten week</t>
  </si>
  <si>
    <t>Financiele data</t>
  </si>
  <si>
    <t>Productie data</t>
  </si>
  <si>
    <t>Samenvatting</t>
  </si>
  <si>
    <t>INHOUD</t>
  </si>
  <si>
    <t>dagelijkse en wekelijkse uitval, lichaamsgewichten, voederopname en lichtprogramma's</t>
  </si>
  <si>
    <t>uitval, voeropname, lichaamsgewichten en uniformiteit</t>
  </si>
  <si>
    <t>dagelikse en wekelijkse productie, ei en lichaamsgewichten, voeropnamen en voerprijzen</t>
  </si>
  <si>
    <t>leefbaarheid, legpercentage, eigewicht en lichaamsgewicht</t>
  </si>
  <si>
    <t>eimassa, voeropname en cumulatief aantal eieren</t>
  </si>
  <si>
    <t>voederconversie en voederconversie per ei</t>
  </si>
  <si>
    <t>2e soort af legbedrijf en pakstation, per week en cumulatief</t>
  </si>
  <si>
    <t>verdeling van de eigewichten en aantal eieren per gewichtsklasse</t>
  </si>
  <si>
    <t>procentuele verdeling van de gewichtsklassen van de eieren</t>
  </si>
  <si>
    <t>hoeveelheid eieren per gewichtsklasse</t>
  </si>
  <si>
    <t>wekelijkse voerkosten per ton, per ei en per hen</t>
  </si>
  <si>
    <t>productiegrafiek, overzicht van de koppel data per week</t>
  </si>
  <si>
    <t>gedetailleerd overzicht van de resultaten per 5 weken</t>
  </si>
  <si>
    <t>Jaar</t>
  </si>
  <si>
    <t>Maand</t>
  </si>
  <si>
    <t>Dag</t>
  </si>
  <si>
    <t>Wij zouden het zeer op prijs stellen uw resultaten te ontvangen,</t>
  </si>
  <si>
    <t>om beter inzicht te krijgen in praktijkcijfers en om overzichten van de verschillende rassen te kunnen maken.</t>
  </si>
  <si>
    <t xml:space="preserve">Gelieve dit document te sturen naar ISA: isa.technicalfieldresults@hendrix-genetics.com </t>
  </si>
  <si>
    <t>Versie</t>
  </si>
  <si>
    <t>Invoer Opfok</t>
  </si>
  <si>
    <t>Datum</t>
  </si>
  <si>
    <t>Leeftijd</t>
  </si>
  <si>
    <t>Uitval</t>
  </si>
  <si>
    <t>/ dag</t>
  </si>
  <si>
    <t>/ week</t>
  </si>
  <si>
    <t>Overhokken</t>
  </si>
  <si>
    <t>Uitval %</t>
  </si>
  <si>
    <t># hennen eind periode</t>
  </si>
  <si>
    <t>lichaamsgewicht</t>
  </si>
  <si>
    <t>Actueel (g)</t>
  </si>
  <si>
    <t>Norm</t>
  </si>
  <si>
    <t xml:space="preserve"> voer opname (kg)</t>
  </si>
  <si>
    <t>Cum. Voer opname (kg)</t>
  </si>
  <si>
    <t>voeropn. / dier / dag (g)</t>
  </si>
  <si>
    <t>Cum. Voeropn. per hen (g)</t>
  </si>
  <si>
    <t>Licht</t>
  </si>
  <si>
    <t>Daglengte in uren</t>
  </si>
  <si>
    <t>Licht aan</t>
  </si>
  <si>
    <t>Vaccinaties en behandelingen</t>
  </si>
  <si>
    <t>Naam opfokbedrijf</t>
  </si>
  <si>
    <t>Aantal opgehokte kuikens</t>
  </si>
  <si>
    <t>Huisvestingssyteem</t>
  </si>
  <si>
    <t>Koppel nr.</t>
  </si>
  <si>
    <t>Stal nr.</t>
  </si>
  <si>
    <t>Ophokdatum (dd/mm/jjjj)</t>
  </si>
  <si>
    <t>Leeftijd overhokken</t>
  </si>
  <si>
    <t>Aantal overgehokte hennen</t>
  </si>
  <si>
    <t>Water opn. in Ltrs</t>
  </si>
  <si>
    <t>Opnames:</t>
  </si>
  <si>
    <t>Water Cons ml/d/hen</t>
  </si>
  <si>
    <t>W/V verhouding</t>
  </si>
  <si>
    <t>Invoer legbedrijf</t>
  </si>
  <si>
    <t>Uitkomstdatum:</t>
  </si>
  <si>
    <t>18 weken oud:</t>
  </si>
  <si>
    <t>Opfhokdatum:</t>
  </si>
  <si>
    <t>Aantal opgehokte hennen:</t>
  </si>
  <si>
    <t>Begindatum week</t>
  </si>
  <si>
    <t>Leeft. In wkn</t>
  </si>
  <si>
    <t>Aant. Hennen eind wk.</t>
  </si>
  <si>
    <t>Uitval / week (aant. Hennen)</t>
  </si>
  <si>
    <t>Productie per dag ÓF per week</t>
  </si>
  <si>
    <t>Dag van de week</t>
  </si>
  <si>
    <t>Ma</t>
  </si>
  <si>
    <t>Di</t>
  </si>
  <si>
    <t>Woe</t>
  </si>
  <si>
    <t>Do</t>
  </si>
  <si>
    <t>Vrij</t>
  </si>
  <si>
    <t>Zat</t>
  </si>
  <si>
    <t>Zon</t>
  </si>
  <si>
    <t>ÓF per week</t>
  </si>
  <si>
    <t>productie / week</t>
  </si>
  <si>
    <t>Cum productie</t>
  </si>
  <si>
    <t>2e soort</t>
  </si>
  <si>
    <t>Bedrijf</t>
  </si>
  <si>
    <t>Pakstation</t>
  </si>
  <si>
    <t>Cum. Aant.</t>
  </si>
  <si>
    <t>Eigewicht (g)</t>
  </si>
  <si>
    <t>Opnamen:</t>
  </si>
  <si>
    <t>Water opn in Ltrs.</t>
  </si>
  <si>
    <t>Water opn ml/d/hen</t>
  </si>
  <si>
    <t>Voer</t>
  </si>
  <si>
    <t>Prijs / Ton</t>
  </si>
  <si>
    <t>Opname in kg</t>
  </si>
  <si>
    <t>eind week</t>
  </si>
  <si>
    <t>Lichaamsgewicht (g.)</t>
  </si>
  <si>
    <t>Uniformiteit %</t>
  </si>
  <si>
    <t>gemiddelde / week</t>
  </si>
  <si>
    <t>Opmerkingen</t>
  </si>
  <si>
    <t>Invoer sortering</t>
  </si>
  <si>
    <t>Max.</t>
  </si>
  <si>
    <t>Tabel verdeling eigewichten</t>
  </si>
  <si>
    <t>Gemiddeld gewicht/wk</t>
  </si>
  <si>
    <t>Huidig gemiddeld gewicht</t>
  </si>
  <si>
    <t>Percentage sortering</t>
  </si>
  <si>
    <t>Tabel van gewichtsklasse verdeling in aantal per sortering</t>
  </si>
  <si>
    <t>Week / jaar</t>
  </si>
  <si>
    <t>Eieren / week</t>
  </si>
  <si>
    <t>Verdeling eieren per sortering</t>
  </si>
  <si>
    <t>Gemiddelde gewichtsverdeling van de hele productie (%)</t>
  </si>
  <si>
    <t>Cum. Aantal eieren geproduceerd</t>
  </si>
  <si>
    <t>Productie kosten</t>
  </si>
  <si>
    <t>Lft. In weken</t>
  </si>
  <si>
    <t>Voeropname</t>
  </si>
  <si>
    <t>per week (kg)</t>
  </si>
  <si>
    <t>Voerprijs</t>
  </si>
  <si>
    <t>/ei</t>
  </si>
  <si>
    <t>Cumulatief gemiddelde</t>
  </si>
  <si>
    <t>Voerkosten</t>
  </si>
  <si>
    <t>/hen/dag</t>
  </si>
  <si>
    <t>Gemiddelde levering</t>
  </si>
  <si>
    <t>Per Week</t>
  </si>
  <si>
    <t>Cum. Gemiddelde</t>
  </si>
  <si>
    <t>Stalnr. / huisvestingssysteem</t>
  </si>
  <si>
    <t>Geboortedatum:</t>
  </si>
  <si>
    <t>Ophokdatum:</t>
  </si>
  <si>
    <t>Stalnr.</t>
  </si>
  <si>
    <t>Systeem:</t>
  </si>
  <si>
    <t>Eind datum week</t>
  </si>
  <si>
    <t>Leefbaarheid %</t>
  </si>
  <si>
    <t>Legpercentge</t>
  </si>
  <si>
    <t>Ei poh</t>
  </si>
  <si>
    <t>Eigew.</t>
  </si>
  <si>
    <t>Eimassa</t>
  </si>
  <si>
    <t>VC gah</t>
  </si>
  <si>
    <t>Voeropn. / ei</t>
  </si>
  <si>
    <t>2e soort %</t>
  </si>
  <si>
    <t>Lich. Gew (g)</t>
  </si>
  <si>
    <t>Gem. aanw. Hen.</t>
  </si>
  <si>
    <t>Opgehokte hennen</t>
  </si>
  <si>
    <t>Huidig</t>
  </si>
  <si>
    <t xml:space="preserve">Cum. Gem. </t>
  </si>
  <si>
    <t>Cum. Norm</t>
  </si>
  <si>
    <t>Naam:</t>
  </si>
  <si>
    <t>Stalnummer:</t>
  </si>
  <si>
    <t>Voerleverancier:</t>
  </si>
  <si>
    <t>Aantal hennen:</t>
  </si>
  <si>
    <t>% uitval</t>
  </si>
  <si>
    <t>Leg %</t>
  </si>
  <si>
    <t>eieren POH</t>
  </si>
  <si>
    <t>Eimassa poh (kg)</t>
  </si>
  <si>
    <t>VC (vanaf 18 wkn)</t>
  </si>
  <si>
    <t>Voer per ei (vanaf 18wkn)</t>
  </si>
  <si>
    <t>2e srt cum.</t>
  </si>
  <si>
    <t>Diversen</t>
  </si>
  <si>
    <t>Januari</t>
  </si>
  <si>
    <t>Februari</t>
  </si>
  <si>
    <t>Maart</t>
  </si>
  <si>
    <t>Mei</t>
  </si>
  <si>
    <t>Juni</t>
  </si>
  <si>
    <t>Juli</t>
  </si>
  <si>
    <t>Augustus</t>
  </si>
  <si>
    <t>Oktober</t>
  </si>
  <si>
    <t>Kooi</t>
  </si>
  <si>
    <t>Scharrel traditioneel</t>
  </si>
  <si>
    <t>Vrije uitloop</t>
  </si>
  <si>
    <t>Vrije uitloop Voliere</t>
  </si>
  <si>
    <t>Scharrel Voliere</t>
  </si>
  <si>
    <t>Verrijkte kooi</t>
  </si>
  <si>
    <t>Biologisch</t>
  </si>
  <si>
    <t>Grafiek waarden</t>
  </si>
  <si>
    <t>Leefbaarheid</t>
  </si>
  <si>
    <t>Uitval % per week</t>
  </si>
  <si>
    <t>Leg % (norm)</t>
  </si>
  <si>
    <t>Eigewicht</t>
  </si>
  <si>
    <t>Eigewicht (norm)</t>
  </si>
  <si>
    <t>Lichaamsgewicht</t>
  </si>
  <si>
    <t>Lichaamsgewicht (norm)</t>
  </si>
  <si>
    <t>Opname</t>
  </si>
  <si>
    <t>Eimassa (norm)</t>
  </si>
  <si>
    <t>Opfok</t>
  </si>
  <si>
    <t>2e srt pakstation</t>
  </si>
  <si>
    <t>2e srt legbedrijf</t>
  </si>
  <si>
    <t>Dag hen</t>
  </si>
  <si>
    <t>Cum. voer/hen/dag</t>
  </si>
  <si>
    <t>VC/wk</t>
  </si>
  <si>
    <t>VC cum</t>
  </si>
  <si>
    <t>voer / ei</t>
  </si>
  <si>
    <t>voer / ei cum</t>
  </si>
  <si>
    <t>cum aant. Eieren</t>
  </si>
  <si>
    <t>Norm.</t>
  </si>
  <si>
    <t>Uitval%</t>
  </si>
  <si>
    <t>Uniformiteit</t>
  </si>
  <si>
    <t>cum voeropn. / hen</t>
  </si>
  <si>
    <t>norm min</t>
  </si>
  <si>
    <t>Leg</t>
  </si>
  <si>
    <t>Systeem</t>
  </si>
  <si>
    <t>geb. datum</t>
  </si>
  <si>
    <t>Ras</t>
  </si>
  <si>
    <t>aantal kuikens</t>
  </si>
  <si>
    <t>Resultaten opfok</t>
  </si>
  <si>
    <t>Lichaamsgewicht (g)</t>
  </si>
  <si>
    <t>cum voeropn. (g)</t>
  </si>
  <si>
    <t>W/V verh.</t>
  </si>
  <si>
    <t>Resultaten legperiode</t>
  </si>
  <si>
    <t>Gem. eigewicht</t>
  </si>
  <si>
    <t>Uitval % / wk</t>
  </si>
  <si>
    <t>gem. eigew.</t>
  </si>
  <si>
    <t>ei POH</t>
  </si>
  <si>
    <t>Gem voeropn. Cum</t>
  </si>
  <si>
    <t>Eimassa / Voeropname</t>
  </si>
  <si>
    <t>Voeropn.</t>
  </si>
  <si>
    <t>aant. Ei cum POH</t>
  </si>
  <si>
    <t>Voeder efficientie grafiek</t>
  </si>
  <si>
    <t>g / ei</t>
  </si>
  <si>
    <t>2e soort Grafiek</t>
  </si>
  <si>
    <t>Procentuele sortering eieren</t>
  </si>
  <si>
    <t>Sortering %</t>
  </si>
  <si>
    <t>Cumulatieve sortering eieren</t>
  </si>
  <si>
    <t>Aantal eieren per sortering</t>
  </si>
  <si>
    <t>Samenvatting Grafiek</t>
  </si>
  <si>
    <t>gem. Eigew.</t>
  </si>
  <si>
    <t>Eieren POH</t>
  </si>
  <si>
    <t>Voer / ei</t>
  </si>
  <si>
    <t>Cum voeropn.</t>
  </si>
  <si>
    <t>Nederland</t>
  </si>
  <si>
    <t>بيانات عامة</t>
  </si>
  <si>
    <t>شرح لجدول البيانات</t>
  </si>
  <si>
    <t>يرجى ملأ الخلايا الملونة</t>
  </si>
  <si>
    <t>إسم سجلك سيكون في الخلية رقم ب27</t>
  </si>
  <si>
    <t xml:space="preserve">يمكنك إستعمال هذا النموذج لتسمية سجلك </t>
  </si>
  <si>
    <t>المعلومات المطلوبة</t>
  </si>
  <si>
    <t>كل عملية حسابية ورسم بياني ينتج نفسه من المعلومات</t>
  </si>
  <si>
    <t>تاريخ التفقيس</t>
  </si>
  <si>
    <t>العرق</t>
  </si>
  <si>
    <t>نظام التربية خلال مرحلة إنتاج البيض</t>
  </si>
  <si>
    <t>إسم الشركة\منظمة البيض</t>
  </si>
  <si>
    <t>إسم مزرعة إنتاج البيض</t>
  </si>
  <si>
    <t>عنبر رقم. خلال مرحلة إنتاج البيض</t>
  </si>
  <si>
    <t>البلد</t>
  </si>
  <si>
    <t>العملة</t>
  </si>
  <si>
    <t>العنوان الإلكتروني</t>
  </si>
  <si>
    <t>إسم الملف</t>
  </si>
  <si>
    <t>يرجى إرسال النتائج إلينا</t>
  </si>
  <si>
    <t>النسخ المتوفرة</t>
  </si>
  <si>
    <t xml:space="preserve"> بيانات النمو</t>
  </si>
  <si>
    <t>رسم بيانات النمو</t>
  </si>
  <si>
    <t xml:space="preserve"> بيانات الإنتاج</t>
  </si>
  <si>
    <t>رسم بيانات الإنتاج</t>
  </si>
  <si>
    <t xml:space="preserve"> رسم كتلة البيض &amp; إستهلاك العلف</t>
  </si>
  <si>
    <t>رسم معدل تحويل العلف</t>
  </si>
  <si>
    <t>رسم بياني للبيض درجة ثانية</t>
  </si>
  <si>
    <t>حجم البيض</t>
  </si>
  <si>
    <t xml:space="preserve"> رسم توزيعي لحجم البيض</t>
  </si>
  <si>
    <t xml:space="preserve">حجم البيض التراكمي </t>
  </si>
  <si>
    <t>كشف مالي</t>
  </si>
  <si>
    <t>بيانات الإنتاج</t>
  </si>
  <si>
    <t>ملخص</t>
  </si>
  <si>
    <t>محتويات</t>
  </si>
  <si>
    <t>الوفيات اليومية و الأسبوعية, وزن الجسم,الإستهلاك العلفي و برامج الإضاءة</t>
  </si>
  <si>
    <t>الوفيات,استهلاك العلف, وزن الجسم ومعدل التجانس</t>
  </si>
  <si>
    <t>الإنتاج اليومي والإسبوعي,أوزان البيض والجسم الأسبوعية , إستهلاك وسعر العلف</t>
  </si>
  <si>
    <t xml:space="preserve"> نسبة الحيوية, نسبة الإنتاج, وزن البيض و وزن الجسم</t>
  </si>
  <si>
    <t>كتلة البيض, استهلاك العلف وعدد البيض التراكمي</t>
  </si>
  <si>
    <t xml:space="preserve"> معدل تحويل العلف و معدل تحويل/البيض</t>
  </si>
  <si>
    <t>عدد البيض درجة ثانية الإسبوعي والمتراكم في المزرعة و في محطة التوضيب</t>
  </si>
  <si>
    <t xml:space="preserve">توزيع وزن البيض و عدد البيض المنتج حسب الحجم </t>
  </si>
  <si>
    <t xml:space="preserve"> نسبة توزيع حجم البيض (%) </t>
  </si>
  <si>
    <t>كمية البيض المنتج حسب الحجم</t>
  </si>
  <si>
    <t>كلفة العلف الأسبوعي في طن,كلع,بيضة و دجاجة</t>
  </si>
  <si>
    <t xml:space="preserve">جدول الإنتاج, لمحة عن الأداء الأسبوعي للفوج </t>
  </si>
  <si>
    <t>لمحة مفصلة عن أداء الفوج خلال مرحلة الإنتاج كل خمسة أسابيع</t>
  </si>
  <si>
    <t>السنة</t>
  </si>
  <si>
    <t>الشهر</t>
  </si>
  <si>
    <t>التاريخ</t>
  </si>
  <si>
    <t xml:space="preserve"> مسرورين جداً لتلقي نتائجك الحقلية</t>
  </si>
  <si>
    <t>بهدف خلق بيانات لعدة أعراق ومقارنة أدائهم</t>
  </si>
  <si>
    <t xml:space="preserve">يرجى إرسال هذا المستند على البريد الإلكتروني التالي :  isa.technicalfieldresults@hendrix-genetics.com  </t>
  </si>
  <si>
    <t>النسخة :</t>
  </si>
  <si>
    <t>بيانات مرحلة النمو</t>
  </si>
  <si>
    <t>العمر</t>
  </si>
  <si>
    <t>الوفيات</t>
  </si>
  <si>
    <t>اليومي</t>
  </si>
  <si>
    <t>الاسبوعي</t>
  </si>
  <si>
    <t>التراكمي</t>
  </si>
  <si>
    <t>نقل</t>
  </si>
  <si>
    <t>الوفيات (%)</t>
  </si>
  <si>
    <t>عدد الطيور نهاية الفترة</t>
  </si>
  <si>
    <t>وزن الجسم</t>
  </si>
  <si>
    <t>الحالي (غ)</t>
  </si>
  <si>
    <t>تجانس (%)</t>
  </si>
  <si>
    <t>مقياس</t>
  </si>
  <si>
    <t>الحد الأدنى</t>
  </si>
  <si>
    <t>الحد الأقصى</t>
  </si>
  <si>
    <t>إجمالي إستهلاك العلف (كلغ)</t>
  </si>
  <si>
    <t>إستهلاك العلف التراكمي (كلغ)</t>
  </si>
  <si>
    <t>إستهلاك العلف اليومي لكل طائر (غ)</t>
  </si>
  <si>
    <t>إستهلاك العلف التراكمي لكل طائر (غ)</t>
  </si>
  <si>
    <t>إضاءة</t>
  </si>
  <si>
    <t xml:space="preserve">مدة الإضائة في الساعات </t>
  </si>
  <si>
    <t>الإضاءة في</t>
  </si>
  <si>
    <t>تطعيم أو العمليات</t>
  </si>
  <si>
    <t xml:space="preserve">إسم مزرعة التربية </t>
  </si>
  <si>
    <t>عدد الفراخ عمر يوم واحد</t>
  </si>
  <si>
    <t>نظام السكني</t>
  </si>
  <si>
    <t>رقم الفوج</t>
  </si>
  <si>
    <t>رقم العنبر</t>
  </si>
  <si>
    <t>تاريخ النقل (يوم/شهر/سنة)</t>
  </si>
  <si>
    <t>العمر عند النقل</t>
  </si>
  <si>
    <t>عدد الفراخ المنقولة</t>
  </si>
  <si>
    <t>إستهلاك المياه في الليترات</t>
  </si>
  <si>
    <t xml:space="preserve">الإستهلاك </t>
  </si>
  <si>
    <t>إستهلاك المياه مل/يوم/طير</t>
  </si>
  <si>
    <t>نسبة مياه/علف</t>
  </si>
  <si>
    <t>بيانات مرحلة الإنتاج</t>
  </si>
  <si>
    <t xml:space="preserve">إسم المزرعة </t>
  </si>
  <si>
    <t>التاريخ في عمر 18 أسبوع</t>
  </si>
  <si>
    <t xml:space="preserve">تاريخ النقل: </t>
  </si>
  <si>
    <t>عدد الفراخ المسكنة</t>
  </si>
  <si>
    <t>تاريخ بداية الإسبوع</t>
  </si>
  <si>
    <t>العمر في الأسابيع</t>
  </si>
  <si>
    <t>عدد الطيور نهاية الأسبوع</t>
  </si>
  <si>
    <t>عدد الوفيات الأسبوعية</t>
  </si>
  <si>
    <t>إنتاج البيض اليومي أو الأسبوعي</t>
  </si>
  <si>
    <t>أيام الأسبوع</t>
  </si>
  <si>
    <t>الأحد</t>
  </si>
  <si>
    <t>السبت</t>
  </si>
  <si>
    <t>الجمعة</t>
  </si>
  <si>
    <t>الخميس</t>
  </si>
  <si>
    <t>الأربعاء</t>
  </si>
  <si>
    <t>الثلاثاء</t>
  </si>
  <si>
    <t>الإثنين</t>
  </si>
  <si>
    <t>أو في الأسبوع</t>
  </si>
  <si>
    <t>إنتاج البيض الأسبوعي</t>
  </si>
  <si>
    <t>إنتاج البيض التراكمي</t>
  </si>
  <si>
    <t>درجة ثانية</t>
  </si>
  <si>
    <t>الأسبوعي</t>
  </si>
  <si>
    <t>مزرعة</t>
  </si>
  <si>
    <t>محطة التوضيب</t>
  </si>
  <si>
    <t>عدد التراكمي</t>
  </si>
  <si>
    <t>أسبوع</t>
  </si>
  <si>
    <t>المتراكم</t>
  </si>
  <si>
    <t>وزن البيض (غ)</t>
  </si>
  <si>
    <t>الإستهلاك</t>
  </si>
  <si>
    <t>مياه</t>
  </si>
  <si>
    <t>معدل مياه/علف</t>
  </si>
  <si>
    <t>علف</t>
  </si>
  <si>
    <t>سعر طن العلف</t>
  </si>
  <si>
    <t>الإستهلاك بالكيلوغرام</t>
  </si>
  <si>
    <t>نهاية الأسبوع</t>
  </si>
  <si>
    <t>وزن الجسم (غ)</t>
  </si>
  <si>
    <t>نسبة التجانس (%)</t>
  </si>
  <si>
    <t>المتوسط الأسبوعي</t>
  </si>
  <si>
    <t>تعليق :</t>
  </si>
  <si>
    <t>بيان حجم البيض</t>
  </si>
  <si>
    <t>توزيع وزن البيض</t>
  </si>
  <si>
    <t>صغير</t>
  </si>
  <si>
    <t>متوسط</t>
  </si>
  <si>
    <t>كبير</t>
  </si>
  <si>
    <t>كبير جدا"</t>
  </si>
  <si>
    <t>ضخم</t>
  </si>
  <si>
    <t>جدول توزيع وزن البيض</t>
  </si>
  <si>
    <t>متوسط الوزن الأسبوعي</t>
  </si>
  <si>
    <t>متوسط الوزن الحالي</t>
  </si>
  <si>
    <t>نسب الأحجام</t>
  </si>
  <si>
    <t xml:space="preserve">جدول توزيع وزن البيض بالكمية حسب الحجم </t>
  </si>
  <si>
    <t>أسابيع السنة</t>
  </si>
  <si>
    <t>الإنتاج الأسبوعي للبيض</t>
  </si>
  <si>
    <t>توزيع البيض حسب الحجم</t>
  </si>
  <si>
    <t>متوسط توزيع الأوزان خلال كامل فترة الإنتاج (%)</t>
  </si>
  <si>
    <t>العدد التراكمي للبيض المنتج</t>
  </si>
  <si>
    <t>كلفة الإنتاج</t>
  </si>
  <si>
    <t>العمر بالأسابيع</t>
  </si>
  <si>
    <t>إستهلاك العلف</t>
  </si>
  <si>
    <t>الأسبوعي (كلغ)</t>
  </si>
  <si>
    <t>التراكمي (كلغ)</t>
  </si>
  <si>
    <t>سعر العلف</t>
  </si>
  <si>
    <t>طن/</t>
  </si>
  <si>
    <t>بيضة/</t>
  </si>
  <si>
    <t>كيلغرام/</t>
  </si>
  <si>
    <t>متوسط التراكمي</t>
  </si>
  <si>
    <t>كلفة العلف</t>
  </si>
  <si>
    <t xml:space="preserve"> طير/يوم</t>
  </si>
  <si>
    <t>متوسط التسليم</t>
  </si>
  <si>
    <t>معدل التراكمي</t>
  </si>
  <si>
    <t>إسم المزرعة :</t>
  </si>
  <si>
    <t>رقم العنبر/ نظام السكني</t>
  </si>
  <si>
    <t>تاريخ التفقيس :</t>
  </si>
  <si>
    <t>تاريخ النقل :</t>
  </si>
  <si>
    <t>نسبة الحيوية (%)</t>
  </si>
  <si>
    <t>نسبة الإنتاج (%)</t>
  </si>
  <si>
    <t>عدد البيض/ دجاجة مسكنة</t>
  </si>
  <si>
    <t>وزن البيض/ اسبوع</t>
  </si>
  <si>
    <t>كتلة البيض</t>
  </si>
  <si>
    <t xml:space="preserve">إستهلاك العلف/ دجاجة باليوم </t>
  </si>
  <si>
    <t>استهلاك العلف/بيض</t>
  </si>
  <si>
    <t>تحويل العلف</t>
  </si>
  <si>
    <t>درجة ثانية (%)</t>
  </si>
  <si>
    <t>دجاجة يوم</t>
  </si>
  <si>
    <t>طيور مسكنة</t>
  </si>
  <si>
    <t>حالي</t>
  </si>
  <si>
    <t>معيار التراكمي</t>
  </si>
  <si>
    <t>/يوم</t>
  </si>
  <si>
    <t>أسبوعي</t>
  </si>
  <si>
    <t>موجز</t>
  </si>
  <si>
    <t>الإسم :</t>
  </si>
  <si>
    <t>رقم العنبر:</t>
  </si>
  <si>
    <t>تاريخ النقل:</t>
  </si>
  <si>
    <t>تاريخ التفقيس:</t>
  </si>
  <si>
    <t xml:space="preserve">التاريخ في عمر 18 أسبوع </t>
  </si>
  <si>
    <t>إسم مصنع العلف</t>
  </si>
  <si>
    <t>عدد الفراخ البياضة :</t>
  </si>
  <si>
    <t>(%) الوفيات</t>
  </si>
  <si>
    <t>عدد البيض لكل دجاجة مسكنة</t>
  </si>
  <si>
    <t>كتلة البيض لكل دجاجة مسكنة (كلغ)</t>
  </si>
  <si>
    <t>معدل تحويل العلف 18 اسبوع كلغ/كلغ</t>
  </si>
  <si>
    <t>تحويل العلف/بيض 18 اسبوع (غ)</t>
  </si>
  <si>
    <t>تراكم البيض درجة ثانية (%)</t>
  </si>
  <si>
    <t>مختلف</t>
  </si>
  <si>
    <t>كانون الثاني</t>
  </si>
  <si>
    <t>شباط</t>
  </si>
  <si>
    <t>آذار</t>
  </si>
  <si>
    <t>نيسان</t>
  </si>
  <si>
    <t>آيار</t>
  </si>
  <si>
    <t>حزيران</t>
  </si>
  <si>
    <t>تموز</t>
  </si>
  <si>
    <t>آب</t>
  </si>
  <si>
    <t>ايلول</t>
  </si>
  <si>
    <t>تشرين الأول</t>
  </si>
  <si>
    <t>تشرين الثاني</t>
  </si>
  <si>
    <t>كانون الأول</t>
  </si>
  <si>
    <t>أقفاص</t>
  </si>
  <si>
    <t>حظيرة</t>
  </si>
  <si>
    <t>غير محبوسة</t>
  </si>
  <si>
    <t>غير محبوسة وعدة مستويات</t>
  </si>
  <si>
    <t>فوليير</t>
  </si>
  <si>
    <t>أقفاص كبيرة</t>
  </si>
  <si>
    <t>عضوي</t>
  </si>
  <si>
    <t>رسوم بيانية</t>
  </si>
  <si>
    <t>نسبة الحيوية</t>
  </si>
  <si>
    <t>الوفيات الأسبوعية (%)</t>
  </si>
  <si>
    <t>مقياس نسبة الإنتاج</t>
  </si>
  <si>
    <t>وزن البيض</t>
  </si>
  <si>
    <t>مقياس وزن البيض</t>
  </si>
  <si>
    <t>مقياس وزن الجسم للفراخ البياضة</t>
  </si>
  <si>
    <t>إستهلاك</t>
  </si>
  <si>
    <t>مقياس كتلة البيض اليومي</t>
  </si>
  <si>
    <t>التربية</t>
  </si>
  <si>
    <t xml:space="preserve">محطة توضيب للبيض درجة ثانية </t>
  </si>
  <si>
    <t>درجة ثانية مزرعة</t>
  </si>
  <si>
    <t>دجاجة/يوم</t>
  </si>
  <si>
    <t>تراكم علف/طير/يوم</t>
  </si>
  <si>
    <t>معدل تحويل العلف الأسبوعي</t>
  </si>
  <si>
    <t>معدل تحويل العلف التراكمي</t>
  </si>
  <si>
    <t>معدل تحويل العلف الأسبوعي/بيض</t>
  </si>
  <si>
    <t>معدل تحويل العلف التراكمي/بيض</t>
  </si>
  <si>
    <t>عدد البيض المتراكم</t>
  </si>
  <si>
    <t>التجانس</t>
  </si>
  <si>
    <t>معدل علف/مياه</t>
  </si>
  <si>
    <t>الإستهلاك المتراكم لكل طير</t>
  </si>
  <si>
    <t>مقياس الحد الأدنى</t>
  </si>
  <si>
    <t>مرحلة الإنتاج</t>
  </si>
  <si>
    <t>مرحلة النمو</t>
  </si>
  <si>
    <t>عدد الصيصان عمر يوم واحد</t>
  </si>
  <si>
    <t>الأداء خلال فترة النمو</t>
  </si>
  <si>
    <t>وزن الجسم بالغرام</t>
  </si>
  <si>
    <t>إستهلاك العلف التراكمي بالغرام</t>
  </si>
  <si>
    <t>التجانس (%)</t>
  </si>
  <si>
    <t>معدل المياه/علف</t>
  </si>
  <si>
    <t>الأداء خلال فترة الإنتاج</t>
  </si>
  <si>
    <t>الحيوية (%)</t>
  </si>
  <si>
    <t>متوسط وزن البيض</t>
  </si>
  <si>
    <t>معدل الإنتاج</t>
  </si>
  <si>
    <t>معدل تحويل العلف</t>
  </si>
  <si>
    <t>متوسط الإستهلاك التراكمي</t>
  </si>
  <si>
    <t>كتلة البيض/ إستهلاك العلف</t>
  </si>
  <si>
    <t>كتلة البيض بالغرام/يوم</t>
  </si>
  <si>
    <t>إستهلاك العلف بالغرام</t>
  </si>
  <si>
    <t>عدد البيض التراكمي لكل دجاجة مسكنة</t>
  </si>
  <si>
    <t>نسب تحويل العلف</t>
  </si>
  <si>
    <t>غرام لكل بيضة</t>
  </si>
  <si>
    <t>معدل</t>
  </si>
  <si>
    <t xml:space="preserve"> بيض درجة ثانية (%)</t>
  </si>
  <si>
    <t>نسبة أحجام البيض</t>
  </si>
  <si>
    <t>احجام (%)</t>
  </si>
  <si>
    <t>أحجام البيض المتراكمة</t>
  </si>
  <si>
    <t>عدد البيض حسب الحجم</t>
  </si>
  <si>
    <t>رسم ملخص</t>
  </si>
  <si>
    <t>بيض/دجاجة مسكنة</t>
  </si>
  <si>
    <t>معدل تحويل العلف بالبيضة</t>
  </si>
  <si>
    <t>إستهلاك العلف التراكمي</t>
  </si>
  <si>
    <t xml:space="preserve"> أسبوع</t>
  </si>
  <si>
    <t>Haupteingabe</t>
  </si>
  <si>
    <t>Arbeitsanweisung</t>
  </si>
  <si>
    <t>Bitte die farbigen  Cellen auffüllen</t>
  </si>
  <si>
    <t>Ihr Dokumentenname wird in Celle B27</t>
  </si>
  <si>
    <t>Sie können dieses Fromat sur Benennung des Dokumentes</t>
  </si>
  <si>
    <t>benötigte Information</t>
  </si>
  <si>
    <t>Die Berechnungen für die Graphen werden automatisch erstellt.</t>
  </si>
  <si>
    <t>In folgende Arbeitsblätter muss eingetragen werden: Eingabe Allgemein, Eingabe Aufzucht, Eingabe Lege</t>
  </si>
  <si>
    <t>Schlupfdatum</t>
  </si>
  <si>
    <t>Zucht/ Genetik</t>
  </si>
  <si>
    <t>Einrichtungssystem durch die Legeperiode</t>
  </si>
  <si>
    <t>Firmenname, Eierorganisation</t>
  </si>
  <si>
    <t>Betriebsname</t>
  </si>
  <si>
    <t>Stallnummer</t>
  </si>
  <si>
    <t>aktuell</t>
  </si>
  <si>
    <t>Berater Kontakt</t>
  </si>
  <si>
    <t>Eingefüllter Name</t>
  </si>
  <si>
    <t>Bitte senden sie ihre Ergebnisse zu uns</t>
  </si>
  <si>
    <t>Auswahl Blatt</t>
  </si>
  <si>
    <t>Eingabe Aufzucht</t>
  </si>
  <si>
    <t>Aufzuchtgraf</t>
  </si>
  <si>
    <t>Eingabe Lege</t>
  </si>
  <si>
    <t>Legeleistungsgrafik</t>
  </si>
  <si>
    <t>Masse- &amp; Verbrauchsgrafik</t>
  </si>
  <si>
    <t>Futterverwertungsgrafik</t>
  </si>
  <si>
    <t>Grafik für eigene Sortierung</t>
  </si>
  <si>
    <t>Eiersortierung</t>
  </si>
  <si>
    <t>Graf. Größenverteilung</t>
  </si>
  <si>
    <t>Eisortierung kum.</t>
  </si>
  <si>
    <t>Finanselles Blatt</t>
  </si>
  <si>
    <t>Produktionsdaten</t>
  </si>
  <si>
    <t>Summe</t>
  </si>
  <si>
    <t>Aktuell</t>
  </si>
  <si>
    <t>Tägliche und wöchentliche Moratlität, Körpergewicht, Verbrauch und Lichtprogramm.</t>
  </si>
  <si>
    <t>Mortalität, Futterverbrauch, Körpergewicht und Uniformität</t>
  </si>
  <si>
    <t>Tägliche und wöchentliche Produktion, wöchentliches Ei- und Körpergewicht, Verbrauchs- und Futterpreis.</t>
  </si>
  <si>
    <t>Lebensfähigkeit, % Lege, Eigewicht und Körpergeicht</t>
  </si>
  <si>
    <t>Eimasse, Ver rauch und kum. Eiansahl</t>
  </si>
  <si>
    <t>Futterverwertungsrate und Futterverwertung pro Ei</t>
  </si>
  <si>
    <t>Graph für die Farmsortierung und Eierhändlersortierung</t>
  </si>
  <si>
    <t>Eigewichtsverteilung und Anzahl von produzierten Eiern pro Sorte</t>
  </si>
  <si>
    <t>% Eisortierung Reperation</t>
  </si>
  <si>
    <t>Quantitative Eiproduktion pro Sortierung</t>
  </si>
  <si>
    <t>Wöchentliche Futterkosten pro Tonne, kg Ei und Vogel.</t>
  </si>
  <si>
    <t>Übersicht über die Produktionsdaten der Herden jede Woche</t>
  </si>
  <si>
    <t>Detailierte Übersicht über die Herdendaten durch die Legeperiode alle 5 Wochen</t>
  </si>
  <si>
    <t>Jahr</t>
  </si>
  <si>
    <t>Monat</t>
  </si>
  <si>
    <t>Wir wären sehr dankbar für die Rückgabe ihrer Daten.</t>
  </si>
  <si>
    <t>In Zusammenarbeit wird eine Übersicht über verschiedene Genitiken und deren Leistungen gesammelt.</t>
  </si>
  <si>
    <t>Die Übersicht ist möglich für alle ISA Mitarbeiter über OxyGen</t>
  </si>
  <si>
    <t xml:space="preserve">Bitte senden sie das Dokument zu: isa.technicalfieldresults@hendrix-genetics.com </t>
  </si>
  <si>
    <t>Version</t>
  </si>
  <si>
    <t>Aufsuchteingabe</t>
  </si>
  <si>
    <t>Alter</t>
  </si>
  <si>
    <t>Mortalität</t>
  </si>
  <si>
    <t>Täglich</t>
  </si>
  <si>
    <t>wöchentlich</t>
  </si>
  <si>
    <t>Austausch</t>
  </si>
  <si>
    <t>Mortalität  %</t>
  </si>
  <si>
    <t>Anzahl an Hennen am ende der Periode</t>
  </si>
  <si>
    <t>Körpergewicht</t>
  </si>
  <si>
    <t>aktuell (g)</t>
  </si>
  <si>
    <t>Uniformität  %</t>
  </si>
  <si>
    <t>Standart</t>
  </si>
  <si>
    <t>min</t>
  </si>
  <si>
    <t>Totale Futteraufnahme (kg)</t>
  </si>
  <si>
    <t>kum. Futteraufname (kg.)</t>
  </si>
  <si>
    <t>tägliche Futteraufnahme pro Henne (g)</t>
  </si>
  <si>
    <t>kum. Futteraufname pro Henne (kg.)</t>
  </si>
  <si>
    <t>Lichtdauer in Std.</t>
  </si>
  <si>
    <t>Licht an ab</t>
  </si>
  <si>
    <t>Impfungen oder Aktionen</t>
  </si>
  <si>
    <t>Name der Aufsuchtfarm</t>
  </si>
  <si>
    <t>Anzahl an Eintagsküken</t>
  </si>
  <si>
    <t>Stalleinrichtung</t>
  </si>
  <si>
    <t>Herdennr.</t>
  </si>
  <si>
    <t>Stallnr.</t>
  </si>
  <si>
    <t>Tranportdatum (Tag/Monat/Jahr)</t>
  </si>
  <si>
    <t>Alter beim Transport</t>
  </si>
  <si>
    <t>Wochen</t>
  </si>
  <si>
    <t>Tage</t>
  </si>
  <si>
    <t>Anzahl an eingestallten Junghennne</t>
  </si>
  <si>
    <t>Wasserverbrauch in Litern</t>
  </si>
  <si>
    <t>Verbrauch</t>
  </si>
  <si>
    <t>Wasserverbrauch ml/Tag/Henne</t>
  </si>
  <si>
    <t>Wasser-/ Futterverhältniss</t>
  </si>
  <si>
    <t>Legeeingabe</t>
  </si>
  <si>
    <t>Datum der 18. Lebenswoche</t>
  </si>
  <si>
    <t>Umstallungsdatum</t>
  </si>
  <si>
    <t>Datum des Wochenbeginns</t>
  </si>
  <si>
    <t>Lebenswochen</t>
  </si>
  <si>
    <t>Anzahl an Tieren am Ende der Woche</t>
  </si>
  <si>
    <t>Wöchentliche Mortalität Anzahl an Tieren</t>
  </si>
  <si>
    <t>Eiproduktion pro Tag oder pro Woche</t>
  </si>
  <si>
    <t>Wochentag</t>
  </si>
  <si>
    <t>Mo.</t>
  </si>
  <si>
    <t>Di.</t>
  </si>
  <si>
    <t>Mi.</t>
  </si>
  <si>
    <t>Do.</t>
  </si>
  <si>
    <t>Fr.</t>
  </si>
  <si>
    <t>Sa.</t>
  </si>
  <si>
    <t>So.</t>
  </si>
  <si>
    <t>oder pro Woche</t>
  </si>
  <si>
    <t>wöchentliche Eiproduktion</t>
  </si>
  <si>
    <t>kum. Eiproduktion</t>
  </si>
  <si>
    <t>zweit</t>
  </si>
  <si>
    <t>Betrieb</t>
  </si>
  <si>
    <t>Eierhändler</t>
  </si>
  <si>
    <t>kum. Nummer</t>
  </si>
  <si>
    <t>Woche</t>
  </si>
  <si>
    <t>kum.</t>
  </si>
  <si>
    <t>Wasser</t>
  </si>
  <si>
    <t>Wasserverbrauch in L</t>
  </si>
  <si>
    <t>Wasser-/Futterverhältnis</t>
  </si>
  <si>
    <t>Futter</t>
  </si>
  <si>
    <t>Preis pro Tonne</t>
  </si>
  <si>
    <t>Aufnahme in kg</t>
  </si>
  <si>
    <t>Ende der Woche</t>
  </si>
  <si>
    <t>Körpergewicht (g)</t>
  </si>
  <si>
    <t>wöchentlicher Durchschnitt</t>
  </si>
  <si>
    <t>Kommentare</t>
  </si>
  <si>
    <t>Eisortierungs Einfluss</t>
  </si>
  <si>
    <t>Eigewichtsverteilung</t>
  </si>
  <si>
    <t>Tisch der Eigewichtsverteilung</t>
  </si>
  <si>
    <t>Durchschnittsgewicht Woche</t>
  </si>
  <si>
    <t>aktuelles Durchschnittsgewicht</t>
  </si>
  <si>
    <t>prozentuale Sortierung</t>
  </si>
  <si>
    <t>Tisch der Eigewichtsverteilung im Volumen der Sortierung</t>
  </si>
  <si>
    <t>Kalenderwoche</t>
  </si>
  <si>
    <t>wöchentlich produzierte Eier</t>
  </si>
  <si>
    <t>Eiverteilung pro Sortierung</t>
  </si>
  <si>
    <t>durchschnittes Eigewicht über die ganze Produktionperiode (%)</t>
  </si>
  <si>
    <t>kumulaive Anzahl an produzierten Eiern</t>
  </si>
  <si>
    <t>Produktionskosten</t>
  </si>
  <si>
    <t>Futterverbrauch</t>
  </si>
  <si>
    <t>wöchentliche (kg)</t>
  </si>
  <si>
    <t>kum (kg)</t>
  </si>
  <si>
    <t>Futterpreis</t>
  </si>
  <si>
    <t>t</t>
  </si>
  <si>
    <t>Ei</t>
  </si>
  <si>
    <t>kg</t>
  </si>
  <si>
    <t>Kumulativer durchschnitt</t>
  </si>
  <si>
    <t>Futterkosten</t>
  </si>
  <si>
    <t>Henne/Tag</t>
  </si>
  <si>
    <t>durchschnittliche Lieferung</t>
  </si>
  <si>
    <t>wöchentliche</t>
  </si>
  <si>
    <t>Produktionsdatum</t>
  </si>
  <si>
    <t>Stallnr. / Einrichtungssystem</t>
  </si>
  <si>
    <t>Transportdatum</t>
  </si>
  <si>
    <t>Anzahl an eingestallten Hennen</t>
  </si>
  <si>
    <t>Einrichtungssystem</t>
  </si>
  <si>
    <t>Lebneswochen</t>
  </si>
  <si>
    <t>Lebensfähigkeit %</t>
  </si>
  <si>
    <t>Legeleistung</t>
  </si>
  <si>
    <t>Eianzahl eingestallte Hennen</t>
  </si>
  <si>
    <t>Eigewicht/ Woche</t>
  </si>
  <si>
    <t>Eimasse</t>
  </si>
  <si>
    <t>Futteraufnahme je anwesende Hennesd</t>
  </si>
  <si>
    <t>Futterverwertung / Ei</t>
  </si>
  <si>
    <t>Futterverwertung</t>
  </si>
  <si>
    <t>Zweitsortierung %</t>
  </si>
  <si>
    <t>Hennen Tag</t>
  </si>
  <si>
    <t>eingestallte Hennen</t>
  </si>
  <si>
    <t>std.</t>
  </si>
  <si>
    <t>kum. Durchschnitt</t>
  </si>
  <si>
    <t>kum. Std.</t>
  </si>
  <si>
    <t>Tag</t>
  </si>
  <si>
    <t>Name</t>
  </si>
  <si>
    <t>Datum der 18. LW</t>
  </si>
  <si>
    <t>Futterlieferant</t>
  </si>
  <si>
    <t>Anzahl von Hennen</t>
  </si>
  <si>
    <t>% Moratalität</t>
  </si>
  <si>
    <t>% Legeleistung</t>
  </si>
  <si>
    <t>Eianzahl pro eingestallte Henne</t>
  </si>
  <si>
    <t>Eimasse pro eingestallte Henne (kg)</t>
  </si>
  <si>
    <t>Futterverwertung LW 18 kg/kg</t>
  </si>
  <si>
    <t>Futterverwertung/ Ei LW 18 (g)</t>
  </si>
  <si>
    <t>kum. Zweitsortierung %</t>
  </si>
  <si>
    <t>Verschiedenes</t>
  </si>
  <si>
    <t>Januar</t>
  </si>
  <si>
    <t>Februar</t>
  </si>
  <si>
    <t>März</t>
  </si>
  <si>
    <t>Dezember</t>
  </si>
  <si>
    <t>Käfig</t>
  </si>
  <si>
    <t>Bodenhaltung</t>
  </si>
  <si>
    <t>Freiland</t>
  </si>
  <si>
    <t>Freiland multi tier</t>
  </si>
  <si>
    <t>Kleingruppe</t>
  </si>
  <si>
    <t>biologisch</t>
  </si>
  <si>
    <t>Preisgrafik</t>
  </si>
  <si>
    <t>Lebensfähigkeit</t>
  </si>
  <si>
    <t>wöchentliche mortalität %</t>
  </si>
  <si>
    <t>Legeleistung %</t>
  </si>
  <si>
    <t>Legerate std.</t>
  </si>
  <si>
    <t>Eigewicht std.</t>
  </si>
  <si>
    <t>Legehennen Körpergewicht standart</t>
  </si>
  <si>
    <t>Kontra</t>
  </si>
  <si>
    <t>tägliche Eimasse std.</t>
  </si>
  <si>
    <t>Aufzucht</t>
  </si>
  <si>
    <t>Zweitsortierung Packstelle</t>
  </si>
  <si>
    <t>Zweitsortierung Stall</t>
  </si>
  <si>
    <t>Eierpackstelle</t>
  </si>
  <si>
    <t>Tag Henne</t>
  </si>
  <si>
    <t>kum. Futter/Henne/Tag</t>
  </si>
  <si>
    <t>wöchentliche Futterverwertung</t>
  </si>
  <si>
    <t>kum. Futterverwertung</t>
  </si>
  <si>
    <t>wöchentliche Futterverwertung/Ei</t>
  </si>
  <si>
    <t>kum. Futterverwertung/Ei</t>
  </si>
  <si>
    <t>Kumulative Eianzahl</t>
  </si>
  <si>
    <t>Mortalität %</t>
  </si>
  <si>
    <t>Uniformität %</t>
  </si>
  <si>
    <t>Futter-/Wasserverhältniss</t>
  </si>
  <si>
    <t>kum. Verbrauch pro Huhn</t>
  </si>
  <si>
    <t>legend</t>
  </si>
  <si>
    <t>Zucht</t>
  </si>
  <si>
    <t>Anzahl eingestallte Hennen</t>
  </si>
  <si>
    <t>Anzahl Eintagsküken</t>
  </si>
  <si>
    <t>Aufzuchtleistung</t>
  </si>
  <si>
    <t>Körpergewicht in g</t>
  </si>
  <si>
    <t>kum. Futterverbrauch in g</t>
  </si>
  <si>
    <t>Wasser-/Futterverhältniss</t>
  </si>
  <si>
    <t>durchschnittliches Eigewicht</t>
  </si>
  <si>
    <t>Eier pro eingestalltes Huhn</t>
  </si>
  <si>
    <t xml:space="preserve">Futterverwertung </t>
  </si>
  <si>
    <t>durchschnittlicher kum. Verbrauch</t>
  </si>
  <si>
    <t>Eimasse/Futterverwertung</t>
  </si>
  <si>
    <t>Eimasse in g/Tag</t>
  </si>
  <si>
    <t>futterverbrauch in g</t>
  </si>
  <si>
    <t>kum. Nr. von Eiern pro eingestalltes Huhn</t>
  </si>
  <si>
    <t>Futterverwertungsrate</t>
  </si>
  <si>
    <t>g pro Ei</t>
  </si>
  <si>
    <t>Verhältniss</t>
  </si>
  <si>
    <t>Abstufungsdiagramm</t>
  </si>
  <si>
    <t>Zweitsorteriung %</t>
  </si>
  <si>
    <t>prozentuale Eisortierung</t>
  </si>
  <si>
    <t>Sortierung %</t>
  </si>
  <si>
    <t>kum. Eisortierung</t>
  </si>
  <si>
    <t>Eianzahl pro Sorte</t>
  </si>
  <si>
    <t>Zusammenfassende Aufzeichnung</t>
  </si>
  <si>
    <t>Ei/eingestalltes Huhn</t>
  </si>
  <si>
    <t>Futterverwertung Ei</t>
  </si>
  <si>
    <t>kum. Futterverbrauch</t>
  </si>
  <si>
    <t>Input umum</t>
  </si>
  <si>
    <t>Lembar penjelasan</t>
  </si>
  <si>
    <t>Silahkan mengisi di sel yang diwarnai</t>
  </si>
  <si>
    <t>Nama dokumen Anda akan berada di sel B25</t>
  </si>
  <si>
    <t>Anda dapat menggunakan format ini untuk memberi nama dokumen anda.</t>
  </si>
  <si>
    <t>Informasi yang dibutuhkan</t>
  </si>
  <si>
    <t>Setiap perhitungan dan grafik akan dihasilkan dari data</t>
  </si>
  <si>
    <t>Masukan dalam lembar kerja "input umum", "input growing" dan "input laying".</t>
  </si>
  <si>
    <t>Tanggal menetas</t>
  </si>
  <si>
    <t>Jenis Bibit</t>
  </si>
  <si>
    <t>Sistem kandang selama periode bertelur</t>
  </si>
  <si>
    <t>Nama Perusahaan/ Organisasi</t>
  </si>
  <si>
    <t xml:space="preserve">Nama Farm </t>
  </si>
  <si>
    <t>Nomor Kandang selama periode produksi</t>
  </si>
  <si>
    <t>Negara</t>
  </si>
  <si>
    <t>Mata uang</t>
  </si>
  <si>
    <t>Kontak e-mail</t>
  </si>
  <si>
    <t>Nama file</t>
  </si>
  <si>
    <t>Silakan kirim hasil anda kepada kami.</t>
  </si>
  <si>
    <t>Lembar tersedia</t>
  </si>
  <si>
    <t>Input growing</t>
  </si>
  <si>
    <t>Grafik growing</t>
  </si>
  <si>
    <t>Input laying</t>
  </si>
  <si>
    <t>Grafik laying</t>
  </si>
  <si>
    <t>Grafik Egg mass &amp; kons. pakan</t>
  </si>
  <si>
    <t>Grafik FCR</t>
  </si>
  <si>
    <t>Grafik non standar</t>
  </si>
  <si>
    <t>Grading Telur</t>
  </si>
  <si>
    <t>Grafik grading telur</t>
  </si>
  <si>
    <t>Kum. telur grading</t>
  </si>
  <si>
    <t>Lembar keuangan</t>
  </si>
  <si>
    <t>Data produksi</t>
  </si>
  <si>
    <t>Ringkasan</t>
  </si>
  <si>
    <t>Daftar Isi</t>
  </si>
  <si>
    <t>Kematian harian dan mingguan, berat badan, konsumsi dan program pencahayaan.</t>
  </si>
  <si>
    <t>Kematian, konsumsi pakan, berat badan dan keseragaman</t>
  </si>
  <si>
    <t>Produksi harian dan mingguan, berat telur dan berat badan mingguan, konsumsi dan harga pakan.</t>
  </si>
  <si>
    <t>Daya hidup, % produksi , berat telur dan berat badan</t>
  </si>
  <si>
    <t>Egg mass, konsumsi dan kum. Jml. telur</t>
  </si>
  <si>
    <t>Rasio konversi pakan dan konversi pakan / telur</t>
  </si>
  <si>
    <t>Non standar dari farm , dari gudang telur, mingguan dan kumulatif</t>
  </si>
  <si>
    <t>Distribusi berat telur dan jumlah telur yang dihasilkan per grade</t>
  </si>
  <si>
    <t>% pembagian grading telur</t>
  </si>
  <si>
    <t>Jumlah telur yang dihasilkan per grading</t>
  </si>
  <si>
    <t>Biaya pakan mingguan dalam ton, kg, telur dan ayam.</t>
  </si>
  <si>
    <t>Grafik produksi, gambaran performa flock setiap minggu</t>
  </si>
  <si>
    <t>Gambaran rinci tentang performa flock selama periode bertelur setiap 5 minggu</t>
  </si>
  <si>
    <t>Tahun</t>
  </si>
  <si>
    <t>Bulan</t>
  </si>
  <si>
    <t>Tanggal</t>
  </si>
  <si>
    <t>Kami akan sangat senang menerima hasil anda</t>
  </si>
  <si>
    <t>Dalam rangka menciptakan gambaran jenis bibit (breed)  yang berbeda dan membandingkan performa mereka.</t>
  </si>
  <si>
    <t>Gambaran ikhtisarnya akan tersedia pada oksigen untuk semua karyawan ISA</t>
  </si>
  <si>
    <t>Silakan kirim dokumen ini ke: isa.technicalfieldresults @ hendrix-genetics.com</t>
  </si>
  <si>
    <t>Versi:</t>
  </si>
  <si>
    <t>Umur</t>
  </si>
  <si>
    <t>Deplesi</t>
  </si>
  <si>
    <t>Harian</t>
  </si>
  <si>
    <t>Mingguan</t>
  </si>
  <si>
    <t>Deplesi (%)</t>
  </si>
  <si>
    <t>Jumlah ayam akhir periode</t>
  </si>
  <si>
    <t>Berat badan</t>
  </si>
  <si>
    <t>Aktual (g)</t>
  </si>
  <si>
    <t>Keseragaman (%)</t>
  </si>
  <si>
    <t>Standar</t>
  </si>
  <si>
    <t>Total kons. pakan (kg)</t>
  </si>
  <si>
    <t>Kum. Kons. pakan  (kg)</t>
  </si>
  <si>
    <t>Kons. pakan harian per ekor (g)</t>
  </si>
  <si>
    <t>Kum. Kons. pakan per ekor (g)</t>
  </si>
  <si>
    <t xml:space="preserve">Pencahayaan </t>
  </si>
  <si>
    <t>Lama pencahayaan (jam)</t>
  </si>
  <si>
    <t>Lampu menyala</t>
  </si>
  <si>
    <t xml:space="preserve">Vaksinasi atau pelaksanaan </t>
  </si>
  <si>
    <t>Nama farm growing</t>
  </si>
  <si>
    <t>Jumlah DOC</t>
  </si>
  <si>
    <t>Sistem kandang</t>
  </si>
  <si>
    <t>Nomor Flock . :</t>
  </si>
  <si>
    <t>Nomor Kandang .</t>
  </si>
  <si>
    <t>Tanggal transfer (tgl /bln /tahun)</t>
  </si>
  <si>
    <t>Umur saat transfer</t>
  </si>
  <si>
    <t>Jumlah pullet yang ditransfer</t>
  </si>
  <si>
    <t>Konsumsi air (liter)</t>
  </si>
  <si>
    <t>Konsumsi</t>
  </si>
  <si>
    <t>Konsumsi air ml / hari / ayam</t>
  </si>
  <si>
    <t>Rasio air / pakan</t>
  </si>
  <si>
    <t>Nama Farm:</t>
  </si>
  <si>
    <t>No. Kandang :</t>
  </si>
  <si>
    <t>Tanggal menetas:</t>
  </si>
  <si>
    <t>Tanggal saat umur 18 minggu:</t>
  </si>
  <si>
    <t>Tanggal transfer:</t>
  </si>
  <si>
    <t>Jumlah ayam produksi di kandang :</t>
  </si>
  <si>
    <t>Tanggal awal minggu</t>
  </si>
  <si>
    <t>Umur (minggu)</t>
  </si>
  <si>
    <t>Jumlah ayam akhir minggu</t>
  </si>
  <si>
    <t>Jumlah deplesi ayam mingguan</t>
  </si>
  <si>
    <t>Produksi telur per hari atau per minggu</t>
  </si>
  <si>
    <t>Hari</t>
  </si>
  <si>
    <t>Sen.</t>
  </si>
  <si>
    <t>Sel.</t>
  </si>
  <si>
    <t>Rab.</t>
  </si>
  <si>
    <t>Kam.</t>
  </si>
  <si>
    <t>Jum.</t>
  </si>
  <si>
    <t>Atau per minggu</t>
  </si>
  <si>
    <t>Produksi telur Mingguan</t>
  </si>
  <si>
    <t>Produksi Telur Kumulatif</t>
  </si>
  <si>
    <t>Telur non standar (%)</t>
  </si>
  <si>
    <t>Gudang telur</t>
  </si>
  <si>
    <t>Jml. Kum.</t>
  </si>
  <si>
    <t>Minggu</t>
  </si>
  <si>
    <t>Kumulatif</t>
  </si>
  <si>
    <t>Berat telur (g)</t>
  </si>
  <si>
    <t>Air</t>
  </si>
  <si>
    <t>Konsumsi air ml / hari / ekor</t>
  </si>
  <si>
    <t>Rasio air /  pakan</t>
  </si>
  <si>
    <t>Pakan</t>
  </si>
  <si>
    <t>Harga per ton</t>
  </si>
  <si>
    <t>Konsumsi pakan (kg)</t>
  </si>
  <si>
    <t>Akhir minggu</t>
  </si>
  <si>
    <t>Berat Badan (g)</t>
  </si>
  <si>
    <t>Rata-rata mingguan</t>
  </si>
  <si>
    <t>Komentar</t>
  </si>
  <si>
    <t>Input grading telur</t>
  </si>
  <si>
    <t>Distribusi berat telur</t>
  </si>
  <si>
    <t>maks.</t>
  </si>
  <si>
    <t>Tabel distribusi berat telur</t>
  </si>
  <si>
    <t>Rata-rata berat mingguan</t>
  </si>
  <si>
    <t>Berat rata-rata saat ini</t>
  </si>
  <si>
    <t>Persentase grade</t>
  </si>
  <si>
    <t>Tabel distribusi berat telur dalam volume per grade</t>
  </si>
  <si>
    <t xml:space="preserve">Minggu </t>
  </si>
  <si>
    <t>Produksi telur mingguan</t>
  </si>
  <si>
    <t>Grading telur per grade</t>
  </si>
  <si>
    <t>Rata-rata distribusi berat telur seluruh produksi ( % )</t>
  </si>
  <si>
    <t>Kumulatif jumlah telur yang diproduksi</t>
  </si>
  <si>
    <t>Biaya produksi</t>
  </si>
  <si>
    <t>Konsumsi pakan</t>
  </si>
  <si>
    <t>Mingguan (kg)</t>
  </si>
  <si>
    <t>Kum. (kg)</t>
  </si>
  <si>
    <t>Harga pakan</t>
  </si>
  <si>
    <t>/ ton</t>
  </si>
  <si>
    <t>/ telur</t>
  </si>
  <si>
    <t>/ kg</t>
  </si>
  <si>
    <t>Rata-rata kumulatif</t>
  </si>
  <si>
    <t>Biaya pakan</t>
  </si>
  <si>
    <t>/ ekor / hari</t>
  </si>
  <si>
    <t>Rata-rata pengiriman</t>
  </si>
  <si>
    <t>No. Kandang / Sistem kandang :</t>
  </si>
  <si>
    <t>Tanggal menetas :</t>
  </si>
  <si>
    <t>Tanggal transfer :</t>
  </si>
  <si>
    <t xml:space="preserve">No. Kandang </t>
  </si>
  <si>
    <t>Daya hidup (%)</t>
  </si>
  <si>
    <t>Tingkat produksi telur</t>
  </si>
  <si>
    <t>Jumlah telur HH</t>
  </si>
  <si>
    <t>Berat telur / minggu</t>
  </si>
  <si>
    <t>Konsumsi pakan HD</t>
  </si>
  <si>
    <t>Konsumsi pakan / telur</t>
  </si>
  <si>
    <t>Konversi pakan</t>
  </si>
  <si>
    <t>Telur non standar ( % )</t>
  </si>
  <si>
    <t>Berat badan (g)</t>
  </si>
  <si>
    <t>Hen day (HD)</t>
  </si>
  <si>
    <t xml:space="preserve">Jml. ayam awal </t>
  </si>
  <si>
    <t>Aktual</t>
  </si>
  <si>
    <t>Rata-rata kum.</t>
  </si>
  <si>
    <t>Standar kum.</t>
  </si>
  <si>
    <t>/ hari</t>
  </si>
  <si>
    <t>Nama:</t>
  </si>
  <si>
    <t>Perusahaan pakan :</t>
  </si>
  <si>
    <t>Jumlah ayam petelur:</t>
  </si>
  <si>
    <t>Sistem perkandangan:</t>
  </si>
  <si>
    <t>% Deplesi</t>
  </si>
  <si>
    <t xml:space="preserve">% kenaikan produksi </t>
  </si>
  <si>
    <t>Jumlah telur per HH</t>
  </si>
  <si>
    <t>Egg mass per HH (kg)</t>
  </si>
  <si>
    <t>F.C.R. 18 minggu kg / kg</t>
  </si>
  <si>
    <t>F.C. / telur 18 minggu (g)</t>
  </si>
  <si>
    <t>Kum. non standar (%)</t>
  </si>
  <si>
    <t>Perbedaan</t>
  </si>
  <si>
    <t>Maret</t>
  </si>
  <si>
    <t>Agustus</t>
  </si>
  <si>
    <t>Desember</t>
  </si>
  <si>
    <t>Baterai</t>
  </si>
  <si>
    <t>Postal</t>
  </si>
  <si>
    <t>Organik</t>
  </si>
  <si>
    <t>Angka grafik</t>
  </si>
  <si>
    <t>Daya hidup</t>
  </si>
  <si>
    <t>Deplesi mingguan (%)</t>
  </si>
  <si>
    <t>Prod.  (%)</t>
  </si>
  <si>
    <t xml:space="preserve">Std. kenaikan prod. </t>
  </si>
  <si>
    <t>Berat telur</t>
  </si>
  <si>
    <t>Std. berat telur</t>
  </si>
  <si>
    <t>Std. berat badan produksi</t>
  </si>
  <si>
    <t>Kons.</t>
  </si>
  <si>
    <t>Std. egg mass harian</t>
  </si>
  <si>
    <t>Growing</t>
  </si>
  <si>
    <t>Non standar dari gudang telur</t>
  </si>
  <si>
    <t>Non standar dari farm</t>
  </si>
  <si>
    <t>Hen Day (HD)</t>
  </si>
  <si>
    <t>Kum. pakan / ekor / hari</t>
  </si>
  <si>
    <t>FCR mingguan</t>
  </si>
  <si>
    <t>FCR kum.</t>
  </si>
  <si>
    <t xml:space="preserve"> FCR / telur mingguan</t>
  </si>
  <si>
    <t xml:space="preserve"> FCR  / telur kum.</t>
  </si>
  <si>
    <t>Kumulatif Jumlah telur</t>
  </si>
  <si>
    <t>Keseragaman</t>
  </si>
  <si>
    <t>Rasio pakan /  air</t>
  </si>
  <si>
    <t>kons. Kum. / ekor</t>
  </si>
  <si>
    <t>Std. min.</t>
  </si>
  <si>
    <t>Nomor kandang</t>
  </si>
  <si>
    <t>Jenis bibit</t>
  </si>
  <si>
    <t>Jml. ayam awal</t>
  </si>
  <si>
    <t>Performa growing</t>
  </si>
  <si>
    <t>kum. Kons. Pakan (g)</t>
  </si>
  <si>
    <t xml:space="preserve">Performa produksi </t>
  </si>
  <si>
    <t>Berat telur rata-rata</t>
  </si>
  <si>
    <t xml:space="preserve">Tingkat produksi </t>
  </si>
  <si>
    <t>Telur per HH</t>
  </si>
  <si>
    <t>Rata-rata Kum. Kons.</t>
  </si>
  <si>
    <t>Egg mass / konsumsi pakan</t>
  </si>
  <si>
    <t>Egg mass (g )/ hari</t>
  </si>
  <si>
    <t>Konsumsi pakan (g)</t>
  </si>
  <si>
    <t>Kum. Jumlah telur per HH</t>
  </si>
  <si>
    <t>Tingkat konversi pakan (FCR)</t>
  </si>
  <si>
    <t>G per telur</t>
  </si>
  <si>
    <t>Perbandingan</t>
  </si>
  <si>
    <t>Non standar (% )</t>
  </si>
  <si>
    <t>Persentase telur grading</t>
  </si>
  <si>
    <t>Grading (%)</t>
  </si>
  <si>
    <t>Kumulatif Telur grading</t>
  </si>
  <si>
    <t>Jumlah telur per grade</t>
  </si>
  <si>
    <t>Tabel ringkasan</t>
  </si>
  <si>
    <t>Telur / HH</t>
  </si>
  <si>
    <t>FCR telur</t>
  </si>
  <si>
    <t>Kum. Kons. Pakan</t>
  </si>
  <si>
    <t>Dane ogólne I informacje</t>
  </si>
  <si>
    <t>Wyjaśnienia</t>
  </si>
  <si>
    <t>Należy wypełnić komórki z kolorowym tłem</t>
  </si>
  <si>
    <t>Nazwa dokumentu będzie znajdować się w komórce B25</t>
  </si>
  <si>
    <t>Można wykorzystać ten format dla określenia nazwy dokumentu</t>
  </si>
  <si>
    <t>Pole z wymaganym wpisem</t>
  </si>
  <si>
    <t>Wszystkie wykresy i obliczenia będą wygenerowane automatycznie</t>
  </si>
  <si>
    <t>Proszę wprowadzić "dane podstawowe", "dane odchowu" i "dane produkcyjne"</t>
  </si>
  <si>
    <t>Data wylęgu</t>
  </si>
  <si>
    <t>Linia</t>
  </si>
  <si>
    <t>system produkcyjny</t>
  </si>
  <si>
    <t>Nazwa firmy/ integracji</t>
  </si>
  <si>
    <t>Nazwa fermy produkcyjnej</t>
  </si>
  <si>
    <t>Nr. kurnika produkcyjnego</t>
  </si>
  <si>
    <t>Kraj</t>
  </si>
  <si>
    <t>Waluta</t>
  </si>
  <si>
    <t>Osoba kontaktowa (e-mail)</t>
  </si>
  <si>
    <t>Nazwa pliku</t>
  </si>
  <si>
    <t>Prosimy o przesłanie informacji do nas</t>
  </si>
  <si>
    <t>dostępne arkusze</t>
  </si>
  <si>
    <t>dane odchowu</t>
  </si>
  <si>
    <t>wykresu odchowu</t>
  </si>
  <si>
    <t>produkcyjne</t>
  </si>
  <si>
    <t>wykres produkcji</t>
  </si>
  <si>
    <t>Masa jaj i spożycie paszy</t>
  </si>
  <si>
    <t>wykres FCR</t>
  </si>
  <si>
    <t>wykres odpadów</t>
  </si>
  <si>
    <t>rozkład klas wagowych</t>
  </si>
  <si>
    <t>wykres rozkładu klasowego jaj</t>
  </si>
  <si>
    <t>rozkład klas narastająco</t>
  </si>
  <si>
    <t>arkusz finansowy</t>
  </si>
  <si>
    <t>dane produkcyjne</t>
  </si>
  <si>
    <t>podsumowanie</t>
  </si>
  <si>
    <t>zawartość</t>
  </si>
  <si>
    <t>Upadki dzienne i tygodniowe, masa ciała, spożycie paszy i program świetlny</t>
  </si>
  <si>
    <t>upadki, spożycie paszy, masa ciała i wyrównanie</t>
  </si>
  <si>
    <t>dzienna i tygodniowa produkcja, tygodniowa masa jaj i masa ciała, spożycie i cena paszy</t>
  </si>
  <si>
    <t>przeżywalność, % nieśności, waga jaj i masa ciała</t>
  </si>
  <si>
    <t>Masa jaj, spożycie paszy i liczba jaj narastająco</t>
  </si>
  <si>
    <t>wykorzystanie paszy i spożycie paszy na jajo</t>
  </si>
  <si>
    <t>ilość odpadów na fermie i zakładzie pakowym tygodniowo i narastająco</t>
  </si>
  <si>
    <t>rozkład wagi jaj i ilość jaj zniesiona w poszczególnych klasach</t>
  </si>
  <si>
    <t>% rozkład wagowy jaj w wg klas</t>
  </si>
  <si>
    <t>ilość jaj wyprodukowana w danej klasie</t>
  </si>
  <si>
    <t>tygodniowy koszt paszy na tonę, kg jaj i na nioskę</t>
  </si>
  <si>
    <t>wykres produkcji, przegląd wyników stada w poszczególnych tygodniach</t>
  </si>
  <si>
    <t>szczegółowy przegląd wyników stada w produkcji w okresach 5-tygodniowych</t>
  </si>
  <si>
    <t>rok</t>
  </si>
  <si>
    <t>miesiąc</t>
  </si>
  <si>
    <t>data</t>
  </si>
  <si>
    <t>Będziemy bardzo wdzięczni za podzielenie się z nami wynikami</t>
  </si>
  <si>
    <t>w celu stworzenia przeglądu linii i porównania wyników</t>
  </si>
  <si>
    <t>przegląd wyników będzie dostępny dla pracowników ISA na platformie Oxygen</t>
  </si>
  <si>
    <t xml:space="preserve">prosimy o przesłanie wyników na adres:  isa.technicalfieldresults@hendrix-genetics.com </t>
  </si>
  <si>
    <t>versia :</t>
  </si>
  <si>
    <t>DANE ODCHOWU</t>
  </si>
  <si>
    <t>wiek</t>
  </si>
  <si>
    <t>upadki</t>
  </si>
  <si>
    <t>dziennie</t>
  </si>
  <si>
    <t>tygodniowo</t>
  </si>
  <si>
    <t>narast.</t>
  </si>
  <si>
    <t>przeklasowanie</t>
  </si>
  <si>
    <t>upadki %</t>
  </si>
  <si>
    <t>liczba ptaków na koniec okresu</t>
  </si>
  <si>
    <t>masa ciała</t>
  </si>
  <si>
    <t>rzeczywista (g)</t>
  </si>
  <si>
    <t>wyrównanie %</t>
  </si>
  <si>
    <t>standard</t>
  </si>
  <si>
    <t>całkowite spożycie paszy (kg)</t>
  </si>
  <si>
    <t>narast. spożycie paszy (kg)</t>
  </si>
  <si>
    <t>dzienne spożycie na ptaka (g)</t>
  </si>
  <si>
    <t>spożycie paszy na ptaka narast.(g)</t>
  </si>
  <si>
    <t>światło</t>
  </si>
  <si>
    <t>długość dnia (h)</t>
  </si>
  <si>
    <t>zapalenie światła o</t>
  </si>
  <si>
    <t>szczepienia i zabiegi</t>
  </si>
  <si>
    <t>nazwa odchowalni</t>
  </si>
  <si>
    <t>liczba wstawionych ptaków</t>
  </si>
  <si>
    <t>rodzaj systemu utrzymania</t>
  </si>
  <si>
    <t>stado nr:</t>
  </si>
  <si>
    <t>hala nr:</t>
  </si>
  <si>
    <t>data transferu (dd/mm/rrrr)</t>
  </si>
  <si>
    <t>wiek przy transferze</t>
  </si>
  <si>
    <t>liczba ptaków przeniesionych</t>
  </si>
  <si>
    <t>spożycie wody (l)</t>
  </si>
  <si>
    <t xml:space="preserve">spożycie  </t>
  </si>
  <si>
    <t>spożycie wody w ml/dz./szt.</t>
  </si>
  <si>
    <t>stosunek woda/pasza</t>
  </si>
  <si>
    <t>DANE PRODUKCYJNE</t>
  </si>
  <si>
    <t>Ferma:</t>
  </si>
  <si>
    <t>nr hali:</t>
  </si>
  <si>
    <t>data wylęgu:</t>
  </si>
  <si>
    <t>data osiągnięcia 18 tyg. życia</t>
  </si>
  <si>
    <t>data transferu:</t>
  </si>
  <si>
    <t>liczba ptaków przeklasowanych</t>
  </si>
  <si>
    <t>data początku tyg.</t>
  </si>
  <si>
    <t>wiek w tyg.</t>
  </si>
  <si>
    <t>liczba ptaków na koniec tyg.</t>
  </si>
  <si>
    <t>upadki w tyg.</t>
  </si>
  <si>
    <t>liczba jaj dziennie lub tygodniowo</t>
  </si>
  <si>
    <t>dzień tygodnia</t>
  </si>
  <si>
    <t>pon.</t>
  </si>
  <si>
    <t>wt.</t>
  </si>
  <si>
    <t>śr.</t>
  </si>
  <si>
    <t>czw.</t>
  </si>
  <si>
    <t>pt.</t>
  </si>
  <si>
    <t>sob.</t>
  </si>
  <si>
    <t>niedz.</t>
  </si>
  <si>
    <t>lub w tyg.</t>
  </si>
  <si>
    <t>liczba jaj w tygodniu</t>
  </si>
  <si>
    <t>liczba jaj narast.</t>
  </si>
  <si>
    <t>odpady</t>
  </si>
  <si>
    <t>tyg.</t>
  </si>
  <si>
    <t>ferma</t>
  </si>
  <si>
    <t>pakownia</t>
  </si>
  <si>
    <t>tydz.</t>
  </si>
  <si>
    <t>masa jaja (g)</t>
  </si>
  <si>
    <t>spożycie</t>
  </si>
  <si>
    <t>woda</t>
  </si>
  <si>
    <t>spożycie wody w (l)</t>
  </si>
  <si>
    <t>spożycie wody ml/dz/ptaka</t>
  </si>
  <si>
    <t>pasza</t>
  </si>
  <si>
    <t>cena tony paszy</t>
  </si>
  <si>
    <t>spożycie w kg</t>
  </si>
  <si>
    <t>koniec tyg.</t>
  </si>
  <si>
    <t>masa ciała (g)</t>
  </si>
  <si>
    <t>wyrównanie (%)</t>
  </si>
  <si>
    <t>śr. tyg.</t>
  </si>
  <si>
    <t>uwagi</t>
  </si>
  <si>
    <t>parametry klas wagowych jaj</t>
  </si>
  <si>
    <t>ROZKŁAD WAGOWY JAJ</t>
  </si>
  <si>
    <t>tabela rozkładu wagowgo jaj</t>
  </si>
  <si>
    <t>śr. waga w tyg.</t>
  </si>
  <si>
    <t>średnia waga jaj</t>
  </si>
  <si>
    <t>udział % klasy</t>
  </si>
  <si>
    <t>tabela rozkładu wagowego jaj wyrażona w ilości jaj w klasie</t>
  </si>
  <si>
    <t>tydz. roku</t>
  </si>
  <si>
    <t>ilość jaj zniesiona w tyg.</t>
  </si>
  <si>
    <t>rozkład jaj w zależności od klasy</t>
  </si>
  <si>
    <t>rozkład wagowy jaj w całym cyklu produkcyjnym (%)</t>
  </si>
  <si>
    <t>ilość jaj narast.</t>
  </si>
  <si>
    <t>KOSZTY PRODUKCJI</t>
  </si>
  <si>
    <t>spożycie paszy</t>
  </si>
  <si>
    <t>tyg. (kg)</t>
  </si>
  <si>
    <t>narast. (kg)</t>
  </si>
  <si>
    <t>cena paszy</t>
  </si>
  <si>
    <t>/t</t>
  </si>
  <si>
    <t>/ jajo</t>
  </si>
  <si>
    <t>śr. narast.</t>
  </si>
  <si>
    <t>koszt paszy</t>
  </si>
  <si>
    <t>/ptaka/dzień</t>
  </si>
  <si>
    <t>śr. dostawy</t>
  </si>
  <si>
    <t>nr hali / system utrzymania</t>
  </si>
  <si>
    <t>liczba kur przeklasowanych</t>
  </si>
  <si>
    <t xml:space="preserve">nr hali  </t>
  </si>
  <si>
    <t>system utrzymania</t>
  </si>
  <si>
    <t>przeżywalność %</t>
  </si>
  <si>
    <t>% nieśności</t>
  </si>
  <si>
    <t>liczba jaj na kurkę przekl.</t>
  </si>
  <si>
    <t>waga jaja /tydz</t>
  </si>
  <si>
    <t>masa jaj</t>
  </si>
  <si>
    <t>spożycie paszy /dz.</t>
  </si>
  <si>
    <t>spożycie paszy/jajo</t>
  </si>
  <si>
    <t>wykorzystanie paszy</t>
  </si>
  <si>
    <t>ilość odpadów %</t>
  </si>
  <si>
    <t>stan kur</t>
  </si>
  <si>
    <t>ilość przeklasowanych</t>
  </si>
  <si>
    <t>rzeczywista</t>
  </si>
  <si>
    <t>narast. standard</t>
  </si>
  <si>
    <t>/dzień</t>
  </si>
  <si>
    <t xml:space="preserve">narast.  </t>
  </si>
  <si>
    <t>PODSUMOWANIE</t>
  </si>
  <si>
    <t>data ukończenia 18 tyg.</t>
  </si>
  <si>
    <t>wytwórnia paszy:</t>
  </si>
  <si>
    <t>stan kur:</t>
  </si>
  <si>
    <t>system utrzymania:</t>
  </si>
  <si>
    <t>% upadków</t>
  </si>
  <si>
    <t>stand.</t>
  </si>
  <si>
    <t>waga jaja (g)</t>
  </si>
  <si>
    <t>masa jaj na kurkę przekl (kg)</t>
  </si>
  <si>
    <t>FCR 18 tyg. kg/kg</t>
  </si>
  <si>
    <t>FCR / jajo 18 tyg. (g)</t>
  </si>
  <si>
    <t>iloś odpadów narast. %</t>
  </si>
  <si>
    <t>różne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</si>
  <si>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</si>
  <si>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</si>
  <si>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</si>
  <si>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</si>
  <si>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</si>
  <si>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</si>
  <si>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</si>
  <si>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</si>
  <si>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</si>
  <si>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</si>
  <si>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</si>
  <si>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</si>
  <si>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klatki tradycyjne</t>
  </si>
  <si>
    <t>ściółka</t>
  </si>
  <si>
    <t>wolny wybieg</t>
  </si>
  <si>
    <t>wolny wybieg wielopoziomwy</t>
  </si>
  <si>
    <t>woliera</t>
  </si>
  <si>
    <t>klatki wzbogacone</t>
  </si>
  <si>
    <t>ekologiczny</t>
  </si>
  <si>
    <t>wartości wykresu</t>
  </si>
  <si>
    <t>przeżywalność</t>
  </si>
  <si>
    <t>upadki tyg. %</t>
  </si>
  <si>
    <t>nieśność %</t>
  </si>
  <si>
    <t>nieśność stand.</t>
  </si>
  <si>
    <t>waga jaja</t>
  </si>
  <si>
    <t>waga jaja stand.</t>
  </si>
  <si>
    <t>masa ciała w prod. stand.</t>
  </si>
  <si>
    <t>stand. masy jaj na dzień</t>
  </si>
  <si>
    <t>odchów</t>
  </si>
  <si>
    <t>ilość odpadów w pakowni</t>
  </si>
  <si>
    <t>ilość odpadów na fermie</t>
  </si>
  <si>
    <t>stan kur na dzień</t>
  </si>
  <si>
    <t>pasza narast./ptaka/dzień</t>
  </si>
  <si>
    <t>FCR tyg.</t>
  </si>
  <si>
    <t>FCR narast.</t>
  </si>
  <si>
    <t>tyg. FCR/jajo</t>
  </si>
  <si>
    <t>narast. FCR/jajo</t>
  </si>
  <si>
    <t xml:space="preserve">stand.  </t>
  </si>
  <si>
    <t>wyrónanie</t>
  </si>
  <si>
    <t>wyrónanie %</t>
  </si>
  <si>
    <t>stosunek pasza/woda</t>
  </si>
  <si>
    <t>spożycie paszy narast. na kurę</t>
  </si>
  <si>
    <t>stand. min</t>
  </si>
  <si>
    <t>nieśność</t>
  </si>
  <si>
    <t>Ferma</t>
  </si>
  <si>
    <t>nr hali</t>
  </si>
  <si>
    <t>data wylęgu</t>
  </si>
  <si>
    <t>linia</t>
  </si>
  <si>
    <t>ilość wstawionych</t>
  </si>
  <si>
    <t>wyniki odchowu</t>
  </si>
  <si>
    <t>spożycie paszy narast (g)</t>
  </si>
  <si>
    <t>stosunek wody do paszy</t>
  </si>
  <si>
    <t>WYKRES PRODUKCJI</t>
  </si>
  <si>
    <t>śr. waga jaja</t>
  </si>
  <si>
    <t>śr waga jaja</t>
  </si>
  <si>
    <t>ilość jaj na kurkę przekl.</t>
  </si>
  <si>
    <t>śr. spożycie paszy narast.</t>
  </si>
  <si>
    <t>MASA JAJ/NA SKARMIONĄ PASZĘ</t>
  </si>
  <si>
    <t>masa jaj w g/dzień</t>
  </si>
  <si>
    <t>spożycie paszy (g)</t>
  </si>
  <si>
    <t>ilość jaj narast. na kurkę przeklas.</t>
  </si>
  <si>
    <t>WSKAŻNIK WYKORZYSTANIA PASZY</t>
  </si>
  <si>
    <t>g na jajo</t>
  </si>
  <si>
    <t>stosunek</t>
  </si>
  <si>
    <t>WYKRES ILOŚCI ODPADÓW</t>
  </si>
  <si>
    <t>odpady %</t>
  </si>
  <si>
    <t>UDZIAŁ % JAJ WG KLAS</t>
  </si>
  <si>
    <t>% klas</t>
  </si>
  <si>
    <t>ILOŚĆ JAJ WG KLAS NARAST.</t>
  </si>
  <si>
    <t>liczba jaj w klasie</t>
  </si>
  <si>
    <t>zestawienie zbiorcze</t>
  </si>
  <si>
    <t>jaj/ kurkę przekl.</t>
  </si>
  <si>
    <t>FCR na jajo</t>
  </si>
  <si>
    <t>spożycie paszy narast.</t>
  </si>
  <si>
    <t>Общие данные</t>
  </si>
  <si>
    <t>Объяснение</t>
  </si>
  <si>
    <t>Заполните закрашенные клетки</t>
  </si>
  <si>
    <t>Название документа в клетке B25</t>
  </si>
  <si>
    <t>Вы можете дать собственное название этому документу</t>
  </si>
  <si>
    <t>Необходимая информация</t>
  </si>
  <si>
    <t>Указанные данные будут посчитаны и отражены на графике</t>
  </si>
  <si>
    <t>Обратите внимание на вкладки "общие данные", "данные по выращиванию" и "данные по кладке".</t>
  </si>
  <si>
    <t>Дата вывода</t>
  </si>
  <si>
    <t>Кросс</t>
  </si>
  <si>
    <t>Система содержания в период кладки</t>
  </si>
  <si>
    <t xml:space="preserve">Название компании </t>
  </si>
  <si>
    <t>Название фермы</t>
  </si>
  <si>
    <t>Номер птичника в течении периода кладки</t>
  </si>
  <si>
    <t>Страна</t>
  </si>
  <si>
    <t>Текущие</t>
  </si>
  <si>
    <t>Контакты (e-mail)</t>
  </si>
  <si>
    <t>Имя файла</t>
  </si>
  <si>
    <t>Отправляйте нам свои результаты</t>
  </si>
  <si>
    <t>Доступные листы</t>
  </si>
  <si>
    <t>Данные по выращиванию</t>
  </si>
  <si>
    <t>График выращивания</t>
  </si>
  <si>
    <t>Данные кладки</t>
  </si>
  <si>
    <t>График кладки</t>
  </si>
  <si>
    <t>Масса &amp; график потребления</t>
  </si>
  <si>
    <t>График конверсии корма</t>
  </si>
  <si>
    <t>График сортировки</t>
  </si>
  <si>
    <t>Категорийеость яйца</t>
  </si>
  <si>
    <t>Сортировка яйца по классификаци</t>
  </si>
  <si>
    <t>Прирост яиц по классификациям</t>
  </si>
  <si>
    <t>Финансы</t>
  </si>
  <si>
    <t>Данные продуктивности</t>
  </si>
  <si>
    <t>Итог</t>
  </si>
  <si>
    <t>Содержание</t>
  </si>
  <si>
    <t>Недельный и месячный отход, живая масса, потребление и программа освещения.</t>
  </si>
  <si>
    <t>Падеж, потребление корма, живая масса и однородность</t>
  </si>
  <si>
    <t>Недельная и масячная продуктивность, кол. яйца, живая масса, потребление и стоимость корма.</t>
  </si>
  <si>
    <t>Сохранность, % кладки, вес яйца и живая масса.</t>
  </si>
  <si>
    <t>Яйцемасса, потребление и общее количество яйца.</t>
  </si>
  <si>
    <t>Конверсия корма и конверсия корма на яйцо.</t>
  </si>
  <si>
    <t>Сортировка, еженедельный прирост.</t>
  </si>
  <si>
    <t>Вес яйца и количество яйца по котегориям.</t>
  </si>
  <si>
    <t>% яйца по категориям.</t>
  </si>
  <si>
    <t>Количество яйца по категориям.</t>
  </si>
  <si>
    <t>Еженедельная стоимость тонны корма, кг, яйца и птицы.</t>
  </si>
  <si>
    <t>Еженедельный обзор продуктивности стада на графике.</t>
  </si>
  <si>
    <t>Подробный обзор продуктивности стада каждые пять недель.</t>
  </si>
  <si>
    <t>Год</t>
  </si>
  <si>
    <t>Месяц</t>
  </si>
  <si>
    <t>Число</t>
  </si>
  <si>
    <t>Мы будем рады получить выши результаты.</t>
  </si>
  <si>
    <t>Вы можете указывать несколько кроссов для сравнения показателей.</t>
  </si>
  <si>
    <t>Все данные доступны в сервисе OxyGen для всех сотрудников ISA.</t>
  </si>
  <si>
    <t xml:space="preserve">Отправьте ваши данные на: isa.technicalfieldresults@hendrix-genetics.com </t>
  </si>
  <si>
    <t>Варианты:</t>
  </si>
  <si>
    <t>Дата</t>
  </si>
  <si>
    <t>Возраст</t>
  </si>
  <si>
    <t>Падеж</t>
  </si>
  <si>
    <t>Ежедневно</t>
  </si>
  <si>
    <t>Еженедельно</t>
  </si>
  <si>
    <t>Нарастающим итогом</t>
  </si>
  <si>
    <t>Перевод</t>
  </si>
  <si>
    <t>Падеж %</t>
  </si>
  <si>
    <t>Кол. птиц на конец периода</t>
  </si>
  <si>
    <t>Живая масса</t>
  </si>
  <si>
    <t>Фактически (г)</t>
  </si>
  <si>
    <t>Однородность %</t>
  </si>
  <si>
    <t>Стандарт</t>
  </si>
  <si>
    <t>Мин.</t>
  </si>
  <si>
    <t>Макс.</t>
  </si>
  <si>
    <t>Общее потребление корма (кг)</t>
  </si>
  <si>
    <t>Потребление корма нар. итогом (кг)</t>
  </si>
  <si>
    <t>Ежедневное потребление корма на птицу (г)</t>
  </si>
  <si>
    <t>Потребление корма на птицу нар. итогом (г)</t>
  </si>
  <si>
    <t>Освещение</t>
  </si>
  <si>
    <t>Продолжительность освещения в часах</t>
  </si>
  <si>
    <t>Включение света</t>
  </si>
  <si>
    <t>Вакцинации</t>
  </si>
  <si>
    <t>Где выращена птица</t>
  </si>
  <si>
    <t>Количество суточных цыплят</t>
  </si>
  <si>
    <t>Система содержания</t>
  </si>
  <si>
    <t>Стадо № :</t>
  </si>
  <si>
    <t>Птичник №.</t>
  </si>
  <si>
    <t>Дата перевода (д/мес/год)</t>
  </si>
  <si>
    <t>Возраст на момент перевода</t>
  </si>
  <si>
    <t>Количество переведенных</t>
  </si>
  <si>
    <t>Потребление воды в литрах</t>
  </si>
  <si>
    <t>Потребление</t>
  </si>
  <si>
    <t>Потребление воды мл/д/на птицу</t>
  </si>
  <si>
    <t>Соотношение вода/корм</t>
  </si>
  <si>
    <t>Данные по кладке</t>
  </si>
  <si>
    <t>Название фермы:</t>
  </si>
  <si>
    <t>Номер птичнике :</t>
  </si>
  <si>
    <t>Дата вывода:</t>
  </si>
  <si>
    <t>Дата на момент 18 недельного возраста:</t>
  </si>
  <si>
    <t xml:space="preserve">Дата перевода: </t>
  </si>
  <si>
    <t>Количество несушек в птичнике:</t>
  </si>
  <si>
    <t>Дата на начало недели</t>
  </si>
  <si>
    <t>Возраст в неделях</t>
  </si>
  <si>
    <t>Кол. птиц на конец недели</t>
  </si>
  <si>
    <t>Количество  падежа за неделю</t>
  </si>
  <si>
    <t>Продуктивность суточная или за неделю</t>
  </si>
  <si>
    <t>День недели</t>
  </si>
  <si>
    <t>Понедельник.</t>
  </si>
  <si>
    <t>Вторник.</t>
  </si>
  <si>
    <t>Среда.</t>
  </si>
  <si>
    <t>Четверг.</t>
  </si>
  <si>
    <t>Пятница.</t>
  </si>
  <si>
    <t>Суббота.</t>
  </si>
  <si>
    <t>Воскресенье.</t>
  </si>
  <si>
    <t>в неделю</t>
  </si>
  <si>
    <t>Еженедельная продуктивность</t>
  </si>
  <si>
    <t>Продуктивность нар. итогом</t>
  </si>
  <si>
    <t>Кол яиц второго сорта</t>
  </si>
  <si>
    <t>Ферма</t>
  </si>
  <si>
    <t>Упаковочная</t>
  </si>
  <si>
    <t xml:space="preserve">Нар. итог </t>
  </si>
  <si>
    <t>Неделя</t>
  </si>
  <si>
    <t>Вес яйца (г)</t>
  </si>
  <si>
    <t>Вода</t>
  </si>
  <si>
    <t>Корм</t>
  </si>
  <si>
    <t>Цена за тонну</t>
  </si>
  <si>
    <t>Потребление в кг</t>
  </si>
  <si>
    <t>На конец недели</t>
  </si>
  <si>
    <t>Прирост</t>
  </si>
  <si>
    <t>Живая масса (г)</t>
  </si>
  <si>
    <t>Средняя за неделю</t>
  </si>
  <si>
    <t>Комментарии</t>
  </si>
  <si>
    <t>Данные по категоризации яйца</t>
  </si>
  <si>
    <t xml:space="preserve">Вес яйца </t>
  </si>
  <si>
    <t>Маленькое</t>
  </si>
  <si>
    <t>Среднее</t>
  </si>
  <si>
    <t>Крупное</t>
  </si>
  <si>
    <t>Очень крупное</t>
  </si>
  <si>
    <t>макс.</t>
  </si>
  <si>
    <t>Вес столового яйца</t>
  </si>
  <si>
    <t>Средний вес за неделю</t>
  </si>
  <si>
    <t>Текущий средний вес</t>
  </si>
  <si>
    <t>% по сорту</t>
  </si>
  <si>
    <t>Вес столового яйца в своей категории</t>
  </si>
  <si>
    <t>Неделя в году</t>
  </si>
  <si>
    <t>Еженедельное производство яйца</t>
  </si>
  <si>
    <t>Распределение яйца по категориям</t>
  </si>
  <si>
    <t>Распространенный средний вес (%)</t>
  </si>
  <si>
    <t>Кол. яйца нар. Итогом</t>
  </si>
  <si>
    <t>Стоимость производства</t>
  </si>
  <si>
    <t>Потребление корма</t>
  </si>
  <si>
    <t>Еженедельно (кг)</t>
  </si>
  <si>
    <t>Нар. итогом (кг)</t>
  </si>
  <si>
    <t>Цена на корм</t>
  </si>
  <si>
    <t>/тонн</t>
  </si>
  <si>
    <t>/яйцо</t>
  </si>
  <si>
    <t>/кг</t>
  </si>
  <si>
    <t>Средний прирост</t>
  </si>
  <si>
    <t>Стоимость корма</t>
  </si>
  <si>
    <t>/птица/день</t>
  </si>
  <si>
    <t>Доставка</t>
  </si>
  <si>
    <t>Данные по продуктивности</t>
  </si>
  <si>
    <t>Название фермы :</t>
  </si>
  <si>
    <t>Номер птичника  / Система содержания:</t>
  </si>
  <si>
    <t>Птичник No.</t>
  </si>
  <si>
    <t>Сохранность %</t>
  </si>
  <si>
    <t>Количество яиц на HH</t>
  </si>
  <si>
    <t>Вес яйца/неделя</t>
  </si>
  <si>
    <t>Яйцемасса</t>
  </si>
  <si>
    <t>Потребление корма СН</t>
  </si>
  <si>
    <t>Потребление корма / яйцо</t>
  </si>
  <si>
    <t>Конверсия корма</t>
  </si>
  <si>
    <t>Кол. Яиц второго сорта %</t>
  </si>
  <si>
    <t>Средняя несушка</t>
  </si>
  <si>
    <t>Содержащаяся птица</t>
  </si>
  <si>
    <t>Фактически</t>
  </si>
  <si>
    <t>Усредненный стандарт</t>
  </si>
  <si>
    <t>/ день</t>
  </si>
  <si>
    <t>Нар. итогом</t>
  </si>
  <si>
    <t>Название:</t>
  </si>
  <si>
    <t>Птичник No. :</t>
  </si>
  <si>
    <t>Дата перевода :</t>
  </si>
  <si>
    <t>Дата на момент 18 недельного возраста :</t>
  </si>
  <si>
    <t>Кормовая компания :</t>
  </si>
  <si>
    <t>Количество несушек :</t>
  </si>
  <si>
    <t>Система содержания:</t>
  </si>
  <si>
    <t>% Отход</t>
  </si>
  <si>
    <t>Количество яиц на НН</t>
  </si>
  <si>
    <t>Яйцемасса на НН (кг)</t>
  </si>
  <si>
    <t>Конверсия корма 18 недель кг/кг</t>
  </si>
  <si>
    <t xml:space="preserve">Потребление корма /яйцо 18 недель (г) </t>
  </si>
  <si>
    <t>яиц второго сорта нар.итогом %</t>
  </si>
  <si>
    <t>Разнообразие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</si>
  <si>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</si>
  <si>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</si>
  <si>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</si>
  <si>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</si>
  <si>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</si>
  <si>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</si>
  <si>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</si>
  <si>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</si>
  <si>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</si>
  <si>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</si>
  <si>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</si>
  <si>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</si>
  <si>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Клетка</t>
  </si>
  <si>
    <t>Птичник</t>
  </si>
  <si>
    <t>Свободный выгул</t>
  </si>
  <si>
    <t>Свободный выгул (многоярусный)</t>
  </si>
  <si>
    <t>Вольер</t>
  </si>
  <si>
    <t>Обогащенная клетка</t>
  </si>
  <si>
    <t>Естественный</t>
  </si>
  <si>
    <t>График значений</t>
  </si>
  <si>
    <t>Сохранность</t>
  </si>
  <si>
    <t>Еженедельный падеж %</t>
  </si>
  <si>
    <t>Вес яйца</t>
  </si>
  <si>
    <t>Стандартный вес яйца</t>
  </si>
  <si>
    <t>Стандартная живая масса для несушки</t>
  </si>
  <si>
    <t>Ежедневная яйцемасса, стандарт</t>
  </si>
  <si>
    <t>Выращивание</t>
  </si>
  <si>
    <t>Яйцо второго сорта (цех яйцесбора)</t>
  </si>
  <si>
    <t>Яйцо второго сорта на ферме</t>
  </si>
  <si>
    <t>Цех яйцесбора</t>
  </si>
  <si>
    <t>прирост корма/птица /в день</t>
  </si>
  <si>
    <t>Недельная конверсия корма</t>
  </si>
  <si>
    <t>Увеличение конверсии корма</t>
  </si>
  <si>
    <t>Недельная конверсия/яйцо</t>
  </si>
  <si>
    <t>Увеличение конверсии/яйцо</t>
  </si>
  <si>
    <t>Прирост количества яиц</t>
  </si>
  <si>
    <t>Отход %</t>
  </si>
  <si>
    <t>Однородность</t>
  </si>
  <si>
    <t>соотношение вода/корм</t>
  </si>
  <si>
    <t>Потребление на птицу нар.итогом</t>
  </si>
  <si>
    <t>стандарт мин.</t>
  </si>
  <si>
    <t>Количество птичников</t>
  </si>
  <si>
    <t>Количество птицы</t>
  </si>
  <si>
    <t>Показатели на выращивании</t>
  </si>
  <si>
    <t>Живая масса в г</t>
  </si>
  <si>
    <t>Прирост потребления корма в г</t>
  </si>
  <si>
    <t>Отход</t>
  </si>
  <si>
    <t>Продуктивность</t>
  </si>
  <si>
    <t>Средний вес яйца</t>
  </si>
  <si>
    <t>Еженедельный отход %</t>
  </si>
  <si>
    <t>Яиц на HH</t>
  </si>
  <si>
    <t>Среднее потребление нар.итогом</t>
  </si>
  <si>
    <t>Яйцемасса/ Потребление корма</t>
  </si>
  <si>
    <t>Яйцемасса г/день</t>
  </si>
  <si>
    <t>Потребление корма в г</t>
  </si>
  <si>
    <t>Яиц на HH нар. итогом</t>
  </si>
  <si>
    <t>Скорость конверсии корма</t>
  </si>
  <si>
    <t>G на яйцо</t>
  </si>
  <si>
    <t>Отношение</t>
  </si>
  <si>
    <t>Сортировка</t>
  </si>
  <si>
    <t>Яиц второго категории %</t>
  </si>
  <si>
    <t>% яиц по категоризации</t>
  </si>
  <si>
    <t>Классификация %</t>
  </si>
  <si>
    <t>Яиц по категоризации нар.итогом</t>
  </si>
  <si>
    <t>Количество яиц по категоризации</t>
  </si>
  <si>
    <t>Яиц/НН</t>
  </si>
  <si>
    <t>Конверсия корма к яйцу</t>
  </si>
  <si>
    <t>Потребление корма нар.итогом</t>
  </si>
  <si>
    <t>Informazioni Generali</t>
  </si>
  <si>
    <t>Spiegazione Foglio Di Calcolo</t>
  </si>
  <si>
    <t/>
  </si>
  <si>
    <t>Prego Completare Le Celle Colorate</t>
  </si>
  <si>
    <t>Nome Vostro Documento Nella Cella B25</t>
  </si>
  <si>
    <t>Usare Questo Formato Per Nominare Il Vostro Documento</t>
  </si>
  <si>
    <t>Informazioni Richieste</t>
  </si>
  <si>
    <t>Ogni Calcolo E Grafico Sarà Generato Dai Dati</t>
  </si>
  <si>
    <t>Inseriti In Foglio Lavoro"Info Generali","Info Svezzamento" E "Info Deposizione"</t>
  </si>
  <si>
    <t>Data Schiusa</t>
  </si>
  <si>
    <t>Incrocio</t>
  </si>
  <si>
    <t>Sistema Di Allevamento Durante Lo Svezzamento</t>
  </si>
  <si>
    <t>Nome Azienda/Organizzazione</t>
  </si>
  <si>
    <t>Nome Azienda Deposizione</t>
  </si>
  <si>
    <t>Nr.Del Capannone Durante Il Periodo Di Deposizione</t>
  </si>
  <si>
    <t>Paese</t>
  </si>
  <si>
    <t>Contatto Tecnico(E-Mail)</t>
  </si>
  <si>
    <t>Nome Del File</t>
  </si>
  <si>
    <t xml:space="preserve">Prego Inviare I Risultati </t>
  </si>
  <si>
    <t>Fogli Disponibili</t>
  </si>
  <si>
    <t>Informazioni Svezzamento</t>
  </si>
  <si>
    <t>Grafico Svezzamento</t>
  </si>
  <si>
    <t>Informazioni Deposizione</t>
  </si>
  <si>
    <t>Grafico Deposizione</t>
  </si>
  <si>
    <t>Grafico Massa E Consumo</t>
  </si>
  <si>
    <t>Grafico Indice Di Conversione</t>
  </si>
  <si>
    <t>Grafico Sottopeso</t>
  </si>
  <si>
    <t>Peso Uova</t>
  </si>
  <si>
    <t>Grafico Ripartizione Peso Uova</t>
  </si>
  <si>
    <t>Peso Uova Cumulativo</t>
  </si>
  <si>
    <t>Foglio Finanziario</t>
  </si>
  <si>
    <t>Dati Di Produzione</t>
  </si>
  <si>
    <t>Sommario</t>
  </si>
  <si>
    <t>Contenuto</t>
  </si>
  <si>
    <t xml:space="preserve">Mortalita' Giornaliera E Sett.Le,Peso Corporeo,Consumo E Programma Luce </t>
  </si>
  <si>
    <t>Mortalita',Consumo Mangime,Peso Corporeo E Uniformita'</t>
  </si>
  <si>
    <t>Prod.Giorn.E Sett.Le,Peso Uovo E Peso Corporeo Sett.Le,Consumo E Prezzo Mangime.</t>
  </si>
  <si>
    <t>Vitalita',%Deposizione,Peso Dell'Uovo E Peso Corporeo</t>
  </si>
  <si>
    <t>Massa Uova,Consumo E Nr.Cumulativo Di Uova</t>
  </si>
  <si>
    <t>Conversione Mangime E Conversione Mangime Per Uovo</t>
  </si>
  <si>
    <t>Downgrading Farm And Packing Station, Weekly And Cum.</t>
  </si>
  <si>
    <t>Distribuzione Peso Uovo E N°Di Uova Prodotte Per Classe Di Peso</t>
  </si>
  <si>
    <t>% Egg Grading Repartion.</t>
  </si>
  <si>
    <t>Quantita' Di Uova Prodotte Per Classe Di Peso</t>
  </si>
  <si>
    <t>Weekly Feed Cost In Ton, Kg, Egg And Bird.</t>
  </si>
  <si>
    <t>Production Chart, Overview Of The Flock Performance Every Week</t>
  </si>
  <si>
    <t>Detailed Overview Of The Flock Performance During The Laying Period Every 5 Weeks</t>
  </si>
  <si>
    <t>Anno</t>
  </si>
  <si>
    <t>Mese</t>
  </si>
  <si>
    <t>We Would Be Very Pleased To Receive Your Results</t>
  </si>
  <si>
    <t>In Order To Create Overviews Of Different Breeds And Compare Their Performances.</t>
  </si>
  <si>
    <t>The Overviews Will Be Available On Oxygen For All Isa Employees</t>
  </si>
  <si>
    <t xml:space="preserve">Please Send This Document To: Isa.Technicalfieldresults@Hendrix-Genetics.Com </t>
  </si>
  <si>
    <t>Allevamento</t>
  </si>
  <si>
    <t>Eta'</t>
  </si>
  <si>
    <t>Mortalita'</t>
  </si>
  <si>
    <t>Giornaliero</t>
  </si>
  <si>
    <t>Settimanale</t>
  </si>
  <si>
    <t>Trasferimento</t>
  </si>
  <si>
    <t>Mortalita' %</t>
  </si>
  <si>
    <t>N° Di Animali A Fine Periodo</t>
  </si>
  <si>
    <t>Peso Corporeo</t>
  </si>
  <si>
    <t>Attuale(G)</t>
  </si>
  <si>
    <t>Uniformita'%</t>
  </si>
  <si>
    <t>Minimo</t>
  </si>
  <si>
    <t>Massimo</t>
  </si>
  <si>
    <t>Consumo Totale Mangime(Kg)</t>
  </si>
  <si>
    <t>Consumo Cumulativo Mangime(Kg)</t>
  </si>
  <si>
    <t>Consumo Mangime Giornaliero Fer Capo(Gr)</t>
  </si>
  <si>
    <t>Consumo Cumulativo Mangime(Gr)</t>
  </si>
  <si>
    <t>Luce</t>
  </si>
  <si>
    <t>Durata Luce In Ore</t>
  </si>
  <si>
    <t>Accensione Alle Ore</t>
  </si>
  <si>
    <t>Vaccinazioni O Altre Operazioni</t>
  </si>
  <si>
    <t>Nome Azienda Svezzamento</t>
  </si>
  <si>
    <t>Numero Pulcini Di 1 Giorno</t>
  </si>
  <si>
    <t>Sistema Di Allevamento</t>
  </si>
  <si>
    <t>Gruppo N°</t>
  </si>
  <si>
    <t>Capannone N°</t>
  </si>
  <si>
    <t>Data Trasferimento(Gg/Mm/Aa)</t>
  </si>
  <si>
    <t>Eta'Al Trasferimento</t>
  </si>
  <si>
    <t>Nr.Di Pollastre Trasferite</t>
  </si>
  <si>
    <t>Consumo Acqua In Litri</t>
  </si>
  <si>
    <t>Consumi</t>
  </si>
  <si>
    <t>Consumo Di Acqua Ml/Giorno/Capo</t>
  </si>
  <si>
    <t>Acqua/Mangime</t>
  </si>
  <si>
    <t>Deposizione</t>
  </si>
  <si>
    <t>Nome Allevamento</t>
  </si>
  <si>
    <t>Capannone Nr.</t>
  </si>
  <si>
    <t>Data Di Schiusa</t>
  </si>
  <si>
    <t>Data A 18 Settimane</t>
  </si>
  <si>
    <t>Date Del Trasferimento</t>
  </si>
  <si>
    <t>Nr.Di Ovaiole Accasate</t>
  </si>
  <si>
    <t>Data Di Inizio Settimana</t>
  </si>
  <si>
    <t>Età In Settimane</t>
  </si>
  <si>
    <t>Nr.Di Animali A Fine Settimana</t>
  </si>
  <si>
    <t xml:space="preserve">Nr.Di Animali Settimanali </t>
  </si>
  <si>
    <t>Produzione Uova Per Giorno O Per Settimana</t>
  </si>
  <si>
    <t>Giorno Della Settimana</t>
  </si>
  <si>
    <t>Gio.</t>
  </si>
  <si>
    <t>O Per Settimana</t>
  </si>
  <si>
    <t>Produzione Uova Settimanale</t>
  </si>
  <si>
    <t>Produzione Uova Cumulativo</t>
  </si>
  <si>
    <t>Uova Di Seconda Scelta</t>
  </si>
  <si>
    <t>Centro Di Imballaggio</t>
  </si>
  <si>
    <t>Numero Cum.</t>
  </si>
  <si>
    <t>Peso Uovo(Gr)</t>
  </si>
  <si>
    <t>Acqua</t>
  </si>
  <si>
    <t>Consumo Acqua/Litri</t>
  </si>
  <si>
    <t>Consumo Acqua Ml/Giorno/Capo</t>
  </si>
  <si>
    <t>Mangime</t>
  </si>
  <si>
    <t>Prezzo Per Ton.</t>
  </si>
  <si>
    <t xml:space="preserve">Consumo In Kg </t>
  </si>
  <si>
    <t>Fine Settimana</t>
  </si>
  <si>
    <t>Peso Corporeo(Gr)</t>
  </si>
  <si>
    <t>Uniformità %</t>
  </si>
  <si>
    <t>Media Settimanale</t>
  </si>
  <si>
    <t>Commenti</t>
  </si>
  <si>
    <t>Input Selezione Uova</t>
  </si>
  <si>
    <t>Distribuzione Peso Dell'Uovo</t>
  </si>
  <si>
    <t>Xl</t>
  </si>
  <si>
    <t>Tabella Della Distribuzione Peso Dell'Uovo</t>
  </si>
  <si>
    <t>Età</t>
  </si>
  <si>
    <t xml:space="preserve">Peso Medio Settimanale </t>
  </si>
  <si>
    <t>Peso Medio Corrente</t>
  </si>
  <si>
    <t>Percentuale Selezione</t>
  </si>
  <si>
    <t>Tabell Distribuzione Peso Dell'Uovo In Volum Per Peso</t>
  </si>
  <si>
    <t>Settimna Dell'Anno</t>
  </si>
  <si>
    <t>Uova Prodotte Per Settimana</t>
  </si>
  <si>
    <t>Ripartizione Uova Per Peso</t>
  </si>
  <si>
    <t>Distribuzione Media Dei Pesi Sul Totale Produzione(%)</t>
  </si>
  <si>
    <t>Nr.Cumulativo Uova Prodotte</t>
  </si>
  <si>
    <t>Costi Di Produzione</t>
  </si>
  <si>
    <t>Consumo Mangime</t>
  </si>
  <si>
    <t>Settimanale(Kg)</t>
  </si>
  <si>
    <t>Cum(Kg)</t>
  </si>
  <si>
    <t xml:space="preserve">Prezzo Del Mangime </t>
  </si>
  <si>
    <t>/Ton</t>
  </si>
  <si>
    <t>/Uovo</t>
  </si>
  <si>
    <t>/Kg</t>
  </si>
  <si>
    <t>Media Cumulativa</t>
  </si>
  <si>
    <t>Costo Mangime</t>
  </si>
  <si>
    <t>/Capo/Giorno</t>
  </si>
  <si>
    <t>Consegna Media</t>
  </si>
  <si>
    <t>Capannone Nr./Sistema Di Allevamento</t>
  </si>
  <si>
    <t>Data Del Trasferimento</t>
  </si>
  <si>
    <t>Nr.Ovaiole Accasate.</t>
  </si>
  <si>
    <t>Settimana Dell'Anno</t>
  </si>
  <si>
    <t>Vitalità %</t>
  </si>
  <si>
    <t>Nr.Uova Per Femmina Accasata</t>
  </si>
  <si>
    <t>Peso Uovo/Settimana</t>
  </si>
  <si>
    <t xml:space="preserve">Massa Uova </t>
  </si>
  <si>
    <t xml:space="preserve">Consumo Mangime Per Gallina </t>
  </si>
  <si>
    <t>Cosumo Mangime/Uovo</t>
  </si>
  <si>
    <t>Conversione Mangime</t>
  </si>
  <si>
    <t>%Uova Seconda Scelta</t>
  </si>
  <si>
    <t>Gallina Giorno</t>
  </si>
  <si>
    <t>Galline Accasate</t>
  </si>
  <si>
    <t>Attuale</t>
  </si>
  <si>
    <t>Cumulativo Standard</t>
  </si>
  <si>
    <t>/Giorno</t>
  </si>
  <si>
    <t>Capannone Nr.:</t>
  </si>
  <si>
    <t>Data Trasferimento</t>
  </si>
  <si>
    <t>Data A 18 Settimane:</t>
  </si>
  <si>
    <t>Ditta Mangime:</t>
  </si>
  <si>
    <t>Nr.Di Ovaiole</t>
  </si>
  <si>
    <t>% Mortalità</t>
  </si>
  <si>
    <t>% Di Deposizione</t>
  </si>
  <si>
    <t>Nr.Uova Per Gallina Accasata</t>
  </si>
  <si>
    <t>Peso Dell'Uovo(Gr)</t>
  </si>
  <si>
    <t>Massa Uova Per Gallina Accasata(Kg)</t>
  </si>
  <si>
    <t xml:space="preserve">Conversione Mangime A 18 Settimane Kg/Kg </t>
  </si>
  <si>
    <t>Consumo Mangime Per Uovo  Da 18 Settimane( Gr.)</t>
  </si>
  <si>
    <t>% Uova 2A Scelta Cumulativo</t>
  </si>
  <si>
    <t>Diversi</t>
  </si>
  <si>
    <t>Gennaio</t>
  </si>
  <si>
    <t>Febbraio</t>
  </si>
  <si>
    <t>Aprile</t>
  </si>
  <si>
    <t>Maggio</t>
  </si>
  <si>
    <t>Giugno</t>
  </si>
  <si>
    <t>Luglio</t>
  </si>
  <si>
    <t>Settembre</t>
  </si>
  <si>
    <t>Ottobre</t>
  </si>
  <si>
    <t>Dicembre</t>
  </si>
  <si>
    <t>Gabbia</t>
  </si>
  <si>
    <t>A Terra</t>
  </si>
  <si>
    <t xml:space="preserve">Free Range </t>
  </si>
  <si>
    <t>Free Range Multi Piani</t>
  </si>
  <si>
    <t>Voliera</t>
  </si>
  <si>
    <t>Gabbia Arricchita</t>
  </si>
  <si>
    <t>Biologico</t>
  </si>
  <si>
    <t>Vitalità</t>
  </si>
  <si>
    <t>Mortalità Settimanale%</t>
  </si>
  <si>
    <t>Deposizione Standard</t>
  </si>
  <si>
    <t>Peso Dell'Uovo</t>
  </si>
  <si>
    <t>Peso Dell'Uovo Standard</t>
  </si>
  <si>
    <t>Peso Medio Corporeo</t>
  </si>
  <si>
    <t>Peso Medio Corporeo Standard</t>
  </si>
  <si>
    <t>Massa Uova</t>
  </si>
  <si>
    <t>Massa Uova Standard Giornaliera</t>
  </si>
  <si>
    <t>Svezzamento</t>
  </si>
  <si>
    <t>Uova 2A Scelta Centro Di Imballo</t>
  </si>
  <si>
    <t>Uova 2A Scelta In Allevamento</t>
  </si>
  <si>
    <t>Mangime Cumulativo/Capo/Giorno</t>
  </si>
  <si>
    <t>Indice Conversione Settimanale</t>
  </si>
  <si>
    <t>Indice Conversione Cumulativo</t>
  </si>
  <si>
    <t>Conversione Mangime /Uovo Settimanale</t>
  </si>
  <si>
    <t>Conversione Mangime /Uovo Cumulativa</t>
  </si>
  <si>
    <t>Nr.Uova Cumulativo</t>
  </si>
  <si>
    <t>Mortalità%</t>
  </si>
  <si>
    <t>Uniformità</t>
  </si>
  <si>
    <t>Unif.%</t>
  </si>
  <si>
    <t>Mangime/Acqua</t>
  </si>
  <si>
    <t xml:space="preserve">Consumo Cumulativo Per Capo  </t>
  </si>
  <si>
    <t>Standard Minimo</t>
  </si>
  <si>
    <t>Razza</t>
  </si>
  <si>
    <t>Animali Accasati</t>
  </si>
  <si>
    <t>Nr.Capannone</t>
  </si>
  <si>
    <t xml:space="preserve">Numero Di Pulcini </t>
  </si>
  <si>
    <t>Performance Di Accrescimento</t>
  </si>
  <si>
    <t>Peso Corporeo In Gr.</t>
  </si>
  <si>
    <t>Consumo Cumulativo Mangime In Gr.</t>
  </si>
  <si>
    <t>Uniformità%</t>
  </si>
  <si>
    <t>Mortalità</t>
  </si>
  <si>
    <t>Rapporto Acqua Mangime</t>
  </si>
  <si>
    <t>Performance Di Deposizione</t>
  </si>
  <si>
    <t>Peso Medio Uovo</t>
  </si>
  <si>
    <t>Mortalità Settimanale</t>
  </si>
  <si>
    <t>Uova Per Femmina Accasata</t>
  </si>
  <si>
    <t>Indice Conversione Mangime</t>
  </si>
  <si>
    <t>Consumo Medio Cumulativo</t>
  </si>
  <si>
    <t>Massa Uova/Consumo Mangime</t>
  </si>
  <si>
    <t>Massa Uova In Gr/Giorno</t>
  </si>
  <si>
    <t>Consumo Mangime In Gr.</t>
  </si>
  <si>
    <t>Nr.Cumulativo Uova Per Gallina Accasata</t>
  </si>
  <si>
    <t xml:space="preserve">Grammi Per Uovo </t>
  </si>
  <si>
    <t>Rapporto</t>
  </si>
  <si>
    <t>% Seconda Scelta</t>
  </si>
  <si>
    <t>%Uova Selezionate</t>
  </si>
  <si>
    <t>% Uova Selezionate</t>
  </si>
  <si>
    <t>Uova Selezionate Cumulativo</t>
  </si>
  <si>
    <t>Nr.Uova Per Grammatura</t>
  </si>
  <si>
    <t>Sommario Grafico</t>
  </si>
  <si>
    <t>Indice Di Conversione Mangime</t>
  </si>
  <si>
    <t>Conversione Mangime/Uovo</t>
  </si>
  <si>
    <t>Consumo Cumulativo Mangime</t>
  </si>
  <si>
    <t>Settimana</t>
  </si>
  <si>
    <t>Italiano</t>
  </si>
  <si>
    <t>一般情報入力</t>
  </si>
  <si>
    <t>エクセルシートの説明</t>
  </si>
  <si>
    <t>色のついたセルのみに入力してください。</t>
  </si>
  <si>
    <t>このドキュメントの名前はセルB25に記入してください。</t>
  </si>
  <si>
    <t>このフォーマット名は自由に変更できます。</t>
  </si>
  <si>
    <t>入力データより、性能値とグラフは自動的に作られます。</t>
  </si>
  <si>
    <t>「一般情報入力」, 「育雛/育成入力」 と 「産卵入力」 ワークシートにデータを入力してください</t>
  </si>
  <si>
    <t>孵化日</t>
  </si>
  <si>
    <t>鶏種</t>
  </si>
  <si>
    <t>産卵期間中の鶏舎構造</t>
  </si>
  <si>
    <t>御社名</t>
  </si>
  <si>
    <t>採卵農場名</t>
  </si>
  <si>
    <t>産卵鶏舎番号</t>
  </si>
  <si>
    <t>国</t>
  </si>
  <si>
    <t>通貨</t>
  </si>
  <si>
    <t>技術担当者 (e-mail)</t>
  </si>
  <si>
    <t>ファイル名</t>
  </si>
  <si>
    <t>情報をISAに送信</t>
  </si>
  <si>
    <t>ワークシート名</t>
  </si>
  <si>
    <t>育雛育成入力</t>
  </si>
  <si>
    <t>育雛育成グラフ</t>
  </si>
  <si>
    <t>産卵入力</t>
  </si>
  <si>
    <t>産卵グラフ</t>
  </si>
  <si>
    <t>採卵 飼料グラフ</t>
  </si>
  <si>
    <t>要求率グラフ</t>
  </si>
  <si>
    <t>格外卵グラフ</t>
  </si>
  <si>
    <t>規格卵グラフ</t>
  </si>
  <si>
    <t>規格等級付卵グラフ</t>
  </si>
  <si>
    <t>累計規格卵グラフ</t>
  </si>
  <si>
    <t>経済性表</t>
  </si>
  <si>
    <t>生産性データ</t>
  </si>
  <si>
    <t>サマリー</t>
  </si>
  <si>
    <t>日々と週間の斃死状況、体重、飼料摂取量、光線管理プログラム</t>
  </si>
  <si>
    <t>斃死、飼料摂取、体重、均一性</t>
  </si>
  <si>
    <t>日々と週間の産卵、週毎の卵重と体重、飼料摂取量、飼料価格</t>
  </si>
  <si>
    <t>生存率、産卵率、卵重、体重</t>
  </si>
  <si>
    <t>採卵重量、飼料摂取量、累計産卵数</t>
  </si>
  <si>
    <t>飼料要求率</t>
  </si>
  <si>
    <t>農場とパッキングセンターにおける格外卵（週毎と累計）</t>
  </si>
  <si>
    <t>卵重分布と規格卵数</t>
  </si>
  <si>
    <t>規格卵割合</t>
  </si>
  <si>
    <t>規格分別毎の産卵数</t>
  </si>
  <si>
    <t>飼料コスト計算（産卵重、卵、鶏当り）</t>
  </si>
  <si>
    <t>週齢毎の産卵性能結果</t>
  </si>
  <si>
    <t>５週齢ごとの産卵性成績のまとめ</t>
  </si>
  <si>
    <t>データのご提供に感謝申し上げます</t>
  </si>
  <si>
    <t>それぞれの入力で、複数の鶏種の性能についての比較が行えます</t>
  </si>
  <si>
    <t>現在は、ISA社関係者に対してのみ情報公開が可能です</t>
  </si>
  <si>
    <t>このファイルは、isa.technicalfieldresults@hendrix-genetics.com へお送りください</t>
  </si>
  <si>
    <t>バージョン</t>
  </si>
  <si>
    <t>育雛/育成期入力</t>
  </si>
  <si>
    <t>日付</t>
  </si>
  <si>
    <t>齢</t>
  </si>
  <si>
    <t>斃死</t>
  </si>
  <si>
    <t>日毎</t>
  </si>
  <si>
    <t>週毎</t>
  </si>
  <si>
    <t>累計</t>
  </si>
  <si>
    <t>移動</t>
  </si>
  <si>
    <t>斃死率 %</t>
  </si>
  <si>
    <t>期間最終羽数</t>
  </si>
  <si>
    <t>実績 (g)</t>
  </si>
  <si>
    <t>均一性 %</t>
  </si>
  <si>
    <t>標準</t>
  </si>
  <si>
    <t>総飼料摂取量 (kg)</t>
  </si>
  <si>
    <t>累計飼料摂取 (kg)</t>
  </si>
  <si>
    <t>羽当り摂取量 (g)</t>
  </si>
  <si>
    <t>累計羽当り摂取量 (g)</t>
  </si>
  <si>
    <t>光線管理</t>
  </si>
  <si>
    <t>日長</t>
  </si>
  <si>
    <t>点灯</t>
  </si>
  <si>
    <t>ワクチン、その他管理事項</t>
  </si>
  <si>
    <t>育雛・育成農場名</t>
  </si>
  <si>
    <t>餌付羽数</t>
  </si>
  <si>
    <t>鶏舎システム</t>
  </si>
  <si>
    <t>鶏群番号</t>
  </si>
  <si>
    <t>鶏舎番号</t>
  </si>
  <si>
    <t>移動日 (dd/mm/yyyy)</t>
  </si>
  <si>
    <t>移動日齢</t>
  </si>
  <si>
    <t>週</t>
  </si>
  <si>
    <t>移動若雌数</t>
  </si>
  <si>
    <t>飲水量（ﾘｯﾄﾙ）</t>
  </si>
  <si>
    <t>摂取量</t>
  </si>
  <si>
    <t>飲水量 ml/日/羽</t>
  </si>
  <si>
    <t>飲水/飼料 比</t>
  </si>
  <si>
    <t>産卵期入力</t>
  </si>
  <si>
    <t>農場名</t>
  </si>
  <si>
    <t>18週齢日付</t>
  </si>
  <si>
    <t>移動日</t>
  </si>
  <si>
    <t>成鶏移動羽数</t>
  </si>
  <si>
    <t>週開始日</t>
  </si>
  <si>
    <t>週齢</t>
  </si>
  <si>
    <t>週最終残存羽数</t>
  </si>
  <si>
    <t>週間死亡羽数</t>
  </si>
  <si>
    <t>日当産卵または週当産卵</t>
  </si>
  <si>
    <t>週日付</t>
  </si>
  <si>
    <t>火</t>
  </si>
  <si>
    <t>木</t>
  </si>
  <si>
    <t>金</t>
  </si>
  <si>
    <t>土</t>
  </si>
  <si>
    <t>週当たり</t>
  </si>
  <si>
    <t>週間産卵</t>
  </si>
  <si>
    <t>累計産卵</t>
  </si>
  <si>
    <t>格外</t>
  </si>
  <si>
    <t>週間</t>
  </si>
  <si>
    <t>農場</t>
  </si>
  <si>
    <t>ﾊﾟｯｷﾝｸﾞｾﾝﾀｰ</t>
  </si>
  <si>
    <t>累計数</t>
  </si>
  <si>
    <t>卵重(g)</t>
  </si>
  <si>
    <t>摂取</t>
  </si>
  <si>
    <t>飲水</t>
  </si>
  <si>
    <t>飼料</t>
  </si>
  <si>
    <t>価格/ﾄﾝ</t>
  </si>
  <si>
    <t>摂取量（kg）</t>
  </si>
  <si>
    <t>週最終</t>
  </si>
  <si>
    <t>週平均</t>
  </si>
  <si>
    <t>メモ</t>
  </si>
  <si>
    <t>卵規格入力</t>
  </si>
  <si>
    <t>卵重分布</t>
  </si>
  <si>
    <t>卵重分布表</t>
  </si>
  <si>
    <t>週平均重</t>
  </si>
  <si>
    <t>現平均重</t>
  </si>
  <si>
    <t>規格割合</t>
  </si>
  <si>
    <t>規格当量卵重分布</t>
  </si>
  <si>
    <t>年週</t>
  </si>
  <si>
    <t>規格等級付卵</t>
  </si>
  <si>
    <t>全産卵平均卵重分布 (%)</t>
  </si>
  <si>
    <t>累計産卵数</t>
  </si>
  <si>
    <t>生産コスト</t>
  </si>
  <si>
    <t>飼料摂取量</t>
  </si>
  <si>
    <t>週間 (kg)</t>
  </si>
  <si>
    <t>累計 (kg)</t>
  </si>
  <si>
    <t>飼料価格</t>
  </si>
  <si>
    <t>/ﾄﾝ</t>
  </si>
  <si>
    <t>/個</t>
  </si>
  <si>
    <t>累計平均</t>
  </si>
  <si>
    <t>飼料コスト</t>
  </si>
  <si>
    <t>/羽/日</t>
  </si>
  <si>
    <t>平均配分</t>
  </si>
  <si>
    <t>生産データ</t>
  </si>
  <si>
    <t>鶏舎番号 / 鶏舎ｼｽﾃﾑ</t>
  </si>
  <si>
    <t>鶏舎ｼｽﾃﾑ</t>
  </si>
  <si>
    <t>生存率 %</t>
  </si>
  <si>
    <t>産卵率</t>
  </si>
  <si>
    <t>HH産卵数</t>
  </si>
  <si>
    <t>卵重/週</t>
  </si>
  <si>
    <t>採卵重量</t>
  </si>
  <si>
    <t>HD飼料摂取量</t>
  </si>
  <si>
    <t>飼料摂取量/個</t>
  </si>
  <si>
    <t>要求率</t>
  </si>
  <si>
    <t>格外率%</t>
  </si>
  <si>
    <t>ヘンデイ</t>
  </si>
  <si>
    <t>成鶏羽数</t>
  </si>
  <si>
    <t>実値</t>
  </si>
  <si>
    <t>偏差</t>
  </si>
  <si>
    <t>累計偏差</t>
  </si>
  <si>
    <t>/日</t>
  </si>
  <si>
    <t>名前</t>
  </si>
  <si>
    <t>飼料会社</t>
  </si>
  <si>
    <t>% 斃死率</t>
  </si>
  <si>
    <t>% 産卵率</t>
  </si>
  <si>
    <t>hh産卵数</t>
  </si>
  <si>
    <t>hh採卵重量 (kg)</t>
  </si>
  <si>
    <t>要求率 18週齢 kg/kg</t>
  </si>
  <si>
    <t xml:space="preserve">飼摂取/個 18週齢(g) </t>
  </si>
  <si>
    <t>累計格外%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</si>
  <si>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</si>
  <si>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</si>
  <si>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</si>
  <si>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</si>
  <si>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</si>
  <si>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</si>
  <si>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</si>
  <si>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</si>
  <si>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</si>
  <si>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</si>
  <si>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</si>
  <si>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</si>
  <si>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ケージ</t>
  </si>
  <si>
    <t>小屋</t>
  </si>
  <si>
    <t>フリーレンジ</t>
  </si>
  <si>
    <t>階層ﾌﾘｰﾚﾝｼﾞ</t>
  </si>
  <si>
    <t>アビアリー</t>
  </si>
  <si>
    <t>ｴﾝﾘｯﾁﾄﾞｹｰｼﾞ</t>
  </si>
  <si>
    <t>有機型</t>
  </si>
  <si>
    <t>グラフ値</t>
  </si>
  <si>
    <t>生存率</t>
  </si>
  <si>
    <t>週間斃死率%</t>
  </si>
  <si>
    <t>産卵率%</t>
  </si>
  <si>
    <t>産卵率偏差</t>
  </si>
  <si>
    <t>卵重</t>
  </si>
  <si>
    <t>卵重偏差</t>
  </si>
  <si>
    <t>成鶏体重偏差</t>
  </si>
  <si>
    <t>日卵量偏差</t>
  </si>
  <si>
    <t>育雛/育成</t>
  </si>
  <si>
    <t>ﾊﾟｯｷﾝｸﾞｾﾝﾀｰ格外</t>
  </si>
  <si>
    <t>農場格外</t>
  </si>
  <si>
    <t>日羽</t>
  </si>
  <si>
    <t>累計飼料/羽/日</t>
  </si>
  <si>
    <t>週間要求率</t>
  </si>
  <si>
    <t>累計要求率</t>
  </si>
  <si>
    <t>週間要求率/個</t>
  </si>
  <si>
    <t>累計要求率/個</t>
  </si>
  <si>
    <t>斃死率%</t>
  </si>
  <si>
    <t>均一性</t>
  </si>
  <si>
    <t>均一性%</t>
  </si>
  <si>
    <t>飼料/飲水 比</t>
  </si>
  <si>
    <t>羽当り累計摂取量</t>
  </si>
  <si>
    <t>最小偏差</t>
  </si>
  <si>
    <t>産卵</t>
  </si>
  <si>
    <t>収容羽数</t>
  </si>
  <si>
    <t>資料番号</t>
  </si>
  <si>
    <t>育雛/育成成績</t>
  </si>
  <si>
    <t>体重（g）</t>
  </si>
  <si>
    <t>累計飼料摂取量（g）</t>
  </si>
  <si>
    <t>飲水/飼料　比</t>
  </si>
  <si>
    <t>産卵性能</t>
  </si>
  <si>
    <t>生存率%</t>
  </si>
  <si>
    <t>平均卵重</t>
  </si>
  <si>
    <t>週間斃死%</t>
  </si>
  <si>
    <t>産卵数/HH</t>
  </si>
  <si>
    <t>平均摂取量</t>
  </si>
  <si>
    <t>卵量 / 飼料摂取</t>
  </si>
  <si>
    <t>日卵量 g/day</t>
  </si>
  <si>
    <t>飼料摂取量 g</t>
  </si>
  <si>
    <t>累計産卵数/HH</t>
  </si>
  <si>
    <t>G/個</t>
  </si>
  <si>
    <t>比</t>
  </si>
  <si>
    <t>格外卵図</t>
  </si>
  <si>
    <t>級外卵%</t>
  </si>
  <si>
    <t>規格卵率</t>
  </si>
  <si>
    <t>規格卵%</t>
  </si>
  <si>
    <t>規格卵累計</t>
  </si>
  <si>
    <t>卵数/規格</t>
  </si>
  <si>
    <t>サマリーチャート</t>
  </si>
  <si>
    <t>平均藍綬</t>
  </si>
  <si>
    <t>産卵数/hh</t>
  </si>
  <si>
    <t>要求率/個</t>
  </si>
  <si>
    <t>累計飼料摂取</t>
  </si>
  <si>
    <t>South Slavic</t>
  </si>
  <si>
    <t>Generalni unos podataka</t>
  </si>
  <si>
    <t>Objašnjenje tabele</t>
  </si>
  <si>
    <t>Molim Vas unesite označena polja</t>
  </si>
  <si>
    <t>Naziv dokumenta će biti u polju B25</t>
  </si>
  <si>
    <t>Možete koristiti ovaj format za naziv dokumenta</t>
  </si>
  <si>
    <t>Potrebne informacije</t>
  </si>
  <si>
    <t>Svaka kalkulacija i grafikon će se generisati sam od podataka</t>
  </si>
  <si>
    <t xml:space="preserve">uneto u tabele ‚‚ generalni unos‚‚ , ‚‚unos za odgoj‚, i ‚‚unos za proizvodnju‚‚ </t>
  </si>
  <si>
    <t>Datum inkubiranja</t>
  </si>
  <si>
    <t>Hibrid</t>
  </si>
  <si>
    <t>Sistem držanja u periodu nošenja</t>
  </si>
  <si>
    <t>Naziv kompanije/ Farme</t>
  </si>
  <si>
    <t>Naziv farme za eksploataciju</t>
  </si>
  <si>
    <t>Broj objekta u periodu nošenja</t>
  </si>
  <si>
    <t>Zemlja</t>
  </si>
  <si>
    <t>Tehnički kontakt(email)</t>
  </si>
  <si>
    <t>Naziv datoteke</t>
  </si>
  <si>
    <t>Molim Vas da nam pošaljete rezultate klikom na sledeće sivo dugme</t>
  </si>
  <si>
    <t>Dostupne tabele</t>
  </si>
  <si>
    <t>Unos odgoja</t>
  </si>
  <si>
    <t>Grafikon odgoja</t>
  </si>
  <si>
    <t>Unos nosivosti</t>
  </si>
  <si>
    <t>Grafikon nosivosti</t>
  </si>
  <si>
    <t xml:space="preserve">Grafikon mase </t>
  </si>
  <si>
    <t>Grafikon konverzije hrane</t>
  </si>
  <si>
    <t>Opadajuće gradiranje</t>
  </si>
  <si>
    <t>Klasiranje jaja</t>
  </si>
  <si>
    <t>Distribucija klasa jaja</t>
  </si>
  <si>
    <t>Kumulativno klasiranje jaja</t>
  </si>
  <si>
    <t>Finansijska lista</t>
  </si>
  <si>
    <t xml:space="preserve">Proizvodni podaci </t>
  </si>
  <si>
    <t>Zbir</t>
  </si>
  <si>
    <t>Sadržaj</t>
  </si>
  <si>
    <t>Dnevno i nedeljno uginuće, telesne težine, potrošnje hrane i svetlosni program</t>
  </si>
  <si>
    <t>Uginuće, potrošnja hrane, telesna težina i ujednačenost</t>
  </si>
  <si>
    <t>Dnevna i nedeljna proizvodnja , nedeljna telesna težina i težina jaja, konzumacija i cena hrane.</t>
  </si>
  <si>
    <t xml:space="preserve">Vitalnost %, nosivost, težina jaja i telesna težina. </t>
  </si>
  <si>
    <t>Jajčana masa, konzumacija i kumulativan broj jaja</t>
  </si>
  <si>
    <t>Konverzija hrane i konverzija hrane /jaja</t>
  </si>
  <si>
    <t>Klasiranje jaja na farmi i u centru za klasiranje, nedeljno i kumulativno</t>
  </si>
  <si>
    <t>Distribucija težine jaja i broj jaja prema klasi</t>
  </si>
  <si>
    <t xml:space="preserve">% klasiranje jaja </t>
  </si>
  <si>
    <t>Količina proizvedenih jaja po klasama</t>
  </si>
  <si>
    <t>Nedeljni trošak hrane po toni, kg, jajetu i ptici</t>
  </si>
  <si>
    <t xml:space="preserve">Proizvodna tabela, pregled performansi jata svake nedelje </t>
  </si>
  <si>
    <t xml:space="preserve">Detaljni prikaz performansi jata u periodu nosivosti svakih 5 nedelja </t>
  </si>
  <si>
    <t>Godina</t>
  </si>
  <si>
    <t>Mesec</t>
  </si>
  <si>
    <t>Veoma smo zahvalni da dobijemo vaše rezultate</t>
  </si>
  <si>
    <t>Kako bi dobili pregled različitih hibrida i uporedili njihove performanse</t>
  </si>
  <si>
    <t>Pregled će biti dostupan na Oxygenu za sve zaposlene u ISA-i</t>
  </si>
  <si>
    <t>Molim vas pošaljite ovaj dokument na : isa.technicalfieldresults@hendrix-genetics.com</t>
  </si>
  <si>
    <t>Verzija :</t>
  </si>
  <si>
    <t>Starost</t>
  </si>
  <si>
    <t>Uginuće</t>
  </si>
  <si>
    <t>Dnevno</t>
  </si>
  <si>
    <t>Nedeljno</t>
  </si>
  <si>
    <t>Kumulativno</t>
  </si>
  <si>
    <t>Uginuće %</t>
  </si>
  <si>
    <t>Broj prica na kraju perioda</t>
  </si>
  <si>
    <t>Telesna težina</t>
  </si>
  <si>
    <t>Stvarna gr.</t>
  </si>
  <si>
    <t>Ujednačenost %</t>
  </si>
  <si>
    <t>Ukupan unos hrane (kg)</t>
  </si>
  <si>
    <t>Kumulativni unos hrane (kg)</t>
  </si>
  <si>
    <t>Dnevna konverzija hrane po ptici (g)</t>
  </si>
  <si>
    <t>Kumulativna konverzija hrane po ptici (g)</t>
  </si>
  <si>
    <t>Svetlost</t>
  </si>
  <si>
    <t>Trajanje svetla u satima</t>
  </si>
  <si>
    <t>Paljenje svetla u h</t>
  </si>
  <si>
    <t>Vakcinacije i operacije</t>
  </si>
  <si>
    <t>Naziv farme za odgoj</t>
  </si>
  <si>
    <t>Broj jednodnevnih pilića</t>
  </si>
  <si>
    <t>Sistem držanja</t>
  </si>
  <si>
    <t>Broj jata</t>
  </si>
  <si>
    <t>Broj objekta</t>
  </si>
  <si>
    <t>Datum transfera (dd/mm/gggg)</t>
  </si>
  <si>
    <t>Starost pri preseljenju</t>
  </si>
  <si>
    <t>Nedelje</t>
  </si>
  <si>
    <t>Dani</t>
  </si>
  <si>
    <t>Broj preseljenih kokica</t>
  </si>
  <si>
    <t>Potrošnja vode u litrima</t>
  </si>
  <si>
    <t>Konzumacija</t>
  </si>
  <si>
    <t>Konzumacija hrane ml/d/ptici</t>
  </si>
  <si>
    <t>Odnos vode/hrane</t>
  </si>
  <si>
    <t>Naziv fame:</t>
  </si>
  <si>
    <t>Broj objekta:</t>
  </si>
  <si>
    <t>Datum inkubacije :</t>
  </si>
  <si>
    <t>Datum 18 ned. Starosti:</t>
  </si>
  <si>
    <t>Datum preseljenja:</t>
  </si>
  <si>
    <t>Broj useljenih nosilja:</t>
  </si>
  <si>
    <t>Datum početka nedelje:</t>
  </si>
  <si>
    <t>Starost u nedeljama</t>
  </si>
  <si>
    <t xml:space="preserve">Br.ptica na kraju nedelje </t>
  </si>
  <si>
    <t>Nedeljno uginuće br. Ptica</t>
  </si>
  <si>
    <t>Proizvodnja jaja po danu ili po nedelji</t>
  </si>
  <si>
    <t>Dan u nedelji</t>
  </si>
  <si>
    <t>Pon.</t>
  </si>
  <si>
    <t>Uto.</t>
  </si>
  <si>
    <t>Sre.</t>
  </si>
  <si>
    <t>Čet.</t>
  </si>
  <si>
    <t>Pet.</t>
  </si>
  <si>
    <t>Sub.</t>
  </si>
  <si>
    <t>Ned.</t>
  </si>
  <si>
    <t>ili nedeljno</t>
  </si>
  <si>
    <t>Nedeljna proizvodnja jaja</t>
  </si>
  <si>
    <t>Kumulativna proizvodnja jaja</t>
  </si>
  <si>
    <t>Druga klasa</t>
  </si>
  <si>
    <t>Stanica za pakovanje</t>
  </si>
  <si>
    <t>Kumulativan broj</t>
  </si>
  <si>
    <t>Nedelja</t>
  </si>
  <si>
    <t>Težina jaja gr</t>
  </si>
  <si>
    <t>Konzumacija vode u litrima</t>
  </si>
  <si>
    <t>Konzumacija vode u ml/dnevno/ptici</t>
  </si>
  <si>
    <t>Hrana</t>
  </si>
  <si>
    <t>Cena po toni</t>
  </si>
  <si>
    <t>Unos u kg</t>
  </si>
  <si>
    <t>Kraj nedelje</t>
  </si>
  <si>
    <t>Telesna težina u gr.</t>
  </si>
  <si>
    <t>Nedeljni prosek</t>
  </si>
  <si>
    <t>Komentari</t>
  </si>
  <si>
    <t>Unos klasa jaja</t>
  </si>
  <si>
    <t>Distribucija težina jaja</t>
  </si>
  <si>
    <t xml:space="preserve">max. </t>
  </si>
  <si>
    <t>Tabele distribucije težina jaja</t>
  </si>
  <si>
    <t>Prosečna težina jaja</t>
  </si>
  <si>
    <t>Trenutna prosečna težina</t>
  </si>
  <si>
    <t>Klasa u procentima</t>
  </si>
  <si>
    <t>Tabela distribucija težina jaja po klasama</t>
  </si>
  <si>
    <t>Nedelja u godini</t>
  </si>
  <si>
    <t>Nedeljno proizvedeno jaja</t>
  </si>
  <si>
    <t>Reparticija jaja po klasama</t>
  </si>
  <si>
    <t>Prosečna distribucija težina jaja u toku cele proizvodnje %</t>
  </si>
  <si>
    <t>Kumulativan broj proizvedenih jaja</t>
  </si>
  <si>
    <t>Proizvodni trošak</t>
  </si>
  <si>
    <t xml:space="preserve">Konzumacija hrane </t>
  </si>
  <si>
    <t xml:space="preserve">Nedeljno (kg) </t>
  </si>
  <si>
    <t>Kumulativno (kg)</t>
  </si>
  <si>
    <t xml:space="preserve">Cena hrane </t>
  </si>
  <si>
    <t>/jajetu</t>
  </si>
  <si>
    <t>Kumulativni prosek</t>
  </si>
  <si>
    <t>/ptica/dnevno</t>
  </si>
  <si>
    <t>Prosčna cena hrane</t>
  </si>
  <si>
    <t>Proizvodni podaci</t>
  </si>
  <si>
    <t>Naziv farme</t>
  </si>
  <si>
    <t>Broj objekta/sistem držanja</t>
  </si>
  <si>
    <t>Datum preseljenja :</t>
  </si>
  <si>
    <t>Br. Useljenih nosilja</t>
  </si>
  <si>
    <t>Naziv mešaone stočne hrane</t>
  </si>
  <si>
    <t>Vitalnost %</t>
  </si>
  <si>
    <t>Procenat nosivosti</t>
  </si>
  <si>
    <t>Broj jaja po useljnoj nosilji</t>
  </si>
  <si>
    <t>Težina jaja / nedeljno</t>
  </si>
  <si>
    <t>Masa jaja</t>
  </si>
  <si>
    <t>Konzumacija hrane / dnevno po nosilji</t>
  </si>
  <si>
    <t>Konzumacija hrane / jajetu</t>
  </si>
  <si>
    <t>Konverzija hrane</t>
  </si>
  <si>
    <t>Druga klasa %</t>
  </si>
  <si>
    <t>Telesna težina (gr)</t>
  </si>
  <si>
    <t>Dnevno po kljunu</t>
  </si>
  <si>
    <t>Useljene ptice</t>
  </si>
  <si>
    <t>Stvarno</t>
  </si>
  <si>
    <t>Kumulativni standard</t>
  </si>
  <si>
    <t>/ dnevno</t>
  </si>
  <si>
    <t>Kumulativno.</t>
  </si>
  <si>
    <t>Zbirno</t>
  </si>
  <si>
    <t>Naziv</t>
  </si>
  <si>
    <t>Datum preseljenja</t>
  </si>
  <si>
    <t>Datum sa 18 ned. Starosti</t>
  </si>
  <si>
    <t>Broj nosilja</t>
  </si>
  <si>
    <t xml:space="preserve">Sistem držanja: </t>
  </si>
  <si>
    <t>% Uginuća</t>
  </si>
  <si>
    <t>% Nosivosti</t>
  </si>
  <si>
    <t>Broj jaja po useljenoj koki</t>
  </si>
  <si>
    <t>Težina jaja u gramima</t>
  </si>
  <si>
    <t>Masa jaja po koki u kg</t>
  </si>
  <si>
    <t xml:space="preserve">Konverzija hrane 18 ned. Kg/kg </t>
  </si>
  <si>
    <t>Konverzija hrane / jaja 18 ned. Gr</t>
  </si>
  <si>
    <t xml:space="preserve">Kumulativno druga klasa jaja % </t>
  </si>
  <si>
    <t>Razno</t>
  </si>
  <si>
    <t>Mart</t>
  </si>
  <si>
    <t>Maj</t>
  </si>
  <si>
    <t>Jun</t>
  </si>
  <si>
    <t>Avgust</t>
  </si>
  <si>
    <t>Septembar</t>
  </si>
  <si>
    <t>Oktobar</t>
  </si>
  <si>
    <t>Novembar</t>
  </si>
  <si>
    <t>Decembar</t>
  </si>
  <si>
    <t>Kavezi</t>
  </si>
  <si>
    <t>Podni sistem</t>
  </si>
  <si>
    <t>Free range na više nivoa</t>
  </si>
  <si>
    <t>Obogaćeni kavezi</t>
  </si>
  <si>
    <t xml:space="preserve">Organski </t>
  </si>
  <si>
    <t>Vrednosti grafikona</t>
  </si>
  <si>
    <t>Vitalnost</t>
  </si>
  <si>
    <t xml:space="preserve">Nedeljno uginuće </t>
  </si>
  <si>
    <t>Standard nosivosti</t>
  </si>
  <si>
    <t>Težina jaja</t>
  </si>
  <si>
    <t>Standard težine jaja</t>
  </si>
  <si>
    <t>Standard težine u nosivosti</t>
  </si>
  <si>
    <t>Potrošnja</t>
  </si>
  <si>
    <t>Dnevna masa jaja, standard</t>
  </si>
  <si>
    <t>Odgoj</t>
  </si>
  <si>
    <t>Druga klasa jaja u klasirnici</t>
  </si>
  <si>
    <t>Druga klasa jaja na farmi</t>
  </si>
  <si>
    <t>Klasirnica</t>
  </si>
  <si>
    <t>Dnevno nosilje</t>
  </si>
  <si>
    <t xml:space="preserve">Kum.hrana/ptici/dnevno </t>
  </si>
  <si>
    <t>Nedeljno konverzija hrane</t>
  </si>
  <si>
    <t>Kumulativno .konverzija hrane</t>
  </si>
  <si>
    <t>Nedeljno konverzija hrane / jaja</t>
  </si>
  <si>
    <t xml:space="preserve">Kumulativno konverzija/jajetu </t>
  </si>
  <si>
    <t>Kumulativno broj jaja</t>
  </si>
  <si>
    <t>Uniformnost</t>
  </si>
  <si>
    <t>Uniformnost %</t>
  </si>
  <si>
    <t>odnos hrane/voda</t>
  </si>
  <si>
    <t>kum.konzumacija po ptici</t>
  </si>
  <si>
    <t>std. Min.</t>
  </si>
  <si>
    <t>Nosivost</t>
  </si>
  <si>
    <t>Broj useljenih ptica</t>
  </si>
  <si>
    <t>Sisem držanja</t>
  </si>
  <si>
    <t xml:space="preserve">Broj pilića </t>
  </si>
  <si>
    <t>Performanse odgoja</t>
  </si>
  <si>
    <t>Telesna težina u gramima</t>
  </si>
  <si>
    <t>Kumulativna potrošnja hrane u gr.</t>
  </si>
  <si>
    <t xml:space="preserve">Odnos vode i hrane </t>
  </si>
  <si>
    <t>Performanse nosivosti</t>
  </si>
  <si>
    <t>Nedeljno uginuće %</t>
  </si>
  <si>
    <t>Jaja po useljenoj koki</t>
  </si>
  <si>
    <t xml:space="preserve">Konverzija hrane </t>
  </si>
  <si>
    <t>Prosečna konzumacija kumulativno</t>
  </si>
  <si>
    <t>Masa jaja / Konzumacija hrane</t>
  </si>
  <si>
    <t>Jajčana masa u gr. Dnevno</t>
  </si>
  <si>
    <t>Konzumacija hrane u gr.</t>
  </si>
  <si>
    <t>Kumulativno br.jaja po useljeno koki</t>
  </si>
  <si>
    <t>G po jajetu</t>
  </si>
  <si>
    <t>Odnos</t>
  </si>
  <si>
    <t>Grafikon klase jaja</t>
  </si>
  <si>
    <t xml:space="preserve">Druga klasa % </t>
  </si>
  <si>
    <t>Procenat klasiranja</t>
  </si>
  <si>
    <t xml:space="preserve">Klasiranje % </t>
  </si>
  <si>
    <t>Kumulativno klasiranje</t>
  </si>
  <si>
    <t>Broj jaja po klasama</t>
  </si>
  <si>
    <t>Zbirna tabela</t>
  </si>
  <si>
    <t>Jaja / useljeno koki</t>
  </si>
  <si>
    <t xml:space="preserve">Konverzija hrane po jajetu </t>
  </si>
  <si>
    <t xml:space="preserve">Kumulativna konverzija hrane </t>
  </si>
  <si>
    <t xml:space="preserve">Nedeljno </t>
  </si>
  <si>
    <t>Language</t>
  </si>
  <si>
    <t>Langue</t>
  </si>
  <si>
    <t>العربية</t>
  </si>
  <si>
    <t>Español</t>
  </si>
  <si>
    <t>Deutsch</t>
  </si>
  <si>
    <t>한국의</t>
  </si>
  <si>
    <t>日本の</t>
  </si>
  <si>
    <t>Polski</t>
  </si>
  <si>
    <t>Português</t>
  </si>
  <si>
    <t>Slovenský</t>
  </si>
  <si>
    <t>русский</t>
  </si>
  <si>
    <t>中国</t>
  </si>
  <si>
    <t>Sheets</t>
  </si>
  <si>
    <t>offset</t>
  </si>
  <si>
    <t>Date min</t>
  </si>
  <si>
    <t>Date max</t>
  </si>
  <si>
    <t>[$-809]ddd</t>
  </si>
  <si>
    <t>[$-0C0A]ddd</t>
  </si>
  <si>
    <t>[$-0407]ddd</t>
  </si>
  <si>
    <t>[$-0421]ddd</t>
  </si>
  <si>
    <t>[$-0410]dddd</t>
  </si>
  <si>
    <t>[$-0816]ddd</t>
  </si>
  <si>
    <t>[$-041b]ddd</t>
  </si>
  <si>
    <t>[$-0419]ddd</t>
  </si>
  <si>
    <t>[$-0412]ddd</t>
  </si>
  <si>
    <t>[$-0401]ddd</t>
  </si>
  <si>
    <t>[$-0804]ddd</t>
  </si>
  <si>
    <t>[$-0411]ddd</t>
  </si>
  <si>
    <t>[$-0413]ddd</t>
  </si>
  <si>
    <t>[$-0415]ddd</t>
  </si>
  <si>
    <t>[$-081A]ddd</t>
  </si>
  <si>
    <t>Stock End of week</t>
  </si>
  <si>
    <t>[$-040C]</t>
  </si>
  <si>
    <t>j</t>
  </si>
  <si>
    <t>d</t>
  </si>
  <si>
    <t>m</t>
  </si>
  <si>
    <t>a</t>
  </si>
  <si>
    <t>[$-0407]</t>
  </si>
  <si>
    <t>[$-809]</t>
  </si>
  <si>
    <t>[$-0C0A]</t>
  </si>
  <si>
    <t>[$-0421]</t>
  </si>
  <si>
    <t>[$-0410]</t>
  </si>
  <si>
    <t>[$-0413]</t>
  </si>
  <si>
    <t>[$-0415]</t>
  </si>
  <si>
    <t>[$-0816]</t>
  </si>
  <si>
    <t>[$-041b]</t>
  </si>
  <si>
    <t>[$-081A]</t>
  </si>
  <si>
    <t>[$-0419]</t>
  </si>
  <si>
    <t>[$-0401]</t>
  </si>
  <si>
    <t>[$-0412]</t>
  </si>
  <si>
    <t>[$-0804]</t>
  </si>
  <si>
    <t>[$-0411]</t>
  </si>
  <si>
    <t>y</t>
  </si>
  <si>
    <t>month</t>
  </si>
  <si>
    <t>country code</t>
  </si>
  <si>
    <t>Weeks</t>
  </si>
  <si>
    <t>Semanas</t>
  </si>
  <si>
    <t>Settimane</t>
  </si>
  <si>
    <t>Weken</t>
  </si>
  <si>
    <t>tygodnie</t>
  </si>
  <si>
    <t>Týždne</t>
  </si>
  <si>
    <t>Недели</t>
  </si>
  <si>
    <t xml:space="preserve">أسابيع </t>
  </si>
  <si>
    <t>Days</t>
  </si>
  <si>
    <t>Días</t>
  </si>
  <si>
    <t>Giorni</t>
  </si>
  <si>
    <t>Dagen</t>
  </si>
  <si>
    <t>dni</t>
  </si>
  <si>
    <t>Dias</t>
  </si>
  <si>
    <t>Dni</t>
  </si>
  <si>
    <t>Дни</t>
  </si>
  <si>
    <t xml:space="preserve">أيام </t>
  </si>
  <si>
    <t>第几周</t>
  </si>
  <si>
    <t>第几天</t>
  </si>
  <si>
    <t xml:space="preserve"> </t>
  </si>
  <si>
    <t xml:space="preserve"> %lay HD</t>
  </si>
  <si>
    <t xml:space="preserve"> AEW</t>
  </si>
  <si>
    <t xml:space="preserve"> BW</t>
  </si>
  <si>
    <t xml:space="preserve"> Daily egg mass</t>
  </si>
  <si>
    <t xml:space="preserve"> Cumulative egg mass HH</t>
  </si>
  <si>
    <t xml:space="preserve"> Eggs HH</t>
  </si>
  <si>
    <t>% Продуктивность</t>
  </si>
  <si>
    <t>Продуктивность %</t>
  </si>
  <si>
    <t>Продуктивность, стандарт</t>
  </si>
  <si>
    <t>[$-0419]  ;@</t>
  </si>
  <si>
    <t>O</t>
  </si>
  <si>
    <t>H</t>
  </si>
  <si>
    <t>X</t>
  </si>
  <si>
    <t>V</t>
  </si>
  <si>
    <t>I</t>
  </si>
  <si>
    <t>J</t>
  </si>
  <si>
    <t>Average of BW MIN</t>
  </si>
  <si>
    <t>Average of BW MAX</t>
  </si>
  <si>
    <t>C</t>
  </si>
  <si>
    <t>D</t>
  </si>
  <si>
    <t>Feed min</t>
  </si>
  <si>
    <t>Feed max</t>
  </si>
  <si>
    <t>Latest week</t>
  </si>
  <si>
    <t>Addition lines 2019 09 09</t>
  </si>
  <si>
    <t>lang iso</t>
  </si>
  <si>
    <t>de</t>
  </si>
  <si>
    <t>en</t>
  </si>
  <si>
    <t>es</t>
  </si>
  <si>
    <t>id</t>
  </si>
  <si>
    <t>it</t>
  </si>
  <si>
    <t>nl</t>
  </si>
  <si>
    <t>pl</t>
  </si>
  <si>
    <t>pt</t>
  </si>
  <si>
    <t>sk</t>
  </si>
  <si>
    <t>sl</t>
  </si>
  <si>
    <t>ru</t>
  </si>
  <si>
    <t>ar</t>
  </si>
  <si>
    <t>ko</t>
  </si>
  <si>
    <t>zh</t>
  </si>
  <si>
    <t>ja</t>
  </si>
  <si>
    <t>Translation</t>
  </si>
  <si>
    <t>الأسبوع الأخير</t>
  </si>
  <si>
    <t>최신 주</t>
  </si>
  <si>
    <t>最近一周</t>
  </si>
  <si>
    <t>最新の週</t>
  </si>
  <si>
    <t>Die Letzte Woche</t>
  </si>
  <si>
    <t>Última Semana</t>
  </si>
  <si>
    <t>Dernière Semaine</t>
  </si>
  <si>
    <t>Minggu Terakhir</t>
  </si>
  <si>
    <t>Ultime Settimane</t>
  </si>
  <si>
    <t>Laatste Week</t>
  </si>
  <si>
    <t>Ostatni Tydzień</t>
  </si>
  <si>
    <t>Últimas Semana</t>
  </si>
  <si>
    <t>Posledný Týždeň</t>
  </si>
  <si>
    <t>Zadnje Teden</t>
  </si>
  <si>
    <t>Последние Недели</t>
  </si>
  <si>
    <t>919071L</t>
  </si>
  <si>
    <t>[$-0407]jj mmm tttt;@</t>
  </si>
  <si>
    <t>[$-809]dd mmm yyyy;@</t>
  </si>
  <si>
    <t>[$-0C0A]dd mmm aaaa;@</t>
  </si>
  <si>
    <t>[$-040C]jj mmm aaaa;@</t>
  </si>
  <si>
    <t>[$-0421]  ;@</t>
  </si>
  <si>
    <t>[$-0410]  ;@</t>
  </si>
  <si>
    <t>[$-0413]dd mmm tttt;@</t>
  </si>
  <si>
    <t>[$-0415]  ;@</t>
  </si>
  <si>
    <t>[$-0816]  ;@</t>
  </si>
  <si>
    <t>[$-041b]  ;@</t>
  </si>
  <si>
    <t>[$-081A]  ;@</t>
  </si>
  <si>
    <t>[$-0401]  ;@</t>
  </si>
  <si>
    <t>[$-0412]  ;@</t>
  </si>
  <si>
    <t>[$-0804]日日 月月月 年年年年;@</t>
  </si>
  <si>
    <t>[$-0411]  ;@</t>
  </si>
  <si>
    <t>[$-040C]jjj</t>
  </si>
  <si>
    <t>Bürger Woche</t>
  </si>
  <si>
    <t>Civil Week</t>
  </si>
  <si>
    <t>Semana Civil</t>
  </si>
  <si>
    <t>Semaine Civile</t>
  </si>
  <si>
    <t>Minggu Sipil</t>
  </si>
  <si>
    <t>Settimana Civile</t>
  </si>
  <si>
    <t>Tydzień Cywilnego</t>
  </si>
  <si>
    <t>Civilné Week</t>
  </si>
  <si>
    <t>Civilna Teden</t>
  </si>
  <si>
    <t>Гражданская Неделя</t>
  </si>
  <si>
    <t>أسبوع المدنية</t>
  </si>
  <si>
    <t>남북 주</t>
  </si>
  <si>
    <t>民事周</t>
  </si>
  <si>
    <t>市民ウィーク</t>
  </si>
  <si>
    <t>B</t>
  </si>
  <si>
    <t>K</t>
  </si>
  <si>
    <t>Feed avg</t>
  </si>
  <si>
    <t>Liveability rearing</t>
  </si>
  <si>
    <t>ISA BROWN Baiada ALT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</si>
</sst>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.00\ &quot;£&quot;_-;\-* #,##0.00\ &quot;£&quot;_-;_-* &quot;-&quot;??\ &quot;£&quot;_-;_-@_-"/>
    <numFmt numFmtId="165" formatCode="_-* #,##0.00\ &quot;F&quot;_-;\-* #,##0.00\ &quot;F&quot;_-;_-* &quot;-&quot;??\ &quot;F&quot;_-;_-@_-"/>
    <numFmt numFmtId="166" formatCode="_-* #,##0.00\ _F_-;\-* #,##0.00\ _F_-;_-* &quot;-&quot;??\ _F_-;_-@_-"/>
    <numFmt numFmtId="167" formatCode="0.0"/>
    <numFmt numFmtId="168" formatCode="_-* #,##0\ _F_-;\-* #,##0\ _F_-;_-* &quot;-&quot;??\ _F_-;_-@_-"/>
    <numFmt numFmtId="169" formatCode="[$-409]mmmm\ d\,\ yyyy;@"/>
    <numFmt numFmtId="170" formatCode="[$-409]d/mmm/yy;@"/>
    <numFmt numFmtId="171" formatCode="#,##0.000"/>
    <numFmt numFmtId="172" formatCode="#,##0_ ;\-#,##0\ "/>
    <numFmt numFmtId="173" formatCode="0.000"/>
    <numFmt numFmtId="174" formatCode="[$-40C]d\ mmm\ yyyy;@"/>
    <numFmt numFmtId="175" formatCode="[$-F800]dddd\,\ mmmm\ dd\,\ yyyy"/>
    <numFmt numFmtId="176" formatCode="0.0000"/>
    <numFmt numFmtId="177" formatCode="ddd\,\ dd/mm/yyyy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Calibri"/>
      <family val="2"/>
      <scheme val="minor"/>
    </font>
    <font>
      <b/>
      <sz val="10"/>
      <color theme="4" tint="0.249977111117893"/>
      <name val="Calibri"/>
      <family val="2"/>
      <scheme val="minor"/>
    </font>
    <font>
      <sz val="10"/>
      <color theme="4" tint="0.249977111117893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0"/>
      <color theme="1" tint="0.249977111117893"/>
      <name val="Arial"/>
      <family val="2"/>
    </font>
    <font>
      <sz val="8"/>
      <color theme="3"/>
      <name val="Calibri"/>
      <family val="2"/>
      <scheme val="minor"/>
    </font>
    <font>
      <b/>
      <sz val="8"/>
      <color theme="3"/>
      <name val="Calibri"/>
      <family val="2"/>
      <scheme val="minor"/>
    </font>
    <font>
      <b/>
      <sz val="10"/>
      <color theme="1" tint="9.9978637043366805E-2"/>
      <name val="Calibri"/>
      <family val="2"/>
      <scheme val="minor"/>
    </font>
    <font>
      <b/>
      <sz val="14"/>
      <color theme="1" tint="9.9978637043366805E-2"/>
      <name val="Calibri"/>
      <family val="2"/>
      <scheme val="minor"/>
    </font>
    <font>
      <i/>
      <sz val="10"/>
      <color theme="1" tint="9.9978637043366805E-2"/>
      <name val="Calibri"/>
      <family val="2"/>
      <scheme val="minor"/>
    </font>
    <font>
      <sz val="8"/>
      <color theme="1" tint="9.9978637043366805E-2"/>
      <name val="Calibri"/>
      <family val="2"/>
      <scheme val="minor"/>
    </font>
    <font>
      <sz val="10"/>
      <color theme="1" tint="9.9978637043366805E-2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28"/>
      <color theme="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5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/>
      <right style="medium">
        <color theme="1"/>
      </right>
      <top/>
      <bottom/>
      <diagonal/>
    </border>
    <border>
      <left/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hair">
        <color theme="1"/>
      </bottom>
      <diagonal/>
    </border>
    <border>
      <left/>
      <right/>
      <top style="medium">
        <color theme="1"/>
      </top>
      <bottom style="hair">
        <color theme="1"/>
      </bottom>
      <diagonal/>
    </border>
    <border>
      <left/>
      <right style="medium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medium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hair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/>
      <diagonal/>
    </border>
    <border>
      <left style="hair">
        <color theme="1"/>
      </left>
      <right style="hair">
        <color theme="1"/>
      </right>
      <top style="medium">
        <color theme="1"/>
      </top>
      <bottom/>
      <diagonal/>
    </border>
    <border>
      <left style="hair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medium">
        <color theme="1"/>
      </right>
      <top/>
      <bottom/>
      <diagonal/>
    </border>
    <border>
      <left style="medium">
        <color theme="1"/>
      </left>
      <right style="hair">
        <color theme="1"/>
      </right>
      <top/>
      <bottom style="medium">
        <color theme="1"/>
      </bottom>
      <diagonal/>
    </border>
    <border>
      <left style="hair">
        <color theme="1"/>
      </left>
      <right style="hair">
        <color theme="1"/>
      </right>
      <top/>
      <bottom style="medium">
        <color theme="1"/>
      </bottom>
      <diagonal/>
    </border>
    <border>
      <left style="hair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thin">
        <color theme="1"/>
      </right>
      <top style="hair">
        <color theme="1"/>
      </top>
      <bottom style="medium">
        <color theme="1"/>
      </bottom>
      <diagonal/>
    </border>
    <border>
      <left/>
      <right style="medium">
        <color theme="1"/>
      </right>
      <top style="hair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medium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hair">
        <color theme="1"/>
      </bottom>
      <diagonal/>
    </border>
    <border>
      <left style="thin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thin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hair">
        <color theme="1"/>
      </top>
      <bottom style="medium">
        <color theme="1"/>
      </bottom>
      <diagonal/>
    </border>
    <border>
      <left/>
      <right/>
      <top style="hair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hair">
        <color indexed="64"/>
      </top>
      <bottom style="hair">
        <color indexed="64"/>
      </bottom>
      <diagonal/>
    </border>
    <border>
      <left/>
      <right style="medium">
        <color theme="1"/>
      </right>
      <top style="hair">
        <color indexed="64"/>
      </top>
      <bottom style="hair">
        <color indexed="64"/>
      </bottom>
      <diagonal/>
    </border>
    <border>
      <left style="medium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medium">
        <color theme="1"/>
      </right>
      <top style="hair">
        <color theme="1"/>
      </top>
      <bottom/>
      <diagonal/>
    </border>
    <border>
      <left style="medium">
        <color theme="1"/>
      </left>
      <right/>
      <top style="hair">
        <color theme="1"/>
      </top>
      <bottom style="hair">
        <color indexed="64"/>
      </bottom>
      <diagonal/>
    </border>
    <border>
      <left/>
      <right/>
      <top style="hair">
        <color theme="1"/>
      </top>
      <bottom style="hair">
        <color indexed="64"/>
      </bottom>
      <diagonal/>
    </border>
    <border>
      <left/>
      <right style="medium">
        <color theme="1"/>
      </right>
      <top style="hair">
        <color theme="1"/>
      </top>
      <bottom style="hair">
        <color indexed="64"/>
      </bottom>
      <diagonal/>
    </border>
    <border>
      <left style="medium">
        <color theme="1"/>
      </left>
      <right/>
      <top style="hair">
        <color indexed="64"/>
      </top>
      <bottom style="medium">
        <color theme="1"/>
      </bottom>
      <diagonal/>
    </border>
    <border>
      <left/>
      <right/>
      <top style="hair">
        <color indexed="64"/>
      </top>
      <bottom style="medium">
        <color theme="1"/>
      </bottom>
      <diagonal/>
    </border>
    <border>
      <left/>
      <right style="medium">
        <color theme="1"/>
      </right>
      <top style="hair">
        <color indexed="64"/>
      </top>
      <bottom style="medium">
        <color theme="1"/>
      </bottom>
      <diagonal/>
    </border>
    <border>
      <left style="medium">
        <color theme="1"/>
      </left>
      <right/>
      <top style="hair">
        <color indexed="64"/>
      </top>
      <bottom style="hair">
        <color theme="1"/>
      </bottom>
      <diagonal/>
    </border>
    <border>
      <left/>
      <right/>
      <top style="hair">
        <color indexed="64"/>
      </top>
      <bottom style="hair">
        <color theme="1"/>
      </bottom>
      <diagonal/>
    </border>
    <border>
      <left/>
      <right style="medium">
        <color theme="1"/>
      </right>
      <top style="hair">
        <color indexed="64"/>
      </top>
      <bottom style="hair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 style="medium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indexed="64"/>
      </bottom>
      <diagonal/>
    </border>
    <border>
      <left/>
      <right style="thin">
        <color theme="1"/>
      </right>
      <top style="hair">
        <color indexed="64"/>
      </top>
      <bottom style="medium">
        <color theme="1"/>
      </bottom>
      <diagonal/>
    </border>
    <border>
      <left style="thin">
        <color theme="1"/>
      </left>
      <right/>
      <top style="hair">
        <color theme="1"/>
      </top>
      <bottom style="hair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medium">
        <color theme="1"/>
      </top>
      <bottom style="hair">
        <color theme="1"/>
      </bottom>
      <diagonal/>
    </border>
    <border>
      <left style="thin">
        <color theme="1"/>
      </left>
      <right/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 style="hair">
        <color theme="1"/>
      </bottom>
      <diagonal/>
    </border>
    <border>
      <left style="medium">
        <color theme="1"/>
      </left>
      <right/>
      <top style="medium">
        <color theme="1"/>
      </top>
      <bottom style="hair">
        <color indexed="64"/>
      </bottom>
      <diagonal/>
    </border>
    <border>
      <left/>
      <right/>
      <top style="medium">
        <color theme="1"/>
      </top>
      <bottom style="hair">
        <color indexed="64"/>
      </bottom>
      <diagonal/>
    </border>
    <border>
      <left/>
      <right style="thin">
        <color theme="1"/>
      </right>
      <top style="medium">
        <color theme="1"/>
      </top>
      <bottom style="hair">
        <color indexed="64"/>
      </bottom>
      <diagonal/>
    </border>
    <border>
      <left/>
      <right style="thin">
        <color theme="1"/>
      </right>
      <top style="hair">
        <color indexed="64"/>
      </top>
      <bottom style="hair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hair">
        <color theme="1"/>
      </top>
      <bottom style="medium">
        <color theme="1"/>
      </bottom>
      <diagonal/>
    </border>
    <border>
      <left/>
      <right style="medium">
        <color theme="1"/>
      </right>
      <top style="hair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hair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hair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/>
      <right style="medium">
        <color theme="1"/>
      </right>
      <top style="hair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9">
    <xf numFmtId="0" fontId="0" fillId="0" borderId="0"/>
    <xf numFmtId="166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5" fillId="0" borderId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44">
    <xf numFmtId="0" fontId="0" fillId="0" borderId="0" xfId="0"/>
    <xf numFmtId="0" fontId="7" fillId="0" borderId="0" xfId="0" applyFont="1"/>
    <xf numFmtId="0" fontId="8" fillId="0" borderId="0" xfId="0" applyFont="1"/>
    <xf numFmtId="0" fontId="7" fillId="2" borderId="0" xfId="0" applyFont="1" applyFill="1" applyProtection="1"/>
    <xf numFmtId="0" fontId="7" fillId="2" borderId="0" xfId="0" applyFont="1" applyFill="1" applyBorder="1" applyProtection="1"/>
    <xf numFmtId="0" fontId="7" fillId="2" borderId="0" xfId="0" applyFont="1" applyFill="1" applyBorder="1" applyAlignment="1" applyProtection="1">
      <alignment vertical="center" wrapText="1"/>
    </xf>
    <xf numFmtId="0" fontId="7" fillId="2" borderId="7" xfId="0" applyFont="1" applyFill="1" applyBorder="1" applyAlignment="1" applyProtection="1">
      <alignment vertical="center" wrapText="1"/>
    </xf>
    <xf numFmtId="0" fontId="7" fillId="2" borderId="0" xfId="0" applyFont="1" applyFill="1" applyAlignment="1" applyProtection="1">
      <alignment horizontal="center"/>
    </xf>
    <xf numFmtId="0" fontId="7" fillId="2" borderId="0" xfId="0" applyFont="1" applyFill="1" applyAlignment="1" applyProtection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7" fillId="2" borderId="0" xfId="0" applyFont="1" applyFill="1" applyBorder="1" applyAlignment="1" applyProtection="1">
      <alignment vertical="center"/>
    </xf>
    <xf numFmtId="0" fontId="7" fillId="0" borderId="0" xfId="0" applyFont="1" applyBorder="1" applyAlignment="1">
      <alignment horizontal="right"/>
    </xf>
    <xf numFmtId="0" fontId="9" fillId="2" borderId="0" xfId="0" applyFont="1" applyFill="1" applyAlignment="1" applyProtection="1">
      <alignment horizontal="center" wrapText="1"/>
    </xf>
    <xf numFmtId="0" fontId="9" fillId="2" borderId="0" xfId="0" applyFont="1" applyFill="1" applyAlignment="1" applyProtection="1">
      <alignment wrapText="1"/>
    </xf>
    <xf numFmtId="0" fontId="7" fillId="2" borderId="0" xfId="0" applyFont="1" applyFill="1" applyAlignment="1" applyProtection="1">
      <alignment horizontal="center" vertical="center" wrapText="1"/>
    </xf>
    <xf numFmtId="0" fontId="7" fillId="2" borderId="0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3" fontId="8" fillId="2" borderId="0" xfId="0" applyNumberFormat="1" applyFont="1" applyFill="1" applyBorder="1" applyAlignment="1" applyProtection="1">
      <alignment vertical="center" wrapText="1"/>
    </xf>
    <xf numFmtId="1" fontId="8" fillId="2" borderId="0" xfId="0" applyNumberFormat="1" applyFont="1" applyFill="1" applyBorder="1" applyAlignment="1" applyProtection="1">
      <alignment vertical="center" wrapText="1"/>
    </xf>
    <xf numFmtId="0" fontId="8" fillId="2" borderId="0" xfId="0" applyFont="1" applyFill="1" applyBorder="1" applyAlignment="1" applyProtection="1">
      <alignment vertical="center" wrapText="1"/>
    </xf>
    <xf numFmtId="0" fontId="7" fillId="2" borderId="11" xfId="0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/>
    </xf>
    <xf numFmtId="0" fontId="8" fillId="0" borderId="0" xfId="0" applyFont="1" applyFill="1" applyBorder="1" applyAlignment="1" applyProtection="1">
      <alignment vertical="center"/>
    </xf>
    <xf numFmtId="0" fontId="8" fillId="0" borderId="1" xfId="0" applyFont="1" applyFill="1" applyBorder="1" applyAlignment="1" applyProtection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</xf>
    <xf numFmtId="0" fontId="7" fillId="0" borderId="3" xfId="0" applyFont="1" applyFill="1" applyBorder="1" applyAlignment="1" applyProtection="1">
      <alignment horizontal="center" vertical="center" wrapText="1"/>
    </xf>
    <xf numFmtId="0" fontId="7" fillId="0" borderId="4" xfId="0" applyFont="1" applyFill="1" applyBorder="1" applyAlignment="1" applyProtection="1">
      <alignment horizontal="center" vertical="center" wrapText="1"/>
    </xf>
    <xf numFmtId="0" fontId="7" fillId="0" borderId="5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/>
    </xf>
    <xf numFmtId="0" fontId="8" fillId="0" borderId="12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>
      <alignment horizontal="center" vertical="center" wrapText="1"/>
    </xf>
    <xf numFmtId="3" fontId="7" fillId="0" borderId="0" xfId="0" applyNumberFormat="1" applyFont="1" applyAlignment="1" applyProtection="1">
      <alignment horizontal="center" vertical="center"/>
    </xf>
    <xf numFmtId="0" fontId="7" fillId="0" borderId="0" xfId="0" applyFont="1" applyProtection="1">
      <protection locked="0"/>
    </xf>
    <xf numFmtId="0" fontId="11" fillId="2" borderId="0" xfId="0" applyFont="1" applyFill="1" applyAlignment="1" applyProtection="1">
      <alignment vertical="center" wrapText="1"/>
    </xf>
    <xf numFmtId="0" fontId="12" fillId="2" borderId="0" xfId="0" applyFont="1" applyFill="1" applyAlignment="1" applyProtection="1">
      <alignment vertical="center" wrapText="1"/>
      <protection locked="0"/>
    </xf>
    <xf numFmtId="0" fontId="11" fillId="0" borderId="0" xfId="4" applyFont="1" applyAlignment="1">
      <alignment vertical="center"/>
    </xf>
    <xf numFmtId="0" fontId="12" fillId="0" borderId="0" xfId="4" applyFont="1" applyAlignment="1" applyProtection="1">
      <alignment vertical="center"/>
      <protection locked="0"/>
    </xf>
    <xf numFmtId="1" fontId="7" fillId="0" borderId="0" xfId="0" applyNumberFormat="1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8" fillId="0" borderId="12" xfId="0" applyFont="1" applyFill="1" applyBorder="1" applyAlignment="1" applyProtection="1">
      <alignment horizontal="center" vertical="center" wrapText="1"/>
    </xf>
    <xf numFmtId="0" fontId="8" fillId="0" borderId="13" xfId="0" applyFont="1" applyFill="1" applyBorder="1" applyAlignment="1" applyProtection="1">
      <alignment horizontal="center" vertical="center" wrapText="1"/>
    </xf>
    <xf numFmtId="0" fontId="3" fillId="0" borderId="0" xfId="0" applyFont="1"/>
    <xf numFmtId="0" fontId="13" fillId="2" borderId="7" xfId="0" applyFont="1" applyFill="1" applyBorder="1" applyAlignment="1" applyProtection="1">
      <alignment vertical="center" wrapText="1"/>
      <protection locked="0"/>
    </xf>
    <xf numFmtId="0" fontId="13" fillId="2" borderId="0" xfId="0" applyFont="1" applyFill="1" applyBorder="1" applyAlignment="1" applyProtection="1">
      <alignment vertical="center" wrapText="1"/>
      <protection locked="0"/>
    </xf>
    <xf numFmtId="174" fontId="7" fillId="2" borderId="0" xfId="0" applyNumberFormat="1" applyFont="1" applyFill="1" applyAlignment="1" applyProtection="1">
      <alignment horizontal="center" vertical="center" wrapText="1"/>
    </xf>
    <xf numFmtId="174" fontId="7" fillId="0" borderId="0" xfId="0" applyNumberFormat="1" applyFont="1" applyAlignment="1" applyProtection="1">
      <alignment horizontal="center" vertical="center"/>
    </xf>
    <xf numFmtId="0" fontId="14" fillId="2" borderId="0" xfId="0" applyFont="1" applyFill="1" applyBorder="1" applyAlignment="1" applyProtection="1">
      <alignment horizontal="center" vertical="center"/>
    </xf>
    <xf numFmtId="14" fontId="0" fillId="0" borderId="0" xfId="0" applyNumberFormat="1"/>
    <xf numFmtId="0" fontId="14" fillId="2" borderId="0" xfId="0" applyFont="1" applyFill="1" applyBorder="1" applyAlignment="1" applyProtection="1">
      <alignment horizontal="left" vertical="center" indent="1"/>
    </xf>
    <xf numFmtId="0" fontId="7" fillId="2" borderId="0" xfId="0" applyFont="1" applyFill="1" applyAlignment="1" applyProtection="1">
      <alignment horizontal="left" indent="1"/>
    </xf>
    <xf numFmtId="0" fontId="7" fillId="2" borderId="0" xfId="0" applyFont="1" applyFill="1" applyBorder="1" applyAlignment="1" applyProtection="1">
      <alignment horizontal="left" indent="1"/>
    </xf>
    <xf numFmtId="0" fontId="7" fillId="2" borderId="0" xfId="0" applyFont="1" applyFill="1" applyBorder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 indent="1"/>
    </xf>
    <xf numFmtId="0" fontId="7" fillId="0" borderId="0" xfId="0" applyFont="1" applyBorder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 wrapText="1"/>
    </xf>
    <xf numFmtId="0" fontId="8" fillId="0" borderId="0" xfId="0" applyFont="1" applyFill="1" applyAlignment="1" applyProtection="1">
      <alignment horizontal="center" vertical="center" wrapText="1"/>
    </xf>
    <xf numFmtId="0" fontId="15" fillId="0" borderId="0" xfId="0" applyFont="1"/>
    <xf numFmtId="0" fontId="16" fillId="2" borderId="0" xfId="0" applyFont="1" applyFill="1" applyBorder="1" applyAlignment="1" applyProtection="1">
      <alignment vertical="top" wrapText="1"/>
    </xf>
    <xf numFmtId="1" fontId="17" fillId="2" borderId="15" xfId="0" applyNumberFormat="1" applyFont="1" applyFill="1" applyBorder="1" applyAlignment="1" applyProtection="1">
      <alignment horizontal="center" wrapText="1"/>
    </xf>
    <xf numFmtId="167" fontId="18" fillId="2" borderId="16" xfId="0" applyNumberFormat="1" applyFont="1" applyFill="1" applyBorder="1" applyAlignment="1" applyProtection="1">
      <alignment horizontal="center" wrapText="1"/>
    </xf>
    <xf numFmtId="167" fontId="18" fillId="2" borderId="10" xfId="0" applyNumberFormat="1" applyFont="1" applyFill="1" applyBorder="1" applyAlignment="1" applyProtection="1">
      <alignment horizontal="center" wrapText="1"/>
    </xf>
    <xf numFmtId="167" fontId="18" fillId="2" borderId="17" xfId="0" applyNumberFormat="1" applyFont="1" applyFill="1" applyBorder="1" applyAlignment="1" applyProtection="1">
      <alignment horizontal="center" wrapText="1"/>
    </xf>
    <xf numFmtId="0" fontId="17" fillId="2" borderId="16" xfId="0" applyFont="1" applyFill="1" applyBorder="1" applyAlignment="1" applyProtection="1">
      <alignment horizontal="center" wrapText="1"/>
    </xf>
    <xf numFmtId="1" fontId="17" fillId="2" borderId="0" xfId="0" applyNumberFormat="1" applyFont="1" applyFill="1" applyBorder="1" applyAlignment="1" applyProtection="1">
      <alignment horizontal="center" wrapText="1"/>
    </xf>
    <xf numFmtId="3" fontId="18" fillId="2" borderId="14" xfId="0" applyNumberFormat="1" applyFont="1" applyFill="1" applyBorder="1" applyAlignment="1" applyProtection="1">
      <alignment horizontal="center" wrapText="1"/>
    </xf>
    <xf numFmtId="3" fontId="18" fillId="2" borderId="15" xfId="0" applyNumberFormat="1" applyFont="1" applyFill="1" applyBorder="1" applyAlignment="1" applyProtection="1">
      <alignment horizontal="center" wrapText="1"/>
    </xf>
    <xf numFmtId="3" fontId="18" fillId="2" borderId="10" xfId="0" applyNumberFormat="1" applyFont="1" applyFill="1" applyBorder="1" applyAlignment="1" applyProtection="1">
      <alignment horizontal="center" wrapText="1"/>
    </xf>
    <xf numFmtId="3" fontId="18" fillId="2" borderId="17" xfId="0" applyNumberFormat="1" applyFont="1" applyFill="1" applyBorder="1" applyAlignment="1" applyProtection="1">
      <alignment horizontal="center" wrapText="1"/>
    </xf>
    <xf numFmtId="0" fontId="19" fillId="2" borderId="0" xfId="0" applyFont="1" applyFill="1" applyBorder="1" applyAlignment="1" applyProtection="1">
      <alignment horizontal="center" vertical="center"/>
    </xf>
    <xf numFmtId="0" fontId="20" fillId="2" borderId="0" xfId="0" applyFont="1" applyFill="1" applyBorder="1" applyAlignment="1" applyProtection="1">
      <alignment horizontal="center" vertical="center"/>
    </xf>
    <xf numFmtId="3" fontId="20" fillId="2" borderId="18" xfId="0" applyNumberFormat="1" applyFont="1" applyFill="1" applyBorder="1" applyAlignment="1" applyProtection="1">
      <alignment horizontal="center" vertical="center" wrapText="1"/>
    </xf>
    <xf numFmtId="3" fontId="21" fillId="2" borderId="20" xfId="0" applyNumberFormat="1" applyFont="1" applyFill="1" applyBorder="1" applyAlignment="1" applyProtection="1">
      <alignment horizontal="center" vertical="center" wrapText="1"/>
    </xf>
    <xf numFmtId="3" fontId="21" fillId="2" borderId="19" xfId="0" applyNumberFormat="1" applyFont="1" applyFill="1" applyBorder="1" applyAlignment="1" applyProtection="1">
      <alignment horizontal="center" vertical="center" wrapText="1"/>
    </xf>
    <xf numFmtId="3" fontId="21" fillId="2" borderId="20" xfId="1" applyNumberFormat="1" applyFont="1" applyFill="1" applyBorder="1" applyAlignment="1" applyProtection="1">
      <alignment horizontal="center" vertical="center" wrapText="1"/>
    </xf>
    <xf numFmtId="3" fontId="20" fillId="2" borderId="23" xfId="0" applyNumberFormat="1" applyFont="1" applyFill="1" applyBorder="1" applyAlignment="1" applyProtection="1">
      <alignment horizontal="center" vertical="center" wrapText="1"/>
    </xf>
    <xf numFmtId="3" fontId="21" fillId="2" borderId="18" xfId="0" applyNumberFormat="1" applyFont="1" applyFill="1" applyBorder="1" applyAlignment="1" applyProtection="1">
      <alignment horizontal="center" vertical="center" wrapText="1"/>
    </xf>
    <xf numFmtId="3" fontId="20" fillId="2" borderId="32" xfId="0" applyNumberFormat="1" applyFont="1" applyFill="1" applyBorder="1" applyAlignment="1" applyProtection="1">
      <alignment horizontal="center" vertical="center" wrapText="1"/>
    </xf>
    <xf numFmtId="3" fontId="21" fillId="2" borderId="33" xfId="0" applyNumberFormat="1" applyFont="1" applyFill="1" applyBorder="1" applyAlignment="1" applyProtection="1">
      <alignment horizontal="center" vertical="center" wrapText="1"/>
    </xf>
    <xf numFmtId="3" fontId="21" fillId="2" borderId="32" xfId="0" applyNumberFormat="1" applyFont="1" applyFill="1" applyBorder="1" applyAlignment="1" applyProtection="1">
      <alignment horizontal="center" vertical="center" wrapText="1"/>
    </xf>
    <xf numFmtId="3" fontId="21" fillId="2" borderId="34" xfId="0" applyNumberFormat="1" applyFont="1" applyFill="1" applyBorder="1" applyAlignment="1" applyProtection="1">
      <alignment horizontal="center" vertical="center" wrapText="1"/>
    </xf>
    <xf numFmtId="3" fontId="21" fillId="2" borderId="35" xfId="0" applyNumberFormat="1" applyFont="1" applyFill="1" applyBorder="1" applyAlignment="1" applyProtection="1">
      <alignment horizontal="center" vertical="center" wrapText="1"/>
    </xf>
    <xf numFmtId="3" fontId="20" fillId="2" borderId="36" xfId="0" applyNumberFormat="1" applyFont="1" applyFill="1" applyBorder="1" applyAlignment="1" applyProtection="1">
      <alignment horizontal="center" vertical="center" wrapText="1"/>
    </xf>
    <xf numFmtId="174" fontId="21" fillId="2" borderId="0" xfId="0" applyNumberFormat="1" applyFont="1" applyFill="1" applyAlignment="1" applyProtection="1">
      <alignment horizontal="center" vertical="center" wrapText="1"/>
    </xf>
    <xf numFmtId="0" fontId="22" fillId="2" borderId="0" xfId="0" applyFont="1" applyFill="1" applyAlignment="1" applyProtection="1">
      <alignment horizontal="center" wrapText="1"/>
    </xf>
    <xf numFmtId="0" fontId="21" fillId="2" borderId="0" xfId="0" applyFont="1" applyFill="1" applyAlignment="1" applyProtection="1">
      <alignment horizontal="center" vertical="center" wrapText="1"/>
    </xf>
    <xf numFmtId="0" fontId="23" fillId="2" borderId="0" xfId="0" applyFont="1" applyFill="1" applyAlignment="1" applyProtection="1">
      <alignment horizontal="center" vertical="center" wrapText="1"/>
    </xf>
    <xf numFmtId="0" fontId="23" fillId="2" borderId="0" xfId="0" applyFont="1" applyFill="1" applyBorder="1" applyAlignment="1" applyProtection="1">
      <alignment horizontal="center" vertical="center" wrapText="1"/>
    </xf>
    <xf numFmtId="0" fontId="6" fillId="2" borderId="45" xfId="0" applyFont="1" applyFill="1" applyBorder="1" applyAlignment="1" applyProtection="1">
      <alignment horizontal="left" vertical="center" wrapText="1" indent="1"/>
    </xf>
    <xf numFmtId="0" fontId="9" fillId="2" borderId="0" xfId="0" applyFont="1" applyFill="1" applyProtection="1"/>
    <xf numFmtId="0" fontId="6" fillId="2" borderId="45" xfId="0" applyFont="1" applyFill="1" applyBorder="1" applyAlignment="1" applyProtection="1">
      <alignment horizontal="left" vertical="center" indent="1"/>
    </xf>
    <xf numFmtId="0" fontId="25" fillId="2" borderId="9" xfId="0" applyFont="1" applyFill="1" applyBorder="1" applyAlignment="1" applyProtection="1">
      <alignment horizontal="left" vertical="center" indent="1"/>
    </xf>
    <xf numFmtId="0" fontId="25" fillId="2" borderId="0" xfId="0" applyFont="1" applyFill="1" applyBorder="1" applyAlignment="1" applyProtection="1">
      <alignment horizontal="left" vertical="center" indent="1"/>
    </xf>
    <xf numFmtId="0" fontId="26" fillId="2" borderId="0" xfId="0" applyFont="1" applyFill="1" applyBorder="1" applyAlignment="1" applyProtection="1">
      <alignment horizontal="left" vertical="center" indent="1"/>
    </xf>
    <xf numFmtId="0" fontId="27" fillId="2" borderId="14" xfId="0" applyFont="1" applyFill="1" applyBorder="1" applyAlignment="1" applyProtection="1">
      <alignment horizontal="left" vertical="center" indent="1"/>
    </xf>
    <xf numFmtId="0" fontId="27" fillId="2" borderId="46" xfId="0" applyFont="1" applyFill="1" applyBorder="1" applyAlignment="1" applyProtection="1">
      <alignment horizontal="left" vertical="center" indent="1"/>
    </xf>
    <xf numFmtId="0" fontId="28" fillId="2" borderId="0" xfId="0" applyFont="1" applyFill="1" applyAlignment="1" applyProtection="1">
      <alignment horizontal="right"/>
    </xf>
    <xf numFmtId="170" fontId="10" fillId="0" borderId="47" xfId="0" applyNumberFormat="1" applyFont="1" applyFill="1" applyBorder="1" applyAlignment="1" applyProtection="1">
      <alignment horizontal="right" vertical="center" shrinkToFit="1"/>
    </xf>
    <xf numFmtId="167" fontId="25" fillId="0" borderId="16" xfId="0" applyNumberFormat="1" applyFont="1" applyFill="1" applyBorder="1" applyAlignment="1" applyProtection="1">
      <alignment horizontal="center" vertical="center" wrapText="1"/>
    </xf>
    <xf numFmtId="167" fontId="25" fillId="0" borderId="48" xfId="6" applyNumberFormat="1" applyFont="1" applyFill="1" applyBorder="1" applyAlignment="1" applyProtection="1">
      <alignment horizontal="center" vertical="center" wrapText="1"/>
    </xf>
    <xf numFmtId="167" fontId="29" fillId="0" borderId="17" xfId="0" applyNumberFormat="1" applyFont="1" applyFill="1" applyBorder="1" applyAlignment="1" applyProtection="1">
      <alignment horizontal="center" vertical="center" wrapText="1"/>
    </xf>
    <xf numFmtId="167" fontId="25" fillId="0" borderId="48" xfId="0" applyNumberFormat="1" applyFont="1" applyFill="1" applyBorder="1" applyAlignment="1" applyProtection="1">
      <alignment horizontal="center" vertical="center" wrapText="1"/>
    </xf>
    <xf numFmtId="1" fontId="29" fillId="0" borderId="17" xfId="0" applyNumberFormat="1" applyFont="1" applyFill="1" applyBorder="1" applyAlignment="1" applyProtection="1">
      <alignment horizontal="center" vertical="center" wrapText="1"/>
    </xf>
    <xf numFmtId="167" fontId="25" fillId="0" borderId="49" xfId="0" applyNumberFormat="1" applyFont="1" applyFill="1" applyBorder="1" applyAlignment="1" applyProtection="1">
      <alignment horizontal="center" vertical="center" wrapText="1"/>
    </xf>
    <xf numFmtId="2" fontId="25" fillId="0" borderId="49" xfId="0" applyNumberFormat="1" applyFont="1" applyFill="1" applyBorder="1" applyAlignment="1" applyProtection="1">
      <alignment horizontal="center" vertical="center" wrapText="1"/>
    </xf>
    <xf numFmtId="2" fontId="29" fillId="0" borderId="50" xfId="0" applyNumberFormat="1" applyFont="1" applyFill="1" applyBorder="1" applyAlignment="1" applyProtection="1">
      <alignment horizontal="center" vertical="center" wrapText="1"/>
    </xf>
    <xf numFmtId="173" fontId="25" fillId="0" borderId="48" xfId="0" applyNumberFormat="1" applyFont="1" applyFill="1" applyBorder="1" applyAlignment="1" applyProtection="1">
      <alignment horizontal="center" vertical="center" wrapText="1"/>
    </xf>
    <xf numFmtId="173" fontId="29" fillId="0" borderId="17" xfId="0" applyNumberFormat="1" applyFont="1" applyFill="1" applyBorder="1" applyAlignment="1" applyProtection="1">
      <alignment horizontal="center" vertical="center" wrapText="1"/>
    </xf>
    <xf numFmtId="167" fontId="25" fillId="0" borderId="14" xfId="0" applyNumberFormat="1" applyFont="1" applyFill="1" applyBorder="1" applyAlignment="1" applyProtection="1">
      <alignment horizontal="center" vertical="center" wrapText="1"/>
    </xf>
    <xf numFmtId="1" fontId="25" fillId="0" borderId="48" xfId="0" applyNumberFormat="1" applyFont="1" applyFill="1" applyBorder="1" applyAlignment="1" applyProtection="1">
      <alignment horizontal="center" vertical="center" wrapText="1"/>
    </xf>
    <xf numFmtId="167" fontId="25" fillId="0" borderId="17" xfId="0" applyNumberFormat="1" applyFont="1" applyFill="1" applyBorder="1" applyAlignment="1" applyProtection="1">
      <alignment horizontal="center" vertical="center" wrapText="1"/>
    </xf>
    <xf numFmtId="2" fontId="25" fillId="0" borderId="48" xfId="0" applyNumberFormat="1" applyFont="1" applyFill="1" applyBorder="1" applyAlignment="1" applyProtection="1">
      <alignment horizontal="center" vertical="center" wrapText="1"/>
    </xf>
    <xf numFmtId="2" fontId="25" fillId="0" borderId="17" xfId="0" applyNumberFormat="1" applyFont="1" applyFill="1" applyBorder="1" applyAlignment="1" applyProtection="1">
      <alignment horizontal="center" vertical="center" wrapText="1"/>
    </xf>
    <xf numFmtId="168" fontId="25" fillId="0" borderId="48" xfId="1" applyNumberFormat="1" applyFont="1" applyFill="1" applyBorder="1" applyAlignment="1" applyProtection="1">
      <alignment horizontal="center" vertical="center" wrapText="1"/>
    </xf>
    <xf numFmtId="172" fontId="29" fillId="0" borderId="9" xfId="1" applyNumberFormat="1" applyFont="1" applyFill="1" applyBorder="1" applyAlignment="1" applyProtection="1">
      <alignment horizontal="center" vertical="center" wrapText="1"/>
    </xf>
    <xf numFmtId="167" fontId="25" fillId="0" borderId="49" xfId="6" applyNumberFormat="1" applyFont="1" applyFill="1" applyBorder="1" applyAlignment="1" applyProtection="1">
      <alignment horizontal="center" vertical="center" wrapText="1"/>
    </xf>
    <xf numFmtId="167" fontId="29" fillId="0" borderId="9" xfId="0" applyNumberFormat="1" applyFont="1" applyFill="1" applyBorder="1" applyAlignment="1" applyProtection="1">
      <alignment horizontal="center" vertical="center" wrapText="1"/>
    </xf>
    <xf numFmtId="1" fontId="29" fillId="0" borderId="9" xfId="0" applyNumberFormat="1" applyFont="1" applyFill="1" applyBorder="1" applyAlignment="1" applyProtection="1">
      <alignment horizontal="center" vertical="center" wrapText="1"/>
    </xf>
    <xf numFmtId="2" fontId="29" fillId="0" borderId="51" xfId="0" applyNumberFormat="1" applyFont="1" applyFill="1" applyBorder="1" applyAlignment="1" applyProtection="1">
      <alignment horizontal="center" vertical="center" wrapText="1"/>
    </xf>
    <xf numFmtId="173" fontId="25" fillId="0" borderId="49" xfId="0" applyNumberFormat="1" applyFont="1" applyFill="1" applyBorder="1" applyAlignment="1" applyProtection="1">
      <alignment horizontal="center" vertical="center" wrapText="1"/>
    </xf>
    <xf numFmtId="173" fontId="29" fillId="0" borderId="9" xfId="0" applyNumberFormat="1" applyFont="1" applyFill="1" applyBorder="1" applyAlignment="1" applyProtection="1">
      <alignment horizontal="center" vertical="center" wrapText="1"/>
    </xf>
    <xf numFmtId="1" fontId="25" fillId="0" borderId="49" xfId="0" applyNumberFormat="1" applyFont="1" applyFill="1" applyBorder="1" applyAlignment="1" applyProtection="1">
      <alignment horizontal="center" vertical="center" wrapText="1"/>
    </xf>
    <xf numFmtId="167" fontId="25" fillId="0" borderId="9" xfId="0" applyNumberFormat="1" applyFont="1" applyFill="1" applyBorder="1" applyAlignment="1" applyProtection="1">
      <alignment horizontal="center" vertical="center" wrapText="1"/>
    </xf>
    <xf numFmtId="2" fontId="25" fillId="0" borderId="9" xfId="0" applyNumberFormat="1" applyFont="1" applyFill="1" applyBorder="1" applyAlignment="1" applyProtection="1">
      <alignment horizontal="center" vertical="center" wrapText="1"/>
    </xf>
    <xf numFmtId="168" fontId="25" fillId="0" borderId="49" xfId="1" applyNumberFormat="1" applyFont="1" applyFill="1" applyBorder="1" applyAlignment="1" applyProtection="1">
      <alignment horizontal="center" vertical="center" wrapText="1"/>
    </xf>
    <xf numFmtId="2" fontId="29" fillId="0" borderId="52" xfId="0" applyNumberFormat="1" applyFont="1" applyBorder="1" applyAlignment="1" applyProtection="1">
      <alignment horizontal="center"/>
    </xf>
    <xf numFmtId="0" fontId="10" fillId="0" borderId="52" xfId="0" applyFont="1" applyBorder="1" applyAlignment="1" applyProtection="1">
      <alignment horizontal="center"/>
    </xf>
    <xf numFmtId="167" fontId="29" fillId="2" borderId="43" xfId="0" applyNumberFormat="1" applyFont="1" applyFill="1" applyBorder="1" applyAlignment="1" applyProtection="1">
      <alignment horizontal="center" vertical="center" wrapText="1"/>
    </xf>
    <xf numFmtId="167" fontId="29" fillId="2" borderId="44" xfId="0" applyNumberFormat="1" applyFont="1" applyFill="1" applyBorder="1" applyAlignment="1" applyProtection="1">
      <alignment horizontal="center" vertical="center" wrapText="1"/>
    </xf>
    <xf numFmtId="167" fontId="29" fillId="2" borderId="55" xfId="0" applyNumberFormat="1" applyFont="1" applyFill="1" applyBorder="1" applyAlignment="1" applyProtection="1">
      <alignment horizontal="center" vertical="center" wrapText="1"/>
    </xf>
    <xf numFmtId="1" fontId="29" fillId="2" borderId="8" xfId="0" applyNumberFormat="1" applyFont="1" applyFill="1" applyBorder="1" applyAlignment="1" applyProtection="1">
      <alignment horizontal="center" wrapText="1"/>
    </xf>
    <xf numFmtId="167" fontId="29" fillId="2" borderId="8" xfId="0" applyNumberFormat="1" applyFont="1" applyFill="1" applyBorder="1" applyAlignment="1" applyProtection="1">
      <alignment horizontal="center" wrapText="1"/>
    </xf>
    <xf numFmtId="167" fontId="29" fillId="2" borderId="56" xfId="0" applyNumberFormat="1" applyFont="1" applyFill="1" applyBorder="1" applyAlignment="1" applyProtection="1">
      <alignment horizontal="center" wrapText="1"/>
    </xf>
    <xf numFmtId="167" fontId="29" fillId="2" borderId="57" xfId="0" applyNumberFormat="1" applyFont="1" applyFill="1" applyBorder="1" applyAlignment="1" applyProtection="1">
      <alignment horizontal="center" wrapText="1"/>
    </xf>
    <xf numFmtId="167" fontId="29" fillId="2" borderId="58" xfId="0" applyNumberFormat="1" applyFont="1" applyFill="1" applyBorder="1" applyAlignment="1" applyProtection="1">
      <alignment horizontal="center" wrapText="1"/>
    </xf>
    <xf numFmtId="3" fontId="29" fillId="2" borderId="8" xfId="0" applyNumberFormat="1" applyFont="1" applyFill="1" applyBorder="1" applyAlignment="1" applyProtection="1">
      <alignment horizontal="center" wrapText="1"/>
    </xf>
    <xf numFmtId="3" fontId="29" fillId="2" borderId="56" xfId="0" applyNumberFormat="1" applyFont="1" applyFill="1" applyBorder="1" applyAlignment="1" applyProtection="1">
      <alignment horizontal="center" wrapText="1"/>
    </xf>
    <xf numFmtId="3" fontId="29" fillId="2" borderId="57" xfId="0" applyNumberFormat="1" applyFont="1" applyFill="1" applyBorder="1" applyAlignment="1" applyProtection="1">
      <alignment horizontal="center" wrapText="1"/>
    </xf>
    <xf numFmtId="3" fontId="29" fillId="2" borderId="58" xfId="0" applyNumberFormat="1" applyFont="1" applyFill="1" applyBorder="1" applyAlignment="1" applyProtection="1">
      <alignment horizontal="center" wrapText="1"/>
    </xf>
    <xf numFmtId="1" fontId="29" fillId="2" borderId="52" xfId="0" applyNumberFormat="1" applyFont="1" applyFill="1" applyBorder="1" applyAlignment="1" applyProtection="1">
      <alignment horizontal="center" wrapText="1"/>
    </xf>
    <xf numFmtId="167" fontId="29" fillId="2" borderId="52" xfId="0" applyNumberFormat="1" applyFont="1" applyFill="1" applyBorder="1" applyAlignment="1" applyProtection="1">
      <alignment horizontal="center" wrapText="1"/>
    </xf>
    <xf numFmtId="167" fontId="29" fillId="2" borderId="59" xfId="0" applyNumberFormat="1" applyFont="1" applyFill="1" applyBorder="1" applyAlignment="1" applyProtection="1">
      <alignment horizontal="center" wrapText="1"/>
    </xf>
    <xf numFmtId="167" fontId="29" fillId="2" borderId="60" xfId="0" applyNumberFormat="1" applyFont="1" applyFill="1" applyBorder="1" applyAlignment="1" applyProtection="1">
      <alignment horizontal="center" wrapText="1"/>
    </xf>
    <xf numFmtId="167" fontId="29" fillId="2" borderId="61" xfId="0" applyNumberFormat="1" applyFont="1" applyFill="1" applyBorder="1" applyAlignment="1" applyProtection="1">
      <alignment horizontal="center" wrapText="1"/>
    </xf>
    <xf numFmtId="3" fontId="29" fillId="2" borderId="52" xfId="0" applyNumberFormat="1" applyFont="1" applyFill="1" applyBorder="1" applyAlignment="1" applyProtection="1">
      <alignment horizontal="center" wrapText="1"/>
    </xf>
    <xf numFmtId="3" fontId="29" fillId="2" borderId="59" xfId="0" applyNumberFormat="1" applyFont="1" applyFill="1" applyBorder="1" applyAlignment="1" applyProtection="1">
      <alignment horizontal="center" wrapText="1"/>
    </xf>
    <xf numFmtId="3" fontId="29" fillId="2" borderId="60" xfId="0" applyNumberFormat="1" applyFont="1" applyFill="1" applyBorder="1" applyAlignment="1" applyProtection="1">
      <alignment horizontal="center" wrapText="1"/>
    </xf>
    <xf numFmtId="3" fontId="29" fillId="2" borderId="61" xfId="0" applyNumberFormat="1" applyFont="1" applyFill="1" applyBorder="1" applyAlignment="1" applyProtection="1">
      <alignment horizontal="center" wrapText="1"/>
    </xf>
    <xf numFmtId="3" fontId="29" fillId="0" borderId="8" xfId="0" applyNumberFormat="1" applyFont="1" applyFill="1" applyBorder="1" applyAlignment="1" applyProtection="1">
      <alignment horizontal="center" vertical="center"/>
    </xf>
    <xf numFmtId="3" fontId="25" fillId="0" borderId="48" xfId="0" applyNumberFormat="1" applyFont="1" applyBorder="1" applyAlignment="1" applyProtection="1">
      <alignment horizontal="center" vertical="center"/>
    </xf>
    <xf numFmtId="3" fontId="25" fillId="0" borderId="17" xfId="0" applyNumberFormat="1" applyFont="1" applyBorder="1" applyAlignment="1" applyProtection="1">
      <alignment horizontal="center" vertical="center"/>
    </xf>
    <xf numFmtId="10" fontId="25" fillId="0" borderId="62" xfId="0" applyNumberFormat="1" applyFont="1" applyFill="1" applyBorder="1" applyAlignment="1" applyProtection="1">
      <alignment horizontal="center" vertical="center"/>
    </xf>
    <xf numFmtId="167" fontId="25" fillId="0" borderId="62" xfId="0" applyNumberFormat="1" applyFont="1" applyFill="1" applyBorder="1" applyAlignment="1" applyProtection="1">
      <alignment horizontal="center" vertical="center"/>
    </xf>
    <xf numFmtId="3" fontId="25" fillId="2" borderId="63" xfId="0" applyNumberFormat="1" applyFont="1" applyFill="1" applyBorder="1" applyAlignment="1" applyProtection="1">
      <alignment horizontal="center" vertical="center"/>
    </xf>
    <xf numFmtId="4" fontId="25" fillId="2" borderId="9" xfId="0" applyNumberFormat="1" applyFont="1" applyFill="1" applyBorder="1" applyAlignment="1" applyProtection="1">
      <alignment horizontal="center" vertical="center"/>
    </xf>
    <xf numFmtId="3" fontId="25" fillId="0" borderId="17" xfId="0" applyNumberFormat="1" applyFont="1" applyFill="1" applyBorder="1" applyAlignment="1" applyProtection="1">
      <alignment horizontal="center" vertical="center"/>
    </xf>
    <xf numFmtId="3" fontId="29" fillId="0" borderId="52" xfId="0" applyNumberFormat="1" applyFont="1" applyFill="1" applyBorder="1" applyAlignment="1" applyProtection="1">
      <alignment horizontal="center" vertical="center"/>
    </xf>
    <xf numFmtId="3" fontId="25" fillId="0" borderId="49" xfId="0" applyNumberFormat="1" applyFont="1" applyBorder="1" applyAlignment="1" applyProtection="1">
      <alignment horizontal="center" vertical="center"/>
    </xf>
    <xf numFmtId="3" fontId="25" fillId="0" borderId="9" xfId="0" applyNumberFormat="1" applyFont="1" applyBorder="1" applyAlignment="1" applyProtection="1">
      <alignment horizontal="center" vertical="center"/>
    </xf>
    <xf numFmtId="10" fontId="25" fillId="0" borderId="64" xfId="0" applyNumberFormat="1" applyFont="1" applyFill="1" applyBorder="1" applyAlignment="1" applyProtection="1">
      <alignment horizontal="center" vertical="center"/>
    </xf>
    <xf numFmtId="167" fontId="25" fillId="0" borderId="64" xfId="0" applyNumberFormat="1" applyFont="1" applyFill="1" applyBorder="1" applyAlignment="1" applyProtection="1">
      <alignment horizontal="center" vertical="center"/>
    </xf>
    <xf numFmtId="3" fontId="25" fillId="2" borderId="65" xfId="0" applyNumberFormat="1" applyFont="1" applyFill="1" applyBorder="1" applyAlignment="1" applyProtection="1">
      <alignment horizontal="center" vertical="center"/>
    </xf>
    <xf numFmtId="3" fontId="25" fillId="0" borderId="9" xfId="0" applyNumberFormat="1" applyFont="1" applyFill="1" applyBorder="1" applyAlignment="1" applyProtection="1">
      <alignment horizontal="center" vertical="center"/>
    </xf>
    <xf numFmtId="3" fontId="29" fillId="0" borderId="53" xfId="0" applyNumberFormat="1" applyFont="1" applyFill="1" applyBorder="1" applyAlignment="1" applyProtection="1">
      <alignment horizontal="center" vertical="center"/>
    </xf>
    <xf numFmtId="3" fontId="25" fillId="0" borderId="43" xfId="0" applyNumberFormat="1" applyFont="1" applyBorder="1" applyAlignment="1" applyProtection="1">
      <alignment horizontal="center" vertical="center"/>
    </xf>
    <xf numFmtId="3" fontId="25" fillId="0" borderId="66" xfId="0" applyNumberFormat="1" applyFont="1" applyBorder="1" applyAlignment="1" applyProtection="1">
      <alignment horizontal="center" vertical="center"/>
    </xf>
    <xf numFmtId="10" fontId="25" fillId="0" borderId="67" xfId="0" applyNumberFormat="1" applyFont="1" applyFill="1" applyBorder="1" applyAlignment="1" applyProtection="1">
      <alignment horizontal="center" vertical="center"/>
    </xf>
    <xf numFmtId="167" fontId="25" fillId="0" borderId="67" xfId="0" applyNumberFormat="1" applyFont="1" applyFill="1" applyBorder="1" applyAlignment="1" applyProtection="1">
      <alignment horizontal="center" vertical="center"/>
    </xf>
    <xf numFmtId="3" fontId="25" fillId="2" borderId="44" xfId="0" applyNumberFormat="1" applyFont="1" applyFill="1" applyBorder="1" applyAlignment="1" applyProtection="1">
      <alignment horizontal="center" vertical="center"/>
    </xf>
    <xf numFmtId="4" fontId="25" fillId="2" borderId="66" xfId="0" applyNumberFormat="1" applyFont="1" applyFill="1" applyBorder="1" applyAlignment="1" applyProtection="1">
      <alignment horizontal="center" vertical="center"/>
    </xf>
    <xf numFmtId="3" fontId="25" fillId="0" borderId="66" xfId="0" applyNumberFormat="1" applyFont="1" applyFill="1" applyBorder="1" applyAlignment="1" applyProtection="1">
      <alignment horizontal="center" vertical="center"/>
    </xf>
    <xf numFmtId="0" fontId="29" fillId="2" borderId="8" xfId="0" applyFont="1" applyFill="1" applyBorder="1" applyAlignment="1" applyProtection="1">
      <alignment horizontal="center" vertical="center" wrapText="1"/>
    </xf>
    <xf numFmtId="3" fontId="29" fillId="2" borderId="68" xfId="0" applyNumberFormat="1" applyFont="1" applyFill="1" applyBorder="1" applyAlignment="1" applyProtection="1">
      <alignment horizontal="center" vertical="center" wrapText="1"/>
    </xf>
    <xf numFmtId="3" fontId="29" fillId="2" borderId="58" xfId="0" applyNumberFormat="1" applyFont="1" applyFill="1" applyBorder="1" applyAlignment="1" applyProtection="1">
      <alignment horizontal="center" vertical="center" wrapText="1"/>
    </xf>
    <xf numFmtId="4" fontId="29" fillId="2" borderId="68" xfId="0" applyNumberFormat="1" applyFont="1" applyFill="1" applyBorder="1" applyAlignment="1" applyProtection="1">
      <alignment horizontal="center" vertical="center" wrapText="1"/>
    </xf>
    <xf numFmtId="4" fontId="29" fillId="2" borderId="58" xfId="0" applyNumberFormat="1" applyFont="1" applyFill="1" applyBorder="1" applyAlignment="1" applyProtection="1">
      <alignment horizontal="center" vertical="center" wrapText="1"/>
    </xf>
    <xf numFmtId="171" fontId="29" fillId="2" borderId="68" xfId="0" applyNumberFormat="1" applyFont="1" applyFill="1" applyBorder="1" applyAlignment="1" applyProtection="1">
      <alignment horizontal="center" vertical="center" wrapText="1"/>
    </xf>
    <xf numFmtId="171" fontId="29" fillId="2" borderId="61" xfId="0" applyNumberFormat="1" applyFont="1" applyFill="1" applyBorder="1" applyAlignment="1" applyProtection="1">
      <alignment horizontal="center" vertical="center" wrapText="1"/>
    </xf>
    <xf numFmtId="4" fontId="29" fillId="2" borderId="69" xfId="0" applyNumberFormat="1" applyFont="1" applyFill="1" applyBorder="1" applyAlignment="1" applyProtection="1">
      <alignment horizontal="center" vertical="center" wrapText="1"/>
    </xf>
    <xf numFmtId="171" fontId="29" fillId="2" borderId="52" xfId="0" applyNumberFormat="1" applyFont="1" applyFill="1" applyBorder="1" applyAlignment="1" applyProtection="1">
      <alignment horizontal="center" vertical="center" wrapText="1"/>
    </xf>
    <xf numFmtId="0" fontId="29" fillId="2" borderId="52" xfId="0" applyFont="1" applyFill="1" applyBorder="1" applyAlignment="1" applyProtection="1">
      <alignment horizontal="center" vertical="center" wrapText="1"/>
    </xf>
    <xf numFmtId="3" fontId="29" fillId="2" borderId="70" xfId="0" applyNumberFormat="1" applyFont="1" applyFill="1" applyBorder="1" applyAlignment="1" applyProtection="1">
      <alignment horizontal="center" vertical="center" wrapText="1"/>
    </xf>
    <xf numFmtId="3" fontId="29" fillId="2" borderId="61" xfId="0" applyNumberFormat="1" applyFont="1" applyFill="1" applyBorder="1" applyAlignment="1" applyProtection="1">
      <alignment horizontal="center" vertical="center" wrapText="1"/>
    </xf>
    <xf numFmtId="4" fontId="29" fillId="2" borderId="70" xfId="0" applyNumberFormat="1" applyFont="1" applyFill="1" applyBorder="1" applyAlignment="1" applyProtection="1">
      <alignment horizontal="center" vertical="center" wrapText="1"/>
    </xf>
    <xf numFmtId="4" fontId="29" fillId="2" borderId="61" xfId="0" applyNumberFormat="1" applyFont="1" applyFill="1" applyBorder="1" applyAlignment="1" applyProtection="1">
      <alignment horizontal="center" vertical="center" wrapText="1"/>
    </xf>
    <xf numFmtId="171" fontId="29" fillId="2" borderId="70" xfId="0" applyNumberFormat="1" applyFont="1" applyFill="1" applyBorder="1" applyAlignment="1" applyProtection="1">
      <alignment horizontal="center" vertical="center" wrapText="1"/>
    </xf>
    <xf numFmtId="170" fontId="10" fillId="0" borderId="47" xfId="0" applyNumberFormat="1" applyFont="1" applyFill="1" applyBorder="1" applyAlignment="1" applyProtection="1">
      <alignment horizontal="left" vertical="center"/>
    </xf>
    <xf numFmtId="2" fontId="0" fillId="0" borderId="0" xfId="0" applyNumberFormat="1"/>
    <xf numFmtId="2" fontId="3" fillId="0" borderId="0" xfId="0" applyNumberFormat="1" applyFont="1"/>
    <xf numFmtId="167" fontId="0" fillId="0" borderId="0" xfId="0" applyNumberFormat="1"/>
    <xf numFmtId="1" fontId="0" fillId="0" borderId="0" xfId="0" applyNumberFormat="1"/>
    <xf numFmtId="3" fontId="25" fillId="3" borderId="8" xfId="0" applyNumberFormat="1" applyFont="1" applyFill="1" applyBorder="1" applyAlignment="1" applyProtection="1">
      <alignment horizontal="center" vertical="center"/>
      <protection locked="0"/>
    </xf>
    <xf numFmtId="3" fontId="25" fillId="3" borderId="71" xfId="0" applyNumberFormat="1" applyFont="1" applyFill="1" applyBorder="1" applyAlignment="1" applyProtection="1">
      <alignment horizontal="center" vertical="center"/>
      <protection locked="0"/>
    </xf>
    <xf numFmtId="3" fontId="25" fillId="3" borderId="72" xfId="0" applyNumberFormat="1" applyFont="1" applyFill="1" applyBorder="1" applyAlignment="1" applyProtection="1">
      <alignment horizontal="center" vertical="center"/>
      <protection locked="0"/>
    </xf>
    <xf numFmtId="3" fontId="25" fillId="3" borderId="73" xfId="0" applyNumberFormat="1" applyFont="1" applyFill="1" applyBorder="1" applyAlignment="1" applyProtection="1">
      <alignment horizontal="center" vertical="center"/>
      <protection locked="0"/>
    </xf>
    <xf numFmtId="3" fontId="25" fillId="3" borderId="52" xfId="0" applyNumberFormat="1" applyFont="1" applyFill="1" applyBorder="1" applyAlignment="1" applyProtection="1">
      <alignment horizontal="center" vertical="center"/>
      <protection locked="0"/>
    </xf>
    <xf numFmtId="3" fontId="25" fillId="3" borderId="74" xfId="0" applyNumberFormat="1" applyFont="1" applyFill="1" applyBorder="1" applyAlignment="1" applyProtection="1">
      <alignment horizontal="center" vertical="center"/>
      <protection locked="0"/>
    </xf>
    <xf numFmtId="3" fontId="25" fillId="3" borderId="75" xfId="0" applyNumberFormat="1" applyFont="1" applyFill="1" applyBorder="1" applyAlignment="1" applyProtection="1">
      <alignment horizontal="center" vertical="center"/>
      <protection locked="0"/>
    </xf>
    <xf numFmtId="3" fontId="25" fillId="3" borderId="76" xfId="0" applyNumberFormat="1" applyFont="1" applyFill="1" applyBorder="1" applyAlignment="1" applyProtection="1">
      <alignment horizontal="center" vertical="center"/>
      <protection locked="0"/>
    </xf>
    <xf numFmtId="3" fontId="25" fillId="3" borderId="53" xfId="0" applyNumberFormat="1" applyFont="1" applyFill="1" applyBorder="1" applyAlignment="1" applyProtection="1">
      <alignment horizontal="center" vertical="center"/>
      <protection locked="0"/>
    </xf>
    <xf numFmtId="3" fontId="25" fillId="3" borderId="77" xfId="0" applyNumberFormat="1" applyFont="1" applyFill="1" applyBorder="1" applyAlignment="1" applyProtection="1">
      <alignment horizontal="center" vertical="center"/>
      <protection locked="0"/>
    </xf>
    <xf numFmtId="3" fontId="25" fillId="3" borderId="78" xfId="0" applyNumberFormat="1" applyFont="1" applyFill="1" applyBorder="1" applyAlignment="1" applyProtection="1">
      <alignment horizontal="center" vertical="center"/>
      <protection locked="0"/>
    </xf>
    <xf numFmtId="3" fontId="25" fillId="3" borderId="79" xfId="0" applyNumberFormat="1" applyFont="1" applyFill="1" applyBorder="1" applyAlignment="1" applyProtection="1">
      <alignment horizontal="center" vertical="center"/>
      <protection locked="0"/>
    </xf>
    <xf numFmtId="3" fontId="25" fillId="3" borderId="80" xfId="0" applyNumberFormat="1" applyFont="1" applyFill="1" applyBorder="1" applyAlignment="1" applyProtection="1">
      <alignment horizontal="center" vertical="center"/>
      <protection locked="0"/>
    </xf>
    <xf numFmtId="3" fontId="25" fillId="3" borderId="58" xfId="0" applyNumberFormat="1" applyFont="1" applyFill="1" applyBorder="1" applyAlignment="1" applyProtection="1">
      <alignment horizontal="center" vertical="center"/>
      <protection locked="0"/>
    </xf>
    <xf numFmtId="3" fontId="25" fillId="3" borderId="81" xfId="0" applyNumberFormat="1" applyFont="1" applyFill="1" applyBorder="1" applyAlignment="1" applyProtection="1">
      <alignment horizontal="center" vertical="center"/>
      <protection locked="0"/>
    </xf>
    <xf numFmtId="3" fontId="25" fillId="3" borderId="61" xfId="0" applyNumberFormat="1" applyFont="1" applyFill="1" applyBorder="1" applyAlignment="1" applyProtection="1">
      <alignment horizontal="center" vertical="center"/>
      <protection locked="0"/>
    </xf>
    <xf numFmtId="3" fontId="25" fillId="3" borderId="82" xfId="0" applyNumberFormat="1" applyFont="1" applyFill="1" applyBorder="1" applyAlignment="1" applyProtection="1">
      <alignment horizontal="center" vertical="center"/>
      <protection locked="0"/>
    </xf>
    <xf numFmtId="3" fontId="25" fillId="3" borderId="83" xfId="0" applyNumberFormat="1" applyFont="1" applyFill="1" applyBorder="1" applyAlignment="1" applyProtection="1">
      <alignment horizontal="center" vertical="center"/>
      <protection locked="0"/>
    </xf>
    <xf numFmtId="4" fontId="25" fillId="3" borderId="80" xfId="0" applyNumberFormat="1" applyFont="1" applyFill="1" applyBorder="1" applyAlignment="1" applyProtection="1">
      <alignment horizontal="center" vertical="center"/>
      <protection locked="0"/>
    </xf>
    <xf numFmtId="3" fontId="25" fillId="3" borderId="84" xfId="0" applyNumberFormat="1" applyFont="1" applyFill="1" applyBorder="1" applyAlignment="1" applyProtection="1">
      <alignment horizontal="center" vertical="center"/>
      <protection locked="0"/>
    </xf>
    <xf numFmtId="4" fontId="25" fillId="3" borderId="81" xfId="0" applyNumberFormat="1" applyFont="1" applyFill="1" applyBorder="1" applyAlignment="1" applyProtection="1">
      <alignment horizontal="center" vertical="center"/>
      <protection locked="0"/>
    </xf>
    <xf numFmtId="3" fontId="25" fillId="3" borderId="85" xfId="0" applyNumberFormat="1" applyFont="1" applyFill="1" applyBorder="1" applyAlignment="1" applyProtection="1">
      <alignment horizontal="center" vertical="center"/>
      <protection locked="0"/>
    </xf>
    <xf numFmtId="4" fontId="25" fillId="3" borderId="82" xfId="0" applyNumberFormat="1" applyFont="1" applyFill="1" applyBorder="1" applyAlignment="1" applyProtection="1">
      <alignment horizontal="center" vertical="center"/>
      <protection locked="0"/>
    </xf>
    <xf numFmtId="3" fontId="25" fillId="3" borderId="86" xfId="0" applyNumberFormat="1" applyFont="1" applyFill="1" applyBorder="1" applyAlignment="1" applyProtection="1">
      <alignment horizontal="center" vertical="center"/>
      <protection locked="0"/>
    </xf>
    <xf numFmtId="3" fontId="29" fillId="3" borderId="8" xfId="1" applyNumberFormat="1" applyFont="1" applyFill="1" applyBorder="1" applyAlignment="1" applyProtection="1">
      <alignment horizontal="left" vertical="center"/>
      <protection locked="0"/>
    </xf>
    <xf numFmtId="3" fontId="29" fillId="3" borderId="52" xfId="1" applyNumberFormat="1" applyFont="1" applyFill="1" applyBorder="1" applyAlignment="1" applyProtection="1">
      <alignment horizontal="left" vertical="center"/>
      <protection locked="0"/>
    </xf>
    <xf numFmtId="3" fontId="29" fillId="3" borderId="52" xfId="0" applyNumberFormat="1" applyFont="1" applyFill="1" applyBorder="1" applyAlignment="1" applyProtection="1">
      <alignment horizontal="left" vertical="center"/>
      <protection locked="0"/>
    </xf>
    <xf numFmtId="3" fontId="29" fillId="3" borderId="53" xfId="1" applyNumberFormat="1" applyFont="1" applyFill="1" applyBorder="1" applyAlignment="1" applyProtection="1">
      <alignment horizontal="left" vertical="center"/>
      <protection locked="0"/>
    </xf>
    <xf numFmtId="3" fontId="20" fillId="3" borderId="80" xfId="0" applyNumberFormat="1" applyFont="1" applyFill="1" applyBorder="1" applyAlignment="1" applyProtection="1">
      <alignment horizontal="center" vertical="center" wrapText="1"/>
      <protection locked="0"/>
    </xf>
    <xf numFmtId="3" fontId="20" fillId="3" borderId="81" xfId="0" applyNumberFormat="1" applyFont="1" applyFill="1" applyBorder="1" applyAlignment="1" applyProtection="1">
      <alignment horizontal="center" vertical="center" wrapText="1"/>
      <protection locked="0"/>
    </xf>
    <xf numFmtId="3" fontId="20" fillId="3" borderId="90" xfId="0" applyNumberFormat="1" applyFont="1" applyFill="1" applyBorder="1" applyAlignment="1" applyProtection="1">
      <alignment horizontal="center" vertical="center" wrapText="1"/>
      <protection locked="0"/>
    </xf>
    <xf numFmtId="3" fontId="20" fillId="3" borderId="91" xfId="0" applyNumberFormat="1" applyFont="1" applyFill="1" applyBorder="1" applyAlignment="1" applyProtection="1">
      <alignment horizontal="center" vertical="center" wrapText="1"/>
      <protection locked="0"/>
    </xf>
    <xf numFmtId="0" fontId="21" fillId="2" borderId="93" xfId="0" applyFont="1" applyFill="1" applyBorder="1" applyAlignment="1" applyProtection="1">
      <alignment horizontal="left" vertical="center" indent="1"/>
    </xf>
    <xf numFmtId="0" fontId="21" fillId="2" borderId="54" xfId="0" applyFont="1" applyFill="1" applyBorder="1" applyAlignment="1" applyProtection="1">
      <alignment horizontal="left" vertical="center" indent="1"/>
    </xf>
    <xf numFmtId="0" fontId="21" fillId="2" borderId="66" xfId="0" applyFont="1" applyFill="1" applyBorder="1" applyAlignment="1" applyProtection="1">
      <alignment horizontal="left" vertical="center" indent="1"/>
    </xf>
    <xf numFmtId="0" fontId="29" fillId="2" borderId="15" xfId="0" applyFont="1" applyFill="1" applyBorder="1" applyAlignment="1" applyProtection="1">
      <alignment horizontal="left" vertical="center" indent="1"/>
    </xf>
    <xf numFmtId="0" fontId="29" fillId="2" borderId="10" xfId="0" applyFont="1" applyFill="1" applyBorder="1" applyAlignment="1" applyProtection="1">
      <alignment horizontal="left" vertical="center" indent="1"/>
    </xf>
    <xf numFmtId="0" fontId="29" fillId="2" borderId="17" xfId="0" applyFont="1" applyFill="1" applyBorder="1" applyAlignment="1" applyProtection="1">
      <alignment horizontal="left" vertical="center" indent="1"/>
    </xf>
    <xf numFmtId="0" fontId="29" fillId="2" borderId="7" xfId="0" applyFont="1" applyFill="1" applyBorder="1" applyAlignment="1" applyProtection="1">
      <alignment horizontal="center" vertical="center"/>
    </xf>
    <xf numFmtId="0" fontId="29" fillId="2" borderId="0" xfId="0" applyFont="1" applyFill="1" applyBorder="1" applyAlignment="1" applyProtection="1">
      <alignment horizontal="center" vertical="center"/>
    </xf>
    <xf numFmtId="0" fontId="29" fillId="2" borderId="9" xfId="0" applyFont="1" applyFill="1" applyBorder="1" applyAlignment="1" applyProtection="1">
      <alignment horizontal="center" vertical="center"/>
    </xf>
    <xf numFmtId="0" fontId="29" fillId="2" borderId="7" xfId="0" applyFont="1" applyFill="1" applyBorder="1" applyAlignment="1" applyProtection="1">
      <alignment horizontal="left" vertical="center" indent="1"/>
    </xf>
    <xf numFmtId="0" fontId="29" fillId="2" borderId="0" xfId="0" applyFont="1" applyFill="1" applyBorder="1" applyAlignment="1" applyProtection="1">
      <alignment horizontal="left" vertical="center" indent="1"/>
    </xf>
    <xf numFmtId="0" fontId="29" fillId="2" borderId="9" xfId="0" applyFont="1" applyFill="1" applyBorder="1" applyAlignment="1" applyProtection="1">
      <alignment horizontal="left" vertical="center" indent="1"/>
    </xf>
    <xf numFmtId="0" fontId="10" fillId="4" borderId="52" xfId="0" applyFont="1" applyFill="1" applyBorder="1" applyAlignment="1" applyProtection="1">
      <alignment horizontal="center"/>
    </xf>
    <xf numFmtId="2" fontId="29" fillId="4" borderId="52" xfId="0" applyNumberFormat="1" applyFont="1" applyFill="1" applyBorder="1" applyAlignment="1" applyProtection="1">
      <alignment horizontal="center"/>
    </xf>
    <xf numFmtId="167" fontId="25" fillId="4" borderId="14" xfId="0" applyNumberFormat="1" applyFont="1" applyFill="1" applyBorder="1" applyAlignment="1" applyProtection="1">
      <alignment horizontal="center" vertical="center" wrapText="1"/>
    </xf>
    <xf numFmtId="167" fontId="25" fillId="4" borderId="49" xfId="6" applyNumberFormat="1" applyFont="1" applyFill="1" applyBorder="1" applyAlignment="1" applyProtection="1">
      <alignment horizontal="center" vertical="center" wrapText="1"/>
    </xf>
    <xf numFmtId="167" fontId="29" fillId="4" borderId="9" xfId="0" applyNumberFormat="1" applyFont="1" applyFill="1" applyBorder="1" applyAlignment="1" applyProtection="1">
      <alignment horizontal="center" vertical="center" wrapText="1"/>
    </xf>
    <xf numFmtId="167" fontId="25" fillId="4" borderId="49" xfId="0" applyNumberFormat="1" applyFont="1" applyFill="1" applyBorder="1" applyAlignment="1" applyProtection="1">
      <alignment horizontal="center" vertical="center" wrapText="1"/>
    </xf>
    <xf numFmtId="1" fontId="29" fillId="4" borderId="9" xfId="0" applyNumberFormat="1" applyFont="1" applyFill="1" applyBorder="1" applyAlignment="1" applyProtection="1">
      <alignment horizontal="center" vertical="center" wrapText="1"/>
    </xf>
    <xf numFmtId="2" fontId="25" fillId="4" borderId="49" xfId="0" applyNumberFormat="1" applyFont="1" applyFill="1" applyBorder="1" applyAlignment="1" applyProtection="1">
      <alignment horizontal="center" vertical="center" wrapText="1"/>
    </xf>
    <xf numFmtId="2" fontId="29" fillId="4" borderId="51" xfId="0" applyNumberFormat="1" applyFont="1" applyFill="1" applyBorder="1" applyAlignment="1" applyProtection="1">
      <alignment horizontal="center" vertical="center" wrapText="1"/>
    </xf>
    <xf numFmtId="173" fontId="25" fillId="4" borderId="49" xfId="0" applyNumberFormat="1" applyFont="1" applyFill="1" applyBorder="1" applyAlignment="1" applyProtection="1">
      <alignment horizontal="center" vertical="center" wrapText="1"/>
    </xf>
    <xf numFmtId="173" fontId="29" fillId="4" borderId="9" xfId="0" applyNumberFormat="1" applyFont="1" applyFill="1" applyBorder="1" applyAlignment="1" applyProtection="1">
      <alignment horizontal="center" vertical="center" wrapText="1"/>
    </xf>
    <xf numFmtId="1" fontId="25" fillId="4" borderId="49" xfId="0" applyNumberFormat="1" applyFont="1" applyFill="1" applyBorder="1" applyAlignment="1" applyProtection="1">
      <alignment horizontal="center" vertical="center" wrapText="1"/>
    </xf>
    <xf numFmtId="167" fontId="25" fillId="4" borderId="9" xfId="0" applyNumberFormat="1" applyFont="1" applyFill="1" applyBorder="1" applyAlignment="1" applyProtection="1">
      <alignment horizontal="center" vertical="center" wrapText="1"/>
    </xf>
    <xf numFmtId="2" fontId="25" fillId="4" borderId="9" xfId="0" applyNumberFormat="1" applyFont="1" applyFill="1" applyBorder="1" applyAlignment="1" applyProtection="1">
      <alignment horizontal="center" vertical="center" wrapText="1"/>
    </xf>
    <xf numFmtId="168" fontId="25" fillId="4" borderId="49" xfId="1" applyNumberFormat="1" applyFont="1" applyFill="1" applyBorder="1" applyAlignment="1" applyProtection="1">
      <alignment horizontal="center" vertical="center" wrapText="1"/>
    </xf>
    <xf numFmtId="172" fontId="29" fillId="4" borderId="9" xfId="1" applyNumberFormat="1" applyFont="1" applyFill="1" applyBorder="1" applyAlignment="1" applyProtection="1">
      <alignment horizontal="center" vertical="center" wrapText="1"/>
    </xf>
    <xf numFmtId="167" fontId="25" fillId="4" borderId="94" xfId="0" applyNumberFormat="1" applyFont="1" applyFill="1" applyBorder="1" applyAlignment="1" applyProtection="1">
      <alignment horizontal="center" vertical="center" wrapText="1"/>
    </xf>
    <xf numFmtId="167" fontId="25" fillId="4" borderId="43" xfId="6" applyNumberFormat="1" applyFont="1" applyFill="1" applyBorder="1" applyAlignment="1" applyProtection="1">
      <alignment horizontal="center" vertical="center" wrapText="1"/>
    </xf>
    <xf numFmtId="167" fontId="29" fillId="4" borderId="66" xfId="0" applyNumberFormat="1" applyFont="1" applyFill="1" applyBorder="1" applyAlignment="1" applyProtection="1">
      <alignment horizontal="center" vertical="center" wrapText="1"/>
    </xf>
    <xf numFmtId="167" fontId="25" fillId="4" borderId="43" xfId="0" applyNumberFormat="1" applyFont="1" applyFill="1" applyBorder="1" applyAlignment="1" applyProtection="1">
      <alignment horizontal="center" vertical="center" wrapText="1"/>
    </xf>
    <xf numFmtId="1" fontId="29" fillId="4" borderId="66" xfId="0" applyNumberFormat="1" applyFont="1" applyFill="1" applyBorder="1" applyAlignment="1" applyProtection="1">
      <alignment horizontal="center" vertical="center" wrapText="1"/>
    </xf>
    <xf numFmtId="167" fontId="29" fillId="4" borderId="55" xfId="0" applyNumberFormat="1" applyFont="1" applyFill="1" applyBorder="1" applyAlignment="1" applyProtection="1">
      <alignment horizontal="center" vertical="center" wrapText="1"/>
    </xf>
    <xf numFmtId="2" fontId="25" fillId="4" borderId="43" xfId="0" applyNumberFormat="1" applyFont="1" applyFill="1" applyBorder="1" applyAlignment="1" applyProtection="1">
      <alignment horizontal="center" vertical="center" wrapText="1"/>
    </xf>
    <xf numFmtId="2" fontId="29" fillId="4" borderId="55" xfId="0" applyNumberFormat="1" applyFont="1" applyFill="1" applyBorder="1" applyAlignment="1" applyProtection="1">
      <alignment horizontal="center" vertical="center" wrapText="1"/>
    </xf>
    <xf numFmtId="173" fontId="25" fillId="4" borderId="43" xfId="0" applyNumberFormat="1" applyFont="1" applyFill="1" applyBorder="1" applyAlignment="1" applyProtection="1">
      <alignment horizontal="center" vertical="center" wrapText="1"/>
    </xf>
    <xf numFmtId="173" fontId="29" fillId="4" borderId="55" xfId="0" applyNumberFormat="1" applyFont="1" applyFill="1" applyBorder="1" applyAlignment="1" applyProtection="1">
      <alignment horizontal="center" vertical="center" wrapText="1"/>
    </xf>
    <xf numFmtId="167" fontId="25" fillId="4" borderId="46" xfId="0" applyNumberFormat="1" applyFont="1" applyFill="1" applyBorder="1" applyAlignment="1" applyProtection="1">
      <alignment horizontal="center" vertical="center" wrapText="1"/>
    </xf>
    <xf numFmtId="1" fontId="25" fillId="4" borderId="43" xfId="0" applyNumberFormat="1" applyFont="1" applyFill="1" applyBorder="1" applyAlignment="1" applyProtection="1">
      <alignment horizontal="center" vertical="center" wrapText="1"/>
    </xf>
    <xf numFmtId="167" fontId="25" fillId="4" borderId="66" xfId="0" applyNumberFormat="1" applyFont="1" applyFill="1" applyBorder="1" applyAlignment="1" applyProtection="1">
      <alignment horizontal="center" vertical="center" wrapText="1"/>
    </xf>
    <xf numFmtId="2" fontId="25" fillId="4" borderId="66" xfId="0" applyNumberFormat="1" applyFont="1" applyFill="1" applyBorder="1" applyAlignment="1" applyProtection="1">
      <alignment horizontal="center" vertical="center" wrapText="1"/>
    </xf>
    <xf numFmtId="168" fontId="25" fillId="4" borderId="43" xfId="1" applyNumberFormat="1" applyFont="1" applyFill="1" applyBorder="1" applyAlignment="1" applyProtection="1">
      <alignment horizontal="center" vertical="center" wrapText="1"/>
    </xf>
    <xf numFmtId="172" fontId="29" fillId="4" borderId="55" xfId="1" applyNumberFormat="1" applyFont="1" applyFill="1" applyBorder="1" applyAlignment="1" applyProtection="1">
      <alignment horizontal="center" vertical="center" wrapText="1"/>
    </xf>
    <xf numFmtId="0" fontId="29" fillId="4" borderId="52" xfId="0" applyFont="1" applyFill="1" applyBorder="1" applyAlignment="1" applyProtection="1">
      <alignment horizontal="center" vertical="center" wrapText="1"/>
    </xf>
    <xf numFmtId="3" fontId="29" fillId="4" borderId="70" xfId="0" applyNumberFormat="1" applyFont="1" applyFill="1" applyBorder="1" applyAlignment="1" applyProtection="1">
      <alignment horizontal="center" vertical="center" wrapText="1"/>
    </xf>
    <xf numFmtId="3" fontId="29" fillId="4" borderId="61" xfId="0" applyNumberFormat="1" applyFont="1" applyFill="1" applyBorder="1" applyAlignment="1" applyProtection="1">
      <alignment horizontal="center" vertical="center" wrapText="1"/>
    </xf>
    <xf numFmtId="4" fontId="29" fillId="4" borderId="70" xfId="0" applyNumberFormat="1" applyFont="1" applyFill="1" applyBorder="1" applyAlignment="1" applyProtection="1">
      <alignment horizontal="center" vertical="center" wrapText="1"/>
    </xf>
    <xf numFmtId="4" fontId="29" fillId="4" borderId="61" xfId="0" applyNumberFormat="1" applyFont="1" applyFill="1" applyBorder="1" applyAlignment="1" applyProtection="1">
      <alignment horizontal="center" vertical="center" wrapText="1"/>
    </xf>
    <xf numFmtId="171" fontId="29" fillId="4" borderId="70" xfId="0" applyNumberFormat="1" applyFont="1" applyFill="1" applyBorder="1" applyAlignment="1" applyProtection="1">
      <alignment horizontal="center" vertical="center" wrapText="1"/>
    </xf>
    <xf numFmtId="171" fontId="29" fillId="4" borderId="61" xfId="0" applyNumberFormat="1" applyFont="1" applyFill="1" applyBorder="1" applyAlignment="1" applyProtection="1">
      <alignment horizontal="center" vertical="center" wrapText="1"/>
    </xf>
    <xf numFmtId="171" fontId="29" fillId="4" borderId="52" xfId="0" applyNumberFormat="1" applyFont="1" applyFill="1" applyBorder="1" applyAlignment="1" applyProtection="1">
      <alignment horizontal="center" vertical="center" wrapText="1"/>
    </xf>
    <xf numFmtId="1" fontId="29" fillId="4" borderId="52" xfId="0" applyNumberFormat="1" applyFont="1" applyFill="1" applyBorder="1" applyAlignment="1" applyProtection="1">
      <alignment horizontal="center" wrapText="1"/>
    </xf>
    <xf numFmtId="167" fontId="29" fillId="4" borderId="52" xfId="0" applyNumberFormat="1" applyFont="1" applyFill="1" applyBorder="1" applyAlignment="1" applyProtection="1">
      <alignment horizontal="center" wrapText="1"/>
    </xf>
    <xf numFmtId="167" fontId="29" fillId="4" borderId="59" xfId="0" applyNumberFormat="1" applyFont="1" applyFill="1" applyBorder="1" applyAlignment="1" applyProtection="1">
      <alignment horizontal="center" wrapText="1"/>
    </xf>
    <xf numFmtId="167" fontId="29" fillId="4" borderId="60" xfId="0" applyNumberFormat="1" applyFont="1" applyFill="1" applyBorder="1" applyAlignment="1" applyProtection="1">
      <alignment horizontal="center" wrapText="1"/>
    </xf>
    <xf numFmtId="167" fontId="29" fillId="4" borderId="61" xfId="0" applyNumberFormat="1" applyFont="1" applyFill="1" applyBorder="1" applyAlignment="1" applyProtection="1">
      <alignment horizontal="center" wrapText="1"/>
    </xf>
    <xf numFmtId="3" fontId="29" fillId="4" borderId="52" xfId="0" applyNumberFormat="1" applyFont="1" applyFill="1" applyBorder="1" applyAlignment="1" applyProtection="1">
      <alignment horizontal="center" wrapText="1"/>
    </xf>
    <xf numFmtId="3" fontId="29" fillId="4" borderId="59" xfId="0" applyNumberFormat="1" applyFont="1" applyFill="1" applyBorder="1" applyAlignment="1" applyProtection="1">
      <alignment horizontal="center" wrapText="1"/>
    </xf>
    <xf numFmtId="3" fontId="29" fillId="4" borderId="60" xfId="0" applyNumberFormat="1" applyFont="1" applyFill="1" applyBorder="1" applyAlignment="1" applyProtection="1">
      <alignment horizontal="center" wrapText="1"/>
    </xf>
    <xf numFmtId="3" fontId="29" fillId="4" borderId="61" xfId="0" applyNumberFormat="1" applyFont="1" applyFill="1" applyBorder="1" applyAlignment="1" applyProtection="1">
      <alignment horizontal="center" wrapText="1"/>
    </xf>
    <xf numFmtId="1" fontId="29" fillId="4" borderId="53" xfId="0" applyNumberFormat="1" applyFont="1" applyFill="1" applyBorder="1" applyAlignment="1" applyProtection="1">
      <alignment horizontal="center" wrapText="1"/>
    </xf>
    <xf numFmtId="167" fontId="29" fillId="4" borderId="95" xfId="0" applyNumberFormat="1" applyFont="1" applyFill="1" applyBorder="1" applyAlignment="1" applyProtection="1">
      <alignment horizontal="center" wrapText="1"/>
    </xf>
    <xf numFmtId="167" fontId="29" fillId="4" borderId="96" xfId="0" applyNumberFormat="1" applyFont="1" applyFill="1" applyBorder="1" applyAlignment="1" applyProtection="1">
      <alignment horizontal="center" wrapText="1"/>
    </xf>
    <xf numFmtId="167" fontId="29" fillId="4" borderId="83" xfId="0" applyNumberFormat="1" applyFont="1" applyFill="1" applyBorder="1" applyAlignment="1" applyProtection="1">
      <alignment horizontal="center" wrapText="1"/>
    </xf>
    <xf numFmtId="3" fontId="29" fillId="4" borderId="53" xfId="0" applyNumberFormat="1" applyFont="1" applyFill="1" applyBorder="1" applyAlignment="1" applyProtection="1">
      <alignment horizontal="center" wrapText="1"/>
    </xf>
    <xf numFmtId="3" fontId="29" fillId="4" borderId="95" xfId="0" applyNumberFormat="1" applyFont="1" applyFill="1" applyBorder="1" applyAlignment="1" applyProtection="1">
      <alignment horizontal="center" wrapText="1"/>
    </xf>
    <xf numFmtId="3" fontId="29" fillId="4" borderId="96" xfId="0" applyNumberFormat="1" applyFont="1" applyFill="1" applyBorder="1" applyAlignment="1" applyProtection="1">
      <alignment horizontal="center" wrapText="1"/>
    </xf>
    <xf numFmtId="3" fontId="29" fillId="4" borderId="83" xfId="0" applyNumberFormat="1" applyFont="1" applyFill="1" applyBorder="1" applyAlignment="1" applyProtection="1">
      <alignment horizontal="center" wrapText="1"/>
    </xf>
    <xf numFmtId="10" fontId="29" fillId="0" borderId="48" xfId="0" applyNumberFormat="1" applyFont="1" applyFill="1" applyBorder="1" applyAlignment="1" applyProtection="1">
      <alignment horizontal="center" vertical="center"/>
    </xf>
    <xf numFmtId="10" fontId="29" fillId="0" borderId="49" xfId="0" applyNumberFormat="1" applyFont="1" applyFill="1" applyBorder="1" applyAlignment="1" applyProtection="1">
      <alignment horizontal="center" vertical="center"/>
    </xf>
    <xf numFmtId="10" fontId="29" fillId="0" borderId="43" xfId="0" applyNumberFormat="1" applyFont="1" applyFill="1" applyBorder="1" applyAlignment="1" applyProtection="1">
      <alignment horizontal="center" vertical="center"/>
    </xf>
    <xf numFmtId="167" fontId="29" fillId="0" borderId="48" xfId="0" applyNumberFormat="1" applyFont="1" applyFill="1" applyBorder="1" applyAlignment="1" applyProtection="1">
      <alignment horizontal="center" vertical="center"/>
    </xf>
    <xf numFmtId="167" fontId="29" fillId="0" borderId="49" xfId="0" applyNumberFormat="1" applyFont="1" applyFill="1" applyBorder="1" applyAlignment="1" applyProtection="1">
      <alignment horizontal="center" vertical="center"/>
    </xf>
    <xf numFmtId="167" fontId="29" fillId="0" borderId="43" xfId="0" applyNumberFormat="1" applyFont="1" applyFill="1" applyBorder="1" applyAlignment="1" applyProtection="1">
      <alignment horizontal="center" vertical="center"/>
    </xf>
    <xf numFmtId="0" fontId="28" fillId="2" borderId="0" xfId="0" applyFont="1" applyFill="1" applyAlignment="1" applyProtection="1">
      <alignment horizontal="left"/>
    </xf>
    <xf numFmtId="0" fontId="0" fillId="0" borderId="0" xfId="0" applyFill="1"/>
    <xf numFmtId="0" fontId="34" fillId="0" borderId="0" xfId="0" applyFont="1"/>
    <xf numFmtId="1" fontId="10" fillId="0" borderId="8" xfId="0" applyNumberFormat="1" applyFont="1" applyFill="1" applyBorder="1" applyAlignment="1" applyProtection="1">
      <alignment horizontal="center" vertical="center"/>
    </xf>
    <xf numFmtId="1" fontId="10" fillId="0" borderId="52" xfId="0" applyNumberFormat="1" applyFont="1" applyFill="1" applyBorder="1" applyAlignment="1" applyProtection="1">
      <alignment horizontal="center" vertical="center"/>
    </xf>
    <xf numFmtId="1" fontId="10" fillId="0" borderId="53" xfId="0" applyNumberFormat="1" applyFont="1" applyFill="1" applyBorder="1" applyAlignment="1" applyProtection="1">
      <alignment horizontal="center" vertical="center"/>
    </xf>
    <xf numFmtId="167" fontId="29" fillId="2" borderId="9" xfId="0" applyNumberFormat="1" applyFont="1" applyFill="1" applyBorder="1" applyAlignment="1" applyProtection="1">
      <alignment horizontal="center" vertical="center" wrapText="1"/>
    </xf>
    <xf numFmtId="0" fontId="29" fillId="2" borderId="1" xfId="0" applyFont="1" applyFill="1" applyBorder="1" applyAlignment="1" applyProtection="1">
      <alignment horizontal="center" vertical="center" wrapText="1"/>
    </xf>
    <xf numFmtId="167" fontId="29" fillId="2" borderId="65" xfId="0" applyNumberFormat="1" applyFont="1" applyFill="1" applyBorder="1" applyAlignment="1" applyProtection="1">
      <alignment horizontal="center" vertical="center" wrapText="1"/>
    </xf>
    <xf numFmtId="167" fontId="29" fillId="2" borderId="49" xfId="0" applyNumberFormat="1" applyFont="1" applyFill="1" applyBorder="1" applyAlignment="1" applyProtection="1">
      <alignment horizontal="center" vertical="center" wrapText="1"/>
    </xf>
    <xf numFmtId="167" fontId="29" fillId="2" borderId="54" xfId="0" applyNumberFormat="1" applyFont="1" applyFill="1" applyBorder="1" applyAlignment="1" applyProtection="1">
      <alignment horizontal="center" vertical="center" wrapText="1"/>
    </xf>
    <xf numFmtId="14" fontId="27" fillId="2" borderId="8" xfId="0" applyNumberFormat="1" applyFont="1" applyFill="1" applyBorder="1" applyAlignment="1" applyProtection="1">
      <alignment horizontal="center" vertical="center"/>
    </xf>
    <xf numFmtId="14" fontId="27" fillId="4" borderId="52" xfId="0" applyNumberFormat="1" applyFont="1" applyFill="1" applyBorder="1" applyAlignment="1" applyProtection="1">
      <alignment horizontal="center" vertical="center"/>
    </xf>
    <xf numFmtId="14" fontId="27" fillId="2" borderId="52" xfId="0" applyNumberFormat="1" applyFont="1" applyFill="1" applyBorder="1" applyAlignment="1" applyProtection="1">
      <alignment horizontal="center" vertical="center"/>
    </xf>
    <xf numFmtId="14" fontId="28" fillId="4" borderId="14" xfId="0" applyNumberFormat="1" applyFont="1" applyFill="1" applyBorder="1" applyAlignment="1" applyProtection="1">
      <alignment horizontal="center" vertical="center" wrapText="1"/>
    </xf>
    <xf numFmtId="14" fontId="28" fillId="0" borderId="14" xfId="0" applyNumberFormat="1" applyFont="1" applyFill="1" applyBorder="1" applyAlignment="1" applyProtection="1">
      <alignment horizontal="center" vertical="center" wrapText="1"/>
    </xf>
    <xf numFmtId="14" fontId="28" fillId="4" borderId="46" xfId="0" applyNumberFormat="1" applyFont="1" applyFill="1" applyBorder="1" applyAlignment="1" applyProtection="1">
      <alignment horizontal="center" vertical="center" wrapText="1"/>
    </xf>
    <xf numFmtId="14" fontId="28" fillId="0" borderId="16" xfId="0" applyNumberFormat="1" applyFont="1" applyFill="1" applyBorder="1" applyAlignment="1" applyProtection="1">
      <alignment horizontal="center" vertical="center" wrapText="1"/>
    </xf>
    <xf numFmtId="1" fontId="10" fillId="0" borderId="16" xfId="0" applyNumberFormat="1" applyFont="1" applyFill="1" applyBorder="1" applyAlignment="1" applyProtection="1">
      <alignment horizontal="center" vertical="center" wrapText="1"/>
    </xf>
    <xf numFmtId="1" fontId="10" fillId="4" borderId="14" xfId="0" applyNumberFormat="1" applyFont="1" applyFill="1" applyBorder="1" applyAlignment="1" applyProtection="1">
      <alignment horizontal="center" vertical="center" wrapText="1"/>
    </xf>
    <xf numFmtId="1" fontId="10" fillId="0" borderId="14" xfId="0" applyNumberFormat="1" applyFont="1" applyFill="1" applyBorder="1" applyAlignment="1" applyProtection="1">
      <alignment horizontal="center" vertical="center" wrapText="1"/>
    </xf>
    <xf numFmtId="1" fontId="10" fillId="4" borderId="46" xfId="0" applyNumberFormat="1" applyFont="1" applyFill="1" applyBorder="1" applyAlignment="1" applyProtection="1">
      <alignment horizontal="center" vertical="center" wrapText="1"/>
    </xf>
    <xf numFmtId="0" fontId="7" fillId="2" borderId="54" xfId="0" applyFont="1" applyFill="1" applyBorder="1" applyAlignment="1" applyProtection="1"/>
    <xf numFmtId="0" fontId="31" fillId="2" borderId="0" xfId="0" applyFont="1" applyFill="1" applyAlignment="1" applyProtection="1">
      <alignment vertical="center" wrapText="1"/>
    </xf>
    <xf numFmtId="167" fontId="29" fillId="2" borderId="49" xfId="0" applyNumberFormat="1" applyFont="1" applyFill="1" applyBorder="1" applyAlignment="1" applyProtection="1">
      <alignment vertical="center" wrapText="1"/>
    </xf>
    <xf numFmtId="167" fontId="29" fillId="2" borderId="65" xfId="0" applyNumberFormat="1" applyFont="1" applyFill="1" applyBorder="1" applyAlignment="1" applyProtection="1">
      <alignment vertical="center" wrapText="1"/>
    </xf>
    <xf numFmtId="0" fontId="29" fillId="2" borderId="1" xfId="0" applyFont="1" applyFill="1" applyBorder="1" applyAlignment="1" applyProtection="1">
      <alignment vertical="center" wrapText="1"/>
    </xf>
    <xf numFmtId="0" fontId="31" fillId="2" borderId="0" xfId="0" applyFont="1" applyFill="1" applyAlignment="1" applyProtection="1">
      <alignment vertical="center"/>
    </xf>
    <xf numFmtId="0" fontId="31" fillId="0" borderId="0" xfId="0" applyFont="1" applyAlignment="1" applyProtection="1">
      <alignment vertical="center"/>
    </xf>
    <xf numFmtId="167" fontId="25" fillId="0" borderId="52" xfId="0" applyNumberFormat="1" applyFont="1" applyBorder="1" applyAlignment="1" applyProtection="1">
      <alignment horizontal="center"/>
    </xf>
    <xf numFmtId="167" fontId="25" fillId="4" borderId="52" xfId="0" applyNumberFormat="1" applyFont="1" applyFill="1" applyBorder="1" applyAlignment="1" applyProtection="1">
      <alignment horizontal="center"/>
    </xf>
    <xf numFmtId="0" fontId="31" fillId="2" borderId="0" xfId="0" applyFont="1" applyFill="1" applyBorder="1" applyAlignment="1" applyProtection="1">
      <alignment vertical="center"/>
    </xf>
    <xf numFmtId="3" fontId="20" fillId="3" borderId="85" xfId="1" applyNumberFormat="1" applyFont="1" applyFill="1" applyBorder="1" applyAlignment="1" applyProtection="1">
      <alignment horizontal="center" vertical="center" wrapText="1"/>
      <protection locked="0"/>
    </xf>
    <xf numFmtId="3" fontId="20" fillId="2" borderId="19" xfId="0" applyNumberFormat="1" applyFont="1" applyFill="1" applyBorder="1" applyAlignment="1" applyProtection="1">
      <alignment horizontal="center" vertical="center" wrapText="1"/>
    </xf>
    <xf numFmtId="3" fontId="20" fillId="2" borderId="38" xfId="0" applyNumberFormat="1" applyFont="1" applyFill="1" applyBorder="1" applyAlignment="1" applyProtection="1">
      <alignment horizontal="center" vertical="center" wrapText="1"/>
    </xf>
    <xf numFmtId="3" fontId="20" fillId="3" borderId="85" xfId="0" applyNumberFormat="1" applyFont="1" applyFill="1" applyBorder="1" applyAlignment="1" applyProtection="1">
      <alignment horizontal="center" vertical="center" wrapText="1"/>
      <protection locked="0"/>
    </xf>
    <xf numFmtId="0" fontId="24" fillId="2" borderId="114" xfId="0" applyFont="1" applyFill="1" applyBorder="1" applyAlignment="1" applyProtection="1">
      <alignment horizontal="center" vertical="center" wrapText="1"/>
    </xf>
    <xf numFmtId="0" fontId="24" fillId="2" borderId="65" xfId="0" applyFont="1" applyFill="1" applyBorder="1" applyAlignment="1" applyProtection="1">
      <alignment horizontal="center" vertical="center" wrapText="1"/>
    </xf>
    <xf numFmtId="0" fontId="24" fillId="2" borderId="49" xfId="0" applyFont="1" applyFill="1" applyBorder="1" applyAlignment="1" applyProtection="1">
      <alignment horizontal="center" vertical="center" wrapText="1"/>
    </xf>
    <xf numFmtId="3" fontId="20" fillId="2" borderId="34" xfId="0" applyNumberFormat="1" applyFont="1" applyFill="1" applyBorder="1" applyAlignment="1" applyProtection="1">
      <alignment horizontal="center" vertical="center" wrapText="1"/>
    </xf>
    <xf numFmtId="0" fontId="24" fillId="2" borderId="0" xfId="0" applyFont="1" applyFill="1" applyBorder="1" applyAlignment="1" applyProtection="1">
      <alignment horizontal="center" vertical="center" wrapText="1"/>
    </xf>
    <xf numFmtId="0" fontId="24" fillId="2" borderId="120" xfId="0" applyFont="1" applyFill="1" applyBorder="1" applyAlignment="1" applyProtection="1">
      <alignment horizontal="center" vertical="center" wrapText="1"/>
    </xf>
    <xf numFmtId="0" fontId="24" fillId="2" borderId="9" xfId="0" applyFont="1" applyFill="1" applyBorder="1" applyAlignment="1" applyProtection="1">
      <alignment horizontal="center" vertical="center" wrapText="1"/>
    </xf>
    <xf numFmtId="3" fontId="20" fillId="3" borderId="84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0" xfId="0" applyNumberFormat="1"/>
    <xf numFmtId="3" fontId="20" fillId="2" borderId="25" xfId="0" applyNumberFormat="1" applyFont="1" applyFill="1" applyBorder="1" applyAlignment="1" applyProtection="1">
      <alignment horizontal="center" vertical="center" wrapText="1"/>
    </xf>
    <xf numFmtId="3" fontId="20" fillId="2" borderId="29" xfId="0" applyNumberFormat="1" applyFont="1" applyFill="1" applyBorder="1" applyAlignment="1" applyProtection="1">
      <alignment horizontal="center" vertical="center" wrapText="1"/>
    </xf>
    <xf numFmtId="3" fontId="20" fillId="3" borderId="86" xfId="0" applyNumberFormat="1" applyFont="1" applyFill="1" applyBorder="1" applyAlignment="1" applyProtection="1">
      <alignment horizontal="center" vertical="center" wrapText="1"/>
      <protection locked="0"/>
    </xf>
    <xf numFmtId="3" fontId="21" fillId="2" borderId="30" xfId="0" applyNumberFormat="1" applyFont="1" applyFill="1" applyBorder="1" applyAlignment="1" applyProtection="1">
      <alignment horizontal="center" vertical="center" wrapText="1"/>
    </xf>
    <xf numFmtId="3" fontId="21" fillId="2" borderId="29" xfId="0" applyNumberFormat="1" applyFont="1" applyFill="1" applyBorder="1" applyAlignment="1" applyProtection="1">
      <alignment horizontal="center" vertical="center" wrapText="1"/>
    </xf>
    <xf numFmtId="3" fontId="20" fillId="3" borderId="86" xfId="1" applyNumberFormat="1" applyFont="1" applyFill="1" applyBorder="1" applyAlignment="1" applyProtection="1">
      <alignment horizontal="center" vertical="center" wrapText="1"/>
      <protection locked="0"/>
    </xf>
    <xf numFmtId="0" fontId="24" fillId="2" borderId="141" xfId="0" applyFont="1" applyFill="1" applyBorder="1" applyAlignment="1" applyProtection="1">
      <alignment horizontal="center" vertical="center" wrapText="1"/>
    </xf>
    <xf numFmtId="0" fontId="21" fillId="2" borderId="0" xfId="0" applyFont="1" applyFill="1" applyBorder="1" applyAlignment="1" applyProtection="1">
      <alignment horizontal="center" vertical="center" wrapText="1"/>
    </xf>
    <xf numFmtId="3" fontId="20" fillId="2" borderId="33" xfId="0" applyNumberFormat="1" applyFont="1" applyFill="1" applyBorder="1" applyAlignment="1" applyProtection="1">
      <alignment horizontal="center" vertical="center" wrapText="1"/>
    </xf>
    <xf numFmtId="3" fontId="21" fillId="2" borderId="129" xfId="0" applyNumberFormat="1" applyFont="1" applyFill="1" applyBorder="1" applyAlignment="1" applyProtection="1">
      <alignment horizontal="center" vertical="center" wrapText="1"/>
    </xf>
    <xf numFmtId="3" fontId="20" fillId="3" borderId="84" xfId="1" applyNumberFormat="1" applyFont="1" applyFill="1" applyBorder="1" applyAlignment="1" applyProtection="1">
      <alignment horizontal="center" vertical="center" wrapText="1"/>
      <protection locked="0"/>
    </xf>
    <xf numFmtId="3" fontId="20" fillId="3" borderId="82" xfId="0" applyNumberFormat="1" applyFont="1" applyFill="1" applyBorder="1" applyAlignment="1" applyProtection="1">
      <alignment horizontal="center" vertical="center" wrapText="1"/>
      <protection locked="0"/>
    </xf>
    <xf numFmtId="3" fontId="20" fillId="3" borderId="143" xfId="0" applyNumberFormat="1" applyFont="1" applyFill="1" applyBorder="1" applyAlignment="1" applyProtection="1">
      <alignment horizontal="center" vertical="center" wrapText="1"/>
      <protection locked="0"/>
    </xf>
    <xf numFmtId="3" fontId="21" fillId="2" borderId="30" xfId="1" applyNumberFormat="1" applyFont="1" applyFill="1" applyBorder="1" applyAlignment="1" applyProtection="1">
      <alignment horizontal="center" vertical="center" wrapText="1"/>
    </xf>
    <xf numFmtId="3" fontId="21" fillId="2" borderId="25" xfId="0" applyNumberFormat="1" applyFont="1" applyFill="1" applyBorder="1" applyAlignment="1" applyProtection="1">
      <alignment horizontal="center" vertical="center" wrapText="1"/>
    </xf>
    <xf numFmtId="3" fontId="20" fillId="2" borderId="144" xfId="0" applyNumberFormat="1" applyFont="1" applyFill="1" applyBorder="1" applyAlignment="1" applyProtection="1">
      <alignment horizontal="center" vertical="center" wrapText="1"/>
    </xf>
    <xf numFmtId="3" fontId="20" fillId="2" borderId="130" xfId="0" applyNumberFormat="1" applyFont="1" applyFill="1" applyBorder="1" applyAlignment="1" applyProtection="1">
      <alignment horizontal="center" vertical="center" wrapText="1"/>
    </xf>
    <xf numFmtId="3" fontId="20" fillId="2" borderId="137" xfId="0" applyNumberFormat="1" applyFont="1" applyFill="1" applyBorder="1" applyAlignment="1" applyProtection="1">
      <alignment horizontal="center" vertical="center" wrapText="1"/>
    </xf>
    <xf numFmtId="3" fontId="20" fillId="2" borderId="39" xfId="0" applyNumberFormat="1" applyFont="1" applyFill="1" applyBorder="1" applyAlignment="1" applyProtection="1">
      <alignment horizontal="center" vertical="center" wrapText="1"/>
    </xf>
    <xf numFmtId="3" fontId="20" fillId="3" borderId="11" xfId="0" applyNumberFormat="1" applyFont="1" applyFill="1" applyBorder="1" applyAlignment="1" applyProtection="1">
      <alignment horizontal="center" vertical="center" wrapText="1"/>
      <protection locked="0"/>
    </xf>
    <xf numFmtId="167" fontId="25" fillId="0" borderId="50" xfId="0" applyNumberFormat="1" applyFont="1" applyFill="1" applyBorder="1" applyAlignment="1" applyProtection="1">
      <alignment horizontal="center" vertical="center"/>
    </xf>
    <xf numFmtId="167" fontId="25" fillId="0" borderId="51" xfId="0" applyNumberFormat="1" applyFont="1" applyFill="1" applyBorder="1" applyAlignment="1" applyProtection="1">
      <alignment horizontal="center" vertical="center"/>
    </xf>
    <xf numFmtId="167" fontId="25" fillId="0" borderId="55" xfId="0" applyNumberFormat="1" applyFont="1" applyFill="1" applyBorder="1" applyAlignment="1" applyProtection="1">
      <alignment horizontal="center" vertical="center"/>
    </xf>
    <xf numFmtId="3" fontId="25" fillId="0" borderId="50" xfId="0" applyNumberFormat="1" applyFont="1" applyFill="1" applyBorder="1" applyAlignment="1" applyProtection="1">
      <alignment horizontal="center" vertical="center"/>
    </xf>
    <xf numFmtId="3" fontId="25" fillId="0" borderId="51" xfId="0" applyNumberFormat="1" applyFont="1" applyFill="1" applyBorder="1" applyAlignment="1" applyProtection="1">
      <alignment horizontal="center" vertical="center"/>
    </xf>
    <xf numFmtId="3" fontId="25" fillId="0" borderId="55" xfId="0" applyNumberFormat="1" applyFont="1" applyFill="1" applyBorder="1" applyAlignment="1" applyProtection="1">
      <alignment horizontal="center" vertical="center"/>
    </xf>
    <xf numFmtId="0" fontId="24" fillId="2" borderId="0" xfId="0" applyFont="1" applyFill="1" applyBorder="1" applyAlignment="1" applyProtection="1">
      <alignment horizontal="center" vertical="center" wrapText="1"/>
    </xf>
    <xf numFmtId="0" fontId="24" fillId="2" borderId="120" xfId="0" applyFont="1" applyFill="1" applyBorder="1" applyAlignment="1" applyProtection="1">
      <alignment horizontal="center" vertical="center" wrapText="1"/>
    </xf>
    <xf numFmtId="0" fontId="31" fillId="0" borderId="0" xfId="0" applyFont="1" applyFill="1" applyBorder="1" applyAlignment="1" applyProtection="1">
      <alignment vertical="center"/>
    </xf>
    <xf numFmtId="49" fontId="3" fillId="0" borderId="0" xfId="0" applyNumberFormat="1" applyFont="1"/>
    <xf numFmtId="0" fontId="24" fillId="2" borderId="9" xfId="0" applyFont="1" applyFill="1" applyBorder="1" applyAlignment="1" applyProtection="1">
      <alignment horizontal="center" vertical="center" wrapText="1"/>
    </xf>
    <xf numFmtId="0" fontId="24" fillId="2" borderId="65" xfId="0" applyFont="1" applyFill="1" applyBorder="1" applyAlignment="1" applyProtection="1">
      <alignment horizontal="center" vertical="center" wrapText="1"/>
    </xf>
    <xf numFmtId="14" fontId="27" fillId="4" borderId="148" xfId="0" applyNumberFormat="1" applyFont="1" applyFill="1" applyBorder="1" applyAlignment="1" applyProtection="1">
      <alignment horizontal="center" vertical="center"/>
    </xf>
    <xf numFmtId="0" fontId="29" fillId="4" borderId="148" xfId="0" applyFont="1" applyFill="1" applyBorder="1" applyAlignment="1" applyProtection="1">
      <alignment horizontal="center" vertical="center" wrapText="1"/>
    </xf>
    <xf numFmtId="3" fontId="29" fillId="4" borderId="149" xfId="0" applyNumberFormat="1" applyFont="1" applyFill="1" applyBorder="1" applyAlignment="1" applyProtection="1">
      <alignment horizontal="center" vertical="center" wrapText="1"/>
    </xf>
    <xf numFmtId="3" fontId="29" fillId="4" borderId="150" xfId="0" applyNumberFormat="1" applyFont="1" applyFill="1" applyBorder="1" applyAlignment="1" applyProtection="1">
      <alignment horizontal="center" vertical="center" wrapText="1"/>
    </xf>
    <xf numFmtId="4" fontId="29" fillId="4" borderId="149" xfId="0" applyNumberFormat="1" applyFont="1" applyFill="1" applyBorder="1" applyAlignment="1" applyProtection="1">
      <alignment horizontal="center" vertical="center" wrapText="1"/>
    </xf>
    <xf numFmtId="4" fontId="29" fillId="4" borderId="150" xfId="0" applyNumberFormat="1" applyFont="1" applyFill="1" applyBorder="1" applyAlignment="1" applyProtection="1">
      <alignment horizontal="center" vertical="center" wrapText="1"/>
    </xf>
    <xf numFmtId="171" fontId="29" fillId="4" borderId="149" xfId="0" applyNumberFormat="1" applyFont="1" applyFill="1" applyBorder="1" applyAlignment="1" applyProtection="1">
      <alignment horizontal="center" vertical="center" wrapText="1"/>
    </xf>
    <xf numFmtId="171" fontId="29" fillId="4" borderId="150" xfId="0" applyNumberFormat="1" applyFont="1" applyFill="1" applyBorder="1" applyAlignment="1" applyProtection="1">
      <alignment horizontal="center" vertical="center" wrapText="1"/>
    </xf>
    <xf numFmtId="171" fontId="29" fillId="4" borderId="148" xfId="0" applyNumberFormat="1" applyFont="1" applyFill="1" applyBorder="1" applyAlignment="1" applyProtection="1">
      <alignment horizontal="center" vertical="center" wrapText="1"/>
    </xf>
    <xf numFmtId="1" fontId="35" fillId="5" borderId="45" xfId="0" applyNumberFormat="1" applyFont="1" applyFill="1" applyBorder="1" applyAlignment="1">
      <alignment horizontal="center" vertical="center" wrapText="1"/>
    </xf>
    <xf numFmtId="1" fontId="36" fillId="0" borderId="16" xfId="0" applyNumberFormat="1" applyFont="1" applyBorder="1" applyAlignment="1">
      <alignment horizontal="center" vertical="center" wrapText="1"/>
    </xf>
    <xf numFmtId="167" fontId="35" fillId="5" borderId="98" xfId="0" applyNumberFormat="1" applyFont="1" applyFill="1" applyBorder="1" applyAlignment="1">
      <alignment horizontal="center" vertical="center" wrapText="1"/>
    </xf>
    <xf numFmtId="167" fontId="35" fillId="5" borderId="151" xfId="6" applyNumberFormat="1" applyFont="1" applyFill="1" applyBorder="1" applyAlignment="1">
      <alignment horizontal="center" vertical="center" wrapText="1"/>
    </xf>
    <xf numFmtId="167" fontId="2" fillId="5" borderId="99" xfId="0" applyNumberFormat="1" applyFont="1" applyFill="1" applyBorder="1" applyAlignment="1">
      <alignment horizontal="center" vertical="center" wrapText="1"/>
    </xf>
    <xf numFmtId="1" fontId="2" fillId="5" borderId="99" xfId="0" applyNumberFormat="1" applyFont="1" applyFill="1" applyBorder="1" applyAlignment="1">
      <alignment horizontal="center" vertical="center" wrapText="1"/>
    </xf>
    <xf numFmtId="2" fontId="35" fillId="5" borderId="151" xfId="6" applyNumberFormat="1" applyFont="1" applyFill="1" applyBorder="1" applyAlignment="1">
      <alignment horizontal="center" vertical="center" wrapText="1"/>
    </xf>
    <xf numFmtId="2" fontId="2" fillId="5" borderId="152" xfId="0" applyNumberFormat="1" applyFont="1" applyFill="1" applyBorder="1" applyAlignment="1">
      <alignment horizontal="center" vertical="center" wrapText="1"/>
    </xf>
    <xf numFmtId="173" fontId="35" fillId="5" borderId="151" xfId="6" applyNumberFormat="1" applyFont="1" applyFill="1" applyBorder="1" applyAlignment="1">
      <alignment horizontal="center" vertical="center" wrapText="1"/>
    </xf>
    <xf numFmtId="173" fontId="2" fillId="5" borderId="99" xfId="0" applyNumberFormat="1" applyFont="1" applyFill="1" applyBorder="1" applyAlignment="1">
      <alignment horizontal="center" vertical="center" wrapText="1"/>
    </xf>
    <xf numFmtId="2" fontId="35" fillId="5" borderId="45" xfId="0" applyNumberFormat="1" applyFont="1" applyFill="1" applyBorder="1" applyAlignment="1">
      <alignment horizontal="center" vertical="center" wrapText="1"/>
    </xf>
    <xf numFmtId="2" fontId="35" fillId="5" borderId="99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 vertical="center"/>
    </xf>
    <xf numFmtId="0" fontId="7" fillId="0" borderId="0" xfId="0" applyFont="1" applyBorder="1" applyAlignment="1" applyProtection="1">
      <alignment horizontal="left" vertical="center"/>
    </xf>
    <xf numFmtId="1" fontId="35" fillId="5" borderId="151" xfId="6" applyNumberFormat="1" applyFont="1" applyFill="1" applyBorder="1" applyAlignment="1">
      <alignment horizontal="center" vertical="center" wrapText="1"/>
    </xf>
    <xf numFmtId="3" fontId="35" fillId="5" borderId="151" xfId="6" applyNumberFormat="1" applyFont="1" applyFill="1" applyBorder="1" applyAlignment="1">
      <alignment horizontal="center" vertical="center" wrapText="1"/>
    </xf>
    <xf numFmtId="3" fontId="2" fillId="5" borderId="99" xfId="1" applyNumberFormat="1" applyFont="1" applyFill="1" applyBorder="1" applyAlignment="1">
      <alignment horizontal="center" vertical="center" wrapText="1"/>
    </xf>
    <xf numFmtId="167" fontId="35" fillId="5" borderId="99" xfId="0" applyNumberFormat="1" applyFont="1" applyFill="1" applyBorder="1" applyAlignment="1">
      <alignment horizontal="center" vertical="center" wrapText="1"/>
    </xf>
    <xf numFmtId="1" fontId="35" fillId="5" borderId="99" xfId="0" applyNumberFormat="1" applyFont="1" applyFill="1" applyBorder="1" applyAlignment="1">
      <alignment horizontal="center" vertical="center" wrapText="1"/>
    </xf>
    <xf numFmtId="1" fontId="25" fillId="0" borderId="17" xfId="0" applyNumberFormat="1" applyFont="1" applyFill="1" applyBorder="1" applyAlignment="1" applyProtection="1">
      <alignment horizontal="center" vertical="center" wrapText="1"/>
    </xf>
    <xf numFmtId="1" fontId="25" fillId="4" borderId="9" xfId="0" applyNumberFormat="1" applyFont="1" applyFill="1" applyBorder="1" applyAlignment="1" applyProtection="1">
      <alignment horizontal="center" vertical="center" wrapText="1"/>
    </xf>
    <xf numFmtId="1" fontId="25" fillId="0" borderId="9" xfId="0" applyNumberFormat="1" applyFont="1" applyFill="1" applyBorder="1" applyAlignment="1" applyProtection="1">
      <alignment horizontal="center" vertical="center" wrapText="1"/>
    </xf>
    <xf numFmtId="1" fontId="25" fillId="4" borderId="66" xfId="0" applyNumberFormat="1" applyFont="1" applyFill="1" applyBorder="1" applyAlignment="1" applyProtection="1">
      <alignment horizontal="center" vertical="center" wrapText="1"/>
    </xf>
    <xf numFmtId="1" fontId="25" fillId="0" borderId="14" xfId="0" applyNumberFormat="1" applyFont="1" applyFill="1" applyBorder="1" applyAlignment="1" applyProtection="1">
      <alignment horizontal="center" vertical="center" wrapText="1"/>
    </xf>
    <xf numFmtId="1" fontId="25" fillId="0" borderId="16" xfId="0" applyNumberFormat="1" applyFont="1" applyFill="1" applyBorder="1" applyAlignment="1" applyProtection="1">
      <alignment horizontal="center" vertical="center" wrapText="1"/>
    </xf>
    <xf numFmtId="1" fontId="25" fillId="4" borderId="14" xfId="0" applyNumberFormat="1" applyFont="1" applyFill="1" applyBorder="1" applyAlignment="1" applyProtection="1">
      <alignment horizontal="center" vertical="center" wrapText="1"/>
    </xf>
    <xf numFmtId="1" fontId="25" fillId="4" borderId="46" xfId="0" applyNumberFormat="1" applyFont="1" applyFill="1" applyBorder="1" applyAlignment="1" applyProtection="1">
      <alignment horizontal="center" vertical="center" wrapText="1"/>
    </xf>
    <xf numFmtId="2" fontId="0" fillId="0" borderId="0" xfId="0" applyNumberFormat="1" applyAlignment="1">
      <alignment wrapText="1"/>
    </xf>
    <xf numFmtId="167" fontId="29" fillId="0" borderId="90" xfId="0" applyNumberFormat="1" applyFont="1" applyBorder="1" applyAlignment="1" applyProtection="1">
      <alignment horizontal="center"/>
    </xf>
    <xf numFmtId="167" fontId="29" fillId="4" borderId="90" xfId="0" applyNumberFormat="1" applyFont="1" applyFill="1" applyBorder="1" applyAlignment="1" applyProtection="1">
      <alignment horizontal="center"/>
    </xf>
    <xf numFmtId="1" fontId="35" fillId="6" borderId="45" xfId="0" applyNumberFormat="1" applyFont="1" applyFill="1" applyBorder="1" applyAlignment="1">
      <alignment horizontal="center" vertical="center" wrapText="1"/>
    </xf>
    <xf numFmtId="167" fontId="35" fillId="6" borderId="45" xfId="0" applyNumberFormat="1" applyFont="1" applyFill="1" applyBorder="1" applyAlignment="1">
      <alignment horizontal="center" vertical="center" wrapText="1"/>
    </xf>
    <xf numFmtId="2" fontId="35" fillId="6" borderId="45" xfId="0" applyNumberFormat="1" applyFont="1" applyFill="1" applyBorder="1" applyAlignment="1">
      <alignment horizontal="center" vertical="center" wrapText="1"/>
    </xf>
    <xf numFmtId="167" fontId="1" fillId="6" borderId="45" xfId="0" applyNumberFormat="1" applyFont="1" applyFill="1" applyBorder="1" applyAlignment="1">
      <alignment horizontal="center" vertical="center" wrapText="1"/>
    </xf>
    <xf numFmtId="2" fontId="1" fillId="6" borderId="45" xfId="0" applyNumberFormat="1" applyFont="1" applyFill="1" applyBorder="1" applyAlignment="1">
      <alignment horizontal="center" vertical="center" wrapText="1"/>
    </xf>
    <xf numFmtId="171" fontId="29" fillId="0" borderId="90" xfId="0" applyNumberFormat="1" applyFont="1" applyBorder="1" applyAlignment="1" applyProtection="1">
      <alignment horizontal="center"/>
    </xf>
    <xf numFmtId="171" fontId="29" fillId="4" borderId="90" xfId="0" applyNumberFormat="1" applyFont="1" applyFill="1" applyBorder="1" applyAlignment="1" applyProtection="1">
      <alignment horizontal="center"/>
    </xf>
    <xf numFmtId="167" fontId="25" fillId="0" borderId="81" xfId="0" applyNumberFormat="1" applyFont="1" applyBorder="1" applyAlignment="1" applyProtection="1">
      <alignment horizontal="center"/>
    </xf>
    <xf numFmtId="171" fontId="25" fillId="0" borderId="81" xfId="0" applyNumberFormat="1" applyFont="1" applyBorder="1" applyAlignment="1" applyProtection="1">
      <alignment horizontal="center"/>
    </xf>
    <xf numFmtId="2" fontId="25" fillId="0" borderId="81" xfId="0" applyNumberFormat="1" applyFont="1" applyBorder="1" applyAlignment="1" applyProtection="1">
      <alignment horizontal="center"/>
    </xf>
    <xf numFmtId="167" fontId="25" fillId="4" borderId="81" xfId="0" applyNumberFormat="1" applyFont="1" applyFill="1" applyBorder="1" applyAlignment="1" applyProtection="1">
      <alignment horizontal="center"/>
    </xf>
    <xf numFmtId="171" fontId="25" fillId="4" borderId="81" xfId="0" applyNumberFormat="1" applyFont="1" applyFill="1" applyBorder="1" applyAlignment="1" applyProtection="1">
      <alignment horizontal="center"/>
    </xf>
    <xf numFmtId="2" fontId="25" fillId="4" borderId="81" xfId="0" applyNumberFormat="1" applyFont="1" applyFill="1" applyBorder="1" applyAlignment="1" applyProtection="1">
      <alignment horizontal="center"/>
    </xf>
    <xf numFmtId="173" fontId="35" fillId="6" borderId="45" xfId="0" applyNumberFormat="1" applyFont="1" applyFill="1" applyBorder="1" applyAlignment="1">
      <alignment horizontal="center" vertical="center" wrapText="1"/>
    </xf>
    <xf numFmtId="173" fontId="1" fillId="6" borderId="45" xfId="0" applyNumberFormat="1" applyFont="1" applyFill="1" applyBorder="1" applyAlignment="1">
      <alignment horizontal="center" vertical="center" wrapText="1"/>
    </xf>
    <xf numFmtId="0" fontId="10" fillId="0" borderId="53" xfId="0" applyFont="1" applyBorder="1" applyAlignment="1" applyProtection="1">
      <alignment horizontal="center"/>
    </xf>
    <xf numFmtId="2" fontId="29" fillId="0" borderId="53" xfId="0" applyNumberFormat="1" applyFont="1" applyBorder="1" applyAlignment="1" applyProtection="1">
      <alignment horizontal="center"/>
    </xf>
    <xf numFmtId="167" fontId="25" fillId="0" borderId="82" xfId="0" applyNumberFormat="1" applyFont="1" applyBorder="1" applyAlignment="1" applyProtection="1">
      <alignment horizontal="center"/>
    </xf>
    <xf numFmtId="167" fontId="29" fillId="0" borderId="143" xfId="0" applyNumberFormat="1" applyFont="1" applyBorder="1" applyAlignment="1" applyProtection="1">
      <alignment horizontal="center"/>
    </xf>
    <xf numFmtId="171" fontId="25" fillId="0" borderId="82" xfId="0" applyNumberFormat="1" applyFont="1" applyBorder="1" applyAlignment="1" applyProtection="1">
      <alignment horizontal="center"/>
    </xf>
    <xf numFmtId="171" fontId="29" fillId="0" borderId="143" xfId="0" applyNumberFormat="1" applyFont="1" applyBorder="1" applyAlignment="1" applyProtection="1">
      <alignment horizontal="center"/>
    </xf>
    <xf numFmtId="2" fontId="25" fillId="0" borderId="82" xfId="0" applyNumberFormat="1" applyFont="1" applyBorder="1" applyAlignment="1" applyProtection="1">
      <alignment horizontal="center"/>
    </xf>
    <xf numFmtId="167" fontId="25" fillId="0" borderId="53" xfId="0" applyNumberFormat="1" applyFont="1" applyBorder="1" applyAlignment="1" applyProtection="1">
      <alignment horizontal="center"/>
    </xf>
    <xf numFmtId="177" fontId="29" fillId="0" borderId="52" xfId="0" applyNumberFormat="1" applyFont="1" applyFill="1" applyBorder="1" applyAlignment="1" applyProtection="1">
      <alignment horizontal="center" vertical="center"/>
    </xf>
    <xf numFmtId="177" fontId="29" fillId="0" borderId="53" xfId="0" applyNumberFormat="1" applyFont="1" applyFill="1" applyBorder="1" applyAlignment="1" applyProtection="1">
      <alignment horizontal="center" vertical="center"/>
    </xf>
    <xf numFmtId="177" fontId="21" fillId="2" borderId="142" xfId="0" applyNumberFormat="1" applyFont="1" applyFill="1" applyBorder="1" applyAlignment="1" applyProtection="1">
      <alignment horizontal="center" vertical="center" wrapText="1"/>
    </xf>
    <xf numFmtId="177" fontId="21" fillId="2" borderId="21" xfId="0" applyNumberFormat="1" applyFont="1" applyFill="1" applyBorder="1" applyAlignment="1" applyProtection="1">
      <alignment horizontal="center" vertical="center" wrapText="1"/>
    </xf>
    <xf numFmtId="177" fontId="21" fillId="2" borderId="140" xfId="0" applyNumberFormat="1" applyFont="1" applyFill="1" applyBorder="1" applyAlignment="1" applyProtection="1">
      <alignment horizontal="center" vertical="center" wrapText="1"/>
    </xf>
    <xf numFmtId="177" fontId="21" fillId="2" borderId="145" xfId="0" applyNumberFormat="1" applyFont="1" applyFill="1" applyBorder="1" applyAlignment="1" applyProtection="1">
      <alignment horizontal="center" vertical="center" wrapText="1"/>
    </xf>
    <xf numFmtId="177" fontId="21" fillId="2" borderId="137" xfId="0" applyNumberFormat="1" applyFont="1" applyFill="1" applyBorder="1" applyAlignment="1" applyProtection="1">
      <alignment horizontal="center" vertical="center" wrapText="1"/>
    </xf>
    <xf numFmtId="177" fontId="21" fillId="2" borderId="38" xfId="0" applyNumberFormat="1" applyFont="1" applyFill="1" applyBorder="1" applyAlignment="1" applyProtection="1">
      <alignment horizontal="center" vertical="center" wrapText="1"/>
    </xf>
    <xf numFmtId="177" fontId="21" fillId="2" borderId="39" xfId="0" applyNumberFormat="1" applyFont="1" applyFill="1" applyBorder="1" applyAlignment="1" applyProtection="1">
      <alignment horizontal="center" vertical="center" wrapText="1"/>
    </xf>
    <xf numFmtId="177" fontId="21" fillId="2" borderId="138" xfId="0" applyNumberFormat="1" applyFont="1" applyFill="1" applyBorder="1" applyAlignment="1" applyProtection="1">
      <alignment horizontal="center" vertical="center" wrapText="1"/>
    </xf>
    <xf numFmtId="0" fontId="29" fillId="2" borderId="7" xfId="0" applyFont="1" applyFill="1" applyBorder="1" applyAlignment="1" applyProtection="1">
      <alignment horizontal="left"/>
    </xf>
    <xf numFmtId="0" fontId="29" fillId="2" borderId="0" xfId="0" applyFont="1" applyFill="1" applyBorder="1" applyAlignment="1" applyProtection="1">
      <alignment horizontal="left"/>
    </xf>
    <xf numFmtId="0" fontId="29" fillId="2" borderId="9" xfId="0" applyFont="1" applyFill="1" applyBorder="1" applyAlignment="1" applyProtection="1">
      <alignment horizontal="left"/>
    </xf>
    <xf numFmtId="0" fontId="29" fillId="2" borderId="93" xfId="0" applyFont="1" applyFill="1" applyBorder="1" applyAlignment="1" applyProtection="1">
      <alignment horizontal="left"/>
    </xf>
    <xf numFmtId="0" fontId="29" fillId="2" borderId="54" xfId="0" applyFont="1" applyFill="1" applyBorder="1" applyAlignment="1" applyProtection="1">
      <alignment horizontal="left"/>
    </xf>
    <xf numFmtId="0" fontId="29" fillId="2" borderId="66" xfId="0" applyFont="1" applyFill="1" applyBorder="1" applyAlignment="1" applyProtection="1">
      <alignment horizontal="left"/>
    </xf>
    <xf numFmtId="0" fontId="20" fillId="3" borderId="59" xfId="0" applyFont="1" applyFill="1" applyBorder="1" applyAlignment="1" applyProtection="1">
      <alignment horizontal="center" vertical="center"/>
      <protection locked="0"/>
    </xf>
    <xf numFmtId="0" fontId="20" fillId="3" borderId="60" xfId="0" applyFont="1" applyFill="1" applyBorder="1" applyAlignment="1" applyProtection="1">
      <alignment horizontal="center" vertical="center"/>
      <protection locked="0"/>
    </xf>
    <xf numFmtId="0" fontId="20" fillId="3" borderId="61" xfId="0" applyFont="1" applyFill="1" applyBorder="1" applyAlignment="1" applyProtection="1">
      <alignment horizontal="center" vertical="center"/>
      <protection locked="0"/>
    </xf>
    <xf numFmtId="0" fontId="20" fillId="3" borderId="105" xfId="0" applyFont="1" applyFill="1" applyBorder="1" applyAlignment="1" applyProtection="1">
      <alignment horizontal="center" vertical="center"/>
      <protection locked="0"/>
    </xf>
    <xf numFmtId="0" fontId="20" fillId="3" borderId="106" xfId="0" applyFont="1" applyFill="1" applyBorder="1" applyAlignment="1" applyProtection="1">
      <alignment horizontal="center" vertical="center"/>
      <protection locked="0"/>
    </xf>
    <xf numFmtId="0" fontId="20" fillId="3" borderId="107" xfId="0" applyFont="1" applyFill="1" applyBorder="1" applyAlignment="1" applyProtection="1">
      <alignment horizontal="center" vertical="center"/>
      <protection locked="0"/>
    </xf>
    <xf numFmtId="0" fontId="29" fillId="2" borderId="15" xfId="0" applyFont="1" applyFill="1" applyBorder="1" applyAlignment="1" applyProtection="1">
      <alignment horizontal="left" vertical="center"/>
    </xf>
    <xf numFmtId="0" fontId="29" fillId="2" borderId="10" xfId="0" applyFont="1" applyFill="1" applyBorder="1" applyAlignment="1" applyProtection="1">
      <alignment horizontal="left" vertical="center"/>
    </xf>
    <xf numFmtId="0" fontId="29" fillId="2" borderId="17" xfId="0" applyFont="1" applyFill="1" applyBorder="1" applyAlignment="1" applyProtection="1">
      <alignment horizontal="left" vertical="center"/>
    </xf>
    <xf numFmtId="14" fontId="20" fillId="3" borderId="97" xfId="0" applyNumberFormat="1" applyFont="1" applyFill="1" applyBorder="1" applyAlignment="1" applyProtection="1">
      <alignment horizontal="center" vertical="center"/>
      <protection locked="0"/>
    </xf>
    <xf numFmtId="14" fontId="20" fillId="3" borderId="98" xfId="0" applyNumberFormat="1" applyFont="1" applyFill="1" applyBorder="1" applyAlignment="1" applyProtection="1">
      <alignment horizontal="center" vertical="center"/>
      <protection locked="0"/>
    </xf>
    <xf numFmtId="14" fontId="20" fillId="3" borderId="99" xfId="0" applyNumberFormat="1" applyFont="1" applyFill="1" applyBorder="1" applyAlignment="1" applyProtection="1">
      <alignment horizontal="center" vertical="center"/>
      <protection locked="0"/>
    </xf>
    <xf numFmtId="175" fontId="20" fillId="2" borderId="10" xfId="0" applyNumberFormat="1" applyFont="1" applyFill="1" applyBorder="1" applyAlignment="1" applyProtection="1">
      <alignment horizontal="center"/>
    </xf>
    <xf numFmtId="0" fontId="6" fillId="2" borderId="97" xfId="0" applyFont="1" applyFill="1" applyBorder="1" applyAlignment="1" applyProtection="1">
      <alignment horizontal="center" vertical="center"/>
    </xf>
    <xf numFmtId="0" fontId="6" fillId="2" borderId="98" xfId="0" applyFont="1" applyFill="1" applyBorder="1" applyAlignment="1" applyProtection="1">
      <alignment horizontal="center" vertical="center"/>
    </xf>
    <xf numFmtId="0" fontId="6" fillId="2" borderId="99" xfId="0" applyFont="1" applyFill="1" applyBorder="1" applyAlignment="1" applyProtection="1">
      <alignment horizontal="center" vertical="center"/>
    </xf>
    <xf numFmtId="0" fontId="20" fillId="3" borderId="6" xfId="0" applyFont="1" applyFill="1" applyBorder="1" applyAlignment="1" applyProtection="1">
      <alignment horizontal="center" vertical="center"/>
      <protection locked="0"/>
    </xf>
    <xf numFmtId="0" fontId="20" fillId="3" borderId="101" xfId="0" applyFont="1" applyFill="1" applyBorder="1" applyAlignment="1" applyProtection="1">
      <alignment horizontal="center" vertical="center"/>
      <protection locked="0"/>
    </xf>
    <xf numFmtId="0" fontId="7" fillId="2" borderId="98" xfId="0" applyFont="1" applyFill="1" applyBorder="1" applyAlignment="1" applyProtection="1">
      <alignment horizontal="center"/>
    </xf>
    <xf numFmtId="0" fontId="6" fillId="2" borderId="97" xfId="0" applyFont="1" applyFill="1" applyBorder="1" applyAlignment="1" applyProtection="1">
      <alignment horizontal="left" vertical="center" indent="1"/>
    </xf>
    <xf numFmtId="0" fontId="6" fillId="2" borderId="98" xfId="0" applyFont="1" applyFill="1" applyBorder="1" applyAlignment="1" applyProtection="1">
      <alignment horizontal="left" vertical="center" indent="1"/>
    </xf>
    <xf numFmtId="0" fontId="6" fillId="2" borderId="99" xfId="0" applyFont="1" applyFill="1" applyBorder="1" applyAlignment="1" applyProtection="1">
      <alignment horizontal="left" vertical="center" indent="1"/>
    </xf>
    <xf numFmtId="0" fontId="20" fillId="3" borderId="56" xfId="0" applyFont="1" applyFill="1" applyBorder="1" applyAlignment="1" applyProtection="1">
      <alignment horizontal="center" vertical="center"/>
      <protection locked="0"/>
    </xf>
    <xf numFmtId="0" fontId="20" fillId="3" borderId="57" xfId="0" applyFont="1" applyFill="1" applyBorder="1" applyAlignment="1" applyProtection="1">
      <alignment horizontal="center" vertical="center"/>
      <protection locked="0"/>
    </xf>
    <xf numFmtId="0" fontId="20" fillId="3" borderId="58" xfId="0" applyFont="1" applyFill="1" applyBorder="1" applyAlignment="1" applyProtection="1">
      <alignment horizontal="center" vertical="center"/>
      <protection locked="0"/>
    </xf>
    <xf numFmtId="0" fontId="22" fillId="3" borderId="100" xfId="0" applyFont="1" applyFill="1" applyBorder="1" applyAlignment="1" applyProtection="1">
      <alignment horizontal="center" vertical="center"/>
      <protection locked="0"/>
    </xf>
    <xf numFmtId="0" fontId="22" fillId="3" borderId="6" xfId="0" applyFont="1" applyFill="1" applyBorder="1" applyAlignment="1" applyProtection="1">
      <alignment horizontal="center" vertical="center"/>
      <protection locked="0"/>
    </xf>
    <xf numFmtId="0" fontId="22" fillId="3" borderId="101" xfId="0" applyFont="1" applyFill="1" applyBorder="1" applyAlignment="1" applyProtection="1">
      <alignment horizontal="center" vertical="center"/>
      <protection locked="0"/>
    </xf>
    <xf numFmtId="0" fontId="20" fillId="3" borderId="102" xfId="0" applyFont="1" applyFill="1" applyBorder="1" applyAlignment="1" applyProtection="1">
      <alignment horizontal="center" vertical="center"/>
      <protection locked="0"/>
    </xf>
    <xf numFmtId="0" fontId="20" fillId="3" borderId="103" xfId="0" applyFont="1" applyFill="1" applyBorder="1" applyAlignment="1" applyProtection="1">
      <alignment horizontal="center" vertical="center"/>
      <protection locked="0"/>
    </xf>
    <xf numFmtId="0" fontId="20" fillId="3" borderId="104" xfId="0" applyFont="1" applyFill="1" applyBorder="1" applyAlignment="1" applyProtection="1">
      <alignment horizontal="center" vertical="center"/>
      <protection locked="0"/>
    </xf>
    <xf numFmtId="0" fontId="33" fillId="2" borderId="0" xfId="0" applyFont="1" applyFill="1" applyBorder="1" applyAlignment="1" applyProtection="1">
      <alignment horizontal="center" vertical="center" wrapText="1"/>
    </xf>
    <xf numFmtId="0" fontId="30" fillId="2" borderId="97" xfId="0" applyFont="1" applyFill="1" applyBorder="1" applyAlignment="1" applyProtection="1">
      <alignment horizontal="center" vertical="center"/>
    </xf>
    <xf numFmtId="0" fontId="30" fillId="2" borderId="98" xfId="0" applyFont="1" applyFill="1" applyBorder="1" applyAlignment="1" applyProtection="1">
      <alignment horizontal="center" vertical="center"/>
    </xf>
    <xf numFmtId="0" fontId="30" fillId="2" borderId="99" xfId="0" applyFont="1" applyFill="1" applyBorder="1" applyAlignment="1" applyProtection="1">
      <alignment horizontal="center" vertical="center"/>
    </xf>
    <xf numFmtId="0" fontId="29" fillId="2" borderId="0" xfId="0" applyFont="1" applyFill="1" applyAlignment="1" applyProtection="1">
      <alignment horizontal="left" vertical="center" indent="1"/>
    </xf>
    <xf numFmtId="0" fontId="20" fillId="3" borderId="97" xfId="0" applyFont="1" applyFill="1" applyBorder="1" applyAlignment="1" applyProtection="1">
      <alignment horizontal="center" vertical="center"/>
      <protection locked="0"/>
    </xf>
    <xf numFmtId="0" fontId="20" fillId="3" borderId="98" xfId="0" applyFont="1" applyFill="1" applyBorder="1" applyAlignment="1" applyProtection="1">
      <alignment horizontal="center" vertical="center"/>
      <protection locked="0"/>
    </xf>
    <xf numFmtId="0" fontId="20" fillId="3" borderId="99" xfId="0" applyFont="1" applyFill="1" applyBorder="1" applyAlignment="1" applyProtection="1">
      <alignment horizontal="center" vertical="center"/>
      <protection locked="0"/>
    </xf>
    <xf numFmtId="0" fontId="7" fillId="2" borderId="10" xfId="0" applyFont="1" applyFill="1" applyBorder="1" applyAlignment="1" applyProtection="1">
      <alignment horizontal="left"/>
    </xf>
    <xf numFmtId="0" fontId="24" fillId="2" borderId="49" xfId="0" applyFont="1" applyFill="1" applyBorder="1" applyAlignment="1" applyProtection="1">
      <alignment horizontal="center" vertical="center" wrapText="1"/>
    </xf>
    <xf numFmtId="0" fontId="24" fillId="2" borderId="43" xfId="0" applyFont="1" applyFill="1" applyBorder="1" applyAlignment="1" applyProtection="1">
      <alignment horizontal="center" vertical="center" wrapText="1"/>
    </xf>
    <xf numFmtId="3" fontId="10" fillId="2" borderId="142" xfId="0" applyNumberFormat="1" applyFont="1" applyFill="1" applyBorder="1" applyAlignment="1" applyProtection="1">
      <alignment horizontal="center" vertical="center" wrapText="1"/>
    </xf>
    <xf numFmtId="3" fontId="10" fillId="2" borderId="21" xfId="0" applyNumberFormat="1" applyFont="1" applyFill="1" applyBorder="1" applyAlignment="1" applyProtection="1">
      <alignment horizontal="center" vertical="center" wrapText="1"/>
    </xf>
    <xf numFmtId="3" fontId="10" fillId="2" borderId="140" xfId="0" applyNumberFormat="1" applyFont="1" applyFill="1" applyBorder="1" applyAlignment="1" applyProtection="1">
      <alignment horizontal="center" vertical="center" wrapText="1"/>
    </xf>
    <xf numFmtId="3" fontId="10" fillId="2" borderId="138" xfId="0" applyNumberFormat="1" applyFont="1" applyFill="1" applyBorder="1" applyAlignment="1" applyProtection="1">
      <alignment horizontal="center" vertical="center" wrapText="1"/>
    </xf>
    <xf numFmtId="3" fontId="20" fillId="2" borderId="32" xfId="0" applyNumberFormat="1" applyFont="1" applyFill="1" applyBorder="1" applyAlignment="1" applyProtection="1">
      <alignment horizontal="center" vertical="center" wrapText="1"/>
      <protection locked="0"/>
    </xf>
    <xf numFmtId="3" fontId="20" fillId="2" borderId="19" xfId="0" applyNumberFormat="1" applyFont="1" applyFill="1" applyBorder="1" applyAlignment="1" applyProtection="1">
      <alignment horizontal="center" vertical="center" wrapText="1"/>
      <protection locked="0"/>
    </xf>
    <xf numFmtId="3" fontId="20" fillId="2" borderId="29" xfId="0" applyNumberFormat="1" applyFont="1" applyFill="1" applyBorder="1" applyAlignment="1" applyProtection="1">
      <alignment horizontal="center" vertical="center" wrapText="1"/>
      <protection locked="0"/>
    </xf>
    <xf numFmtId="2" fontId="24" fillId="2" borderId="15" xfId="0" applyNumberFormat="1" applyFont="1" applyFill="1" applyBorder="1" applyAlignment="1" applyProtection="1">
      <alignment horizontal="center" vertical="center" wrapText="1"/>
    </xf>
    <xf numFmtId="2" fontId="24" fillId="2" borderId="10" xfId="0" applyNumberFormat="1" applyFont="1" applyFill="1" applyBorder="1" applyAlignment="1" applyProtection="1">
      <alignment horizontal="center" vertical="center" wrapText="1"/>
    </xf>
    <xf numFmtId="2" fontId="24" fillId="2" borderId="17" xfId="0" applyNumberFormat="1" applyFont="1" applyFill="1" applyBorder="1" applyAlignment="1" applyProtection="1">
      <alignment horizontal="center" vertical="center" wrapText="1"/>
    </xf>
    <xf numFmtId="0" fontId="24" fillId="2" borderId="15" xfId="0" applyFont="1" applyFill="1" applyBorder="1" applyAlignment="1" applyProtection="1">
      <alignment horizontal="center" vertical="center" wrapText="1"/>
    </xf>
    <xf numFmtId="0" fontId="24" fillId="2" borderId="10" xfId="0" applyFont="1" applyFill="1" applyBorder="1" applyAlignment="1" applyProtection="1">
      <alignment horizontal="center" vertical="center" wrapText="1"/>
    </xf>
    <xf numFmtId="0" fontId="24" fillId="2" borderId="17" xfId="0" applyFont="1" applyFill="1" applyBorder="1" applyAlignment="1" applyProtection="1">
      <alignment horizontal="center" vertical="center" wrapText="1"/>
    </xf>
    <xf numFmtId="0" fontId="24" fillId="2" borderId="64" xfId="0" applyFont="1" applyFill="1" applyBorder="1" applyAlignment="1" applyProtection="1">
      <alignment horizontal="center" vertical="center" wrapText="1"/>
    </xf>
    <xf numFmtId="0" fontId="24" fillId="2" borderId="9" xfId="0" applyFont="1" applyFill="1" applyBorder="1" applyAlignment="1" applyProtection="1">
      <alignment horizontal="center" vertical="center" wrapText="1"/>
    </xf>
    <xf numFmtId="0" fontId="24" fillId="2" borderId="65" xfId="0" applyFont="1" applyFill="1" applyBorder="1" applyAlignment="1" applyProtection="1">
      <alignment horizontal="center" vertical="center" wrapText="1"/>
    </xf>
    <xf numFmtId="0" fontId="31" fillId="2" borderId="0" xfId="0" applyFont="1" applyFill="1" applyBorder="1" applyAlignment="1" applyProtection="1">
      <alignment horizontal="left" vertical="center" wrapText="1" indent="1"/>
    </xf>
    <xf numFmtId="0" fontId="10" fillId="2" borderId="124" xfId="0" applyFont="1" applyFill="1" applyBorder="1" applyAlignment="1" applyProtection="1">
      <alignment horizontal="right" vertical="center" wrapText="1"/>
    </xf>
    <xf numFmtId="0" fontId="10" fillId="2" borderId="125" xfId="0" applyFont="1" applyFill="1" applyBorder="1" applyAlignment="1" applyProtection="1">
      <alignment horizontal="right" vertical="center" wrapText="1"/>
    </xf>
    <xf numFmtId="0" fontId="10" fillId="2" borderId="126" xfId="0" applyFont="1" applyFill="1" applyBorder="1" applyAlignment="1" applyProtection="1">
      <alignment horizontal="right" vertical="center" wrapText="1"/>
    </xf>
    <xf numFmtId="0" fontId="10" fillId="2" borderId="100" xfId="0" applyFont="1" applyFill="1" applyBorder="1" applyAlignment="1" applyProtection="1">
      <alignment horizontal="right" vertical="center" wrapText="1"/>
    </xf>
    <xf numFmtId="0" fontId="10" fillId="2" borderId="6" xfId="0" applyFont="1" applyFill="1" applyBorder="1" applyAlignment="1" applyProtection="1">
      <alignment horizontal="right" vertical="center" wrapText="1"/>
    </xf>
    <xf numFmtId="0" fontId="10" fillId="2" borderId="115" xfId="0" applyFont="1" applyFill="1" applyBorder="1" applyAlignment="1" applyProtection="1">
      <alignment horizontal="right" vertical="center" wrapText="1"/>
    </xf>
    <xf numFmtId="0" fontId="10" fillId="2" borderId="111" xfId="0" applyFont="1" applyFill="1" applyBorder="1" applyAlignment="1" applyProtection="1">
      <alignment horizontal="right" vertical="center" wrapText="1"/>
    </xf>
    <xf numFmtId="0" fontId="10" fillId="2" borderId="112" xfId="0" applyFont="1" applyFill="1" applyBorder="1" applyAlignment="1" applyProtection="1">
      <alignment horizontal="right" vertical="center" wrapText="1"/>
    </xf>
    <xf numFmtId="0" fontId="10" fillId="2" borderId="127" xfId="0" applyFont="1" applyFill="1" applyBorder="1" applyAlignment="1" applyProtection="1">
      <alignment horizontal="right" vertical="center" wrapText="1"/>
    </xf>
    <xf numFmtId="169" fontId="20" fillId="3" borderId="121" xfId="0" applyNumberFormat="1" applyFont="1" applyFill="1" applyBorder="1" applyAlignment="1" applyProtection="1">
      <alignment horizontal="center" vertical="center" wrapText="1"/>
      <protection locked="0"/>
    </xf>
    <xf numFmtId="169" fontId="20" fillId="3" borderId="57" xfId="0" applyNumberFormat="1" applyFont="1" applyFill="1" applyBorder="1" applyAlignment="1" applyProtection="1">
      <alignment horizontal="center" vertical="center" wrapText="1"/>
      <protection locked="0"/>
    </xf>
    <xf numFmtId="169" fontId="20" fillId="3" borderId="58" xfId="0" applyNumberFormat="1" applyFont="1" applyFill="1" applyBorder="1" applyAlignment="1" applyProtection="1">
      <alignment horizontal="center" vertical="center" wrapText="1"/>
      <protection locked="0"/>
    </xf>
    <xf numFmtId="175" fontId="20" fillId="2" borderId="119" xfId="0" applyNumberFormat="1" applyFont="1" applyFill="1" applyBorder="1" applyAlignment="1" applyProtection="1">
      <alignment horizontal="center" vertical="center" wrapText="1"/>
    </xf>
    <xf numFmtId="175" fontId="20" fillId="2" borderId="106" xfId="0" applyNumberFormat="1" applyFont="1" applyFill="1" applyBorder="1" applyAlignment="1" applyProtection="1">
      <alignment horizontal="center" vertical="center" wrapText="1"/>
    </xf>
    <xf numFmtId="175" fontId="20" fillId="2" borderId="107" xfId="0" applyNumberFormat="1" applyFont="1" applyFill="1" applyBorder="1" applyAlignment="1" applyProtection="1">
      <alignment horizontal="center" vertical="center" wrapText="1"/>
    </xf>
    <xf numFmtId="3" fontId="20" fillId="3" borderId="122" xfId="1" applyNumberFormat="1" applyFont="1" applyFill="1" applyBorder="1" applyAlignment="1" applyProtection="1">
      <alignment horizontal="center" vertical="center" wrapText="1"/>
      <protection locked="0"/>
    </xf>
    <xf numFmtId="3" fontId="20" fillId="3" borderId="6" xfId="1" applyNumberFormat="1" applyFont="1" applyFill="1" applyBorder="1" applyAlignment="1" applyProtection="1">
      <alignment horizontal="center" vertical="center" wrapText="1"/>
      <protection locked="0"/>
    </xf>
    <xf numFmtId="3" fontId="20" fillId="3" borderId="101" xfId="1" applyNumberFormat="1" applyFont="1" applyFill="1" applyBorder="1" applyAlignment="1" applyProtection="1">
      <alignment horizontal="center" vertical="center" wrapText="1"/>
      <protection locked="0"/>
    </xf>
    <xf numFmtId="3" fontId="20" fillId="0" borderId="122" xfId="1" applyNumberFormat="1" applyFont="1" applyFill="1" applyBorder="1" applyAlignment="1" applyProtection="1">
      <alignment horizontal="center" vertical="center" wrapText="1"/>
    </xf>
    <xf numFmtId="3" fontId="20" fillId="0" borderId="6" xfId="1" applyNumberFormat="1" applyFont="1" applyFill="1" applyBorder="1" applyAlignment="1" applyProtection="1">
      <alignment horizontal="center" vertical="center" wrapText="1"/>
    </xf>
    <xf numFmtId="3" fontId="20" fillId="0" borderId="101" xfId="1" applyNumberFormat="1" applyFont="1" applyFill="1" applyBorder="1" applyAlignment="1" applyProtection="1">
      <alignment horizontal="center" vertical="center" wrapText="1"/>
    </xf>
    <xf numFmtId="1" fontId="20" fillId="3" borderId="119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106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107" xfId="0" applyNumberFormat="1" applyFont="1" applyFill="1" applyBorder="1" applyAlignment="1" applyProtection="1">
      <alignment horizontal="center" vertical="center" wrapText="1"/>
      <protection locked="0"/>
    </xf>
    <xf numFmtId="0" fontId="24" fillId="2" borderId="16" xfId="0" applyFont="1" applyFill="1" applyBorder="1" applyAlignment="1" applyProtection="1">
      <alignment horizontal="center" vertical="center" wrapText="1"/>
    </xf>
    <xf numFmtId="0" fontId="24" fillId="2" borderId="14" xfId="0" applyFont="1" applyFill="1" applyBorder="1" applyAlignment="1" applyProtection="1">
      <alignment horizontal="center" vertical="center" wrapText="1"/>
    </xf>
    <xf numFmtId="0" fontId="24" fillId="2" borderId="114" xfId="0" applyFont="1" applyFill="1" applyBorder="1" applyAlignment="1" applyProtection="1">
      <alignment horizontal="center" vertical="center" wrapText="1"/>
    </xf>
    <xf numFmtId="0" fontId="24" fillId="2" borderId="51" xfId="0" applyFont="1" applyFill="1" applyBorder="1" applyAlignment="1" applyProtection="1">
      <alignment horizontal="center" vertical="center" wrapText="1"/>
    </xf>
    <xf numFmtId="10" fontId="20" fillId="2" borderId="34" xfId="0" applyNumberFormat="1" applyFont="1" applyFill="1" applyBorder="1" applyAlignment="1" applyProtection="1">
      <alignment horizontal="center" vertical="center" wrapText="1"/>
    </xf>
    <xf numFmtId="10" fontId="20" fillId="2" borderId="19" xfId="0" applyNumberFormat="1" applyFont="1" applyFill="1" applyBorder="1" applyAlignment="1" applyProtection="1">
      <alignment horizontal="center" vertical="center" wrapText="1"/>
    </xf>
    <xf numFmtId="10" fontId="20" fillId="2" borderId="29" xfId="0" applyNumberFormat="1" applyFont="1" applyFill="1" applyBorder="1" applyAlignment="1" applyProtection="1">
      <alignment horizontal="center" vertical="center" wrapText="1"/>
    </xf>
    <xf numFmtId="0" fontId="20" fillId="3" borderId="116" xfId="0" applyFont="1" applyFill="1" applyBorder="1" applyAlignment="1" applyProtection="1">
      <alignment horizontal="center" vertical="center" wrapText="1"/>
      <protection locked="0"/>
    </xf>
    <xf numFmtId="0" fontId="20" fillId="3" borderId="109" xfId="0" applyFont="1" applyFill="1" applyBorder="1" applyAlignment="1" applyProtection="1">
      <alignment horizontal="center" vertical="center" wrapText="1"/>
      <protection locked="0"/>
    </xf>
    <xf numFmtId="0" fontId="20" fillId="3" borderId="110" xfId="0" applyFont="1" applyFill="1" applyBorder="1" applyAlignment="1" applyProtection="1">
      <alignment horizontal="center" vertical="center" wrapText="1"/>
      <protection locked="0"/>
    </xf>
    <xf numFmtId="0" fontId="10" fillId="2" borderId="105" xfId="0" applyFont="1" applyFill="1" applyBorder="1" applyAlignment="1" applyProtection="1">
      <alignment horizontal="right" vertical="center" wrapText="1"/>
    </xf>
    <xf numFmtId="0" fontId="10" fillId="2" borderId="106" xfId="0" applyFont="1" applyFill="1" applyBorder="1" applyAlignment="1" applyProtection="1">
      <alignment horizontal="right" vertical="center" wrapText="1"/>
    </xf>
    <xf numFmtId="0" fontId="10" fillId="2" borderId="117" xfId="0" applyFont="1" applyFill="1" applyBorder="1" applyAlignment="1" applyProtection="1">
      <alignment horizontal="right" vertical="center" wrapText="1"/>
    </xf>
    <xf numFmtId="0" fontId="10" fillId="2" borderId="108" xfId="0" applyFont="1" applyFill="1" applyBorder="1" applyAlignment="1" applyProtection="1">
      <alignment horizontal="right" vertical="center" wrapText="1"/>
    </xf>
    <xf numFmtId="0" fontId="10" fillId="2" borderId="109" xfId="0" applyFont="1" applyFill="1" applyBorder="1" applyAlignment="1" applyProtection="1">
      <alignment horizontal="right" vertical="center" wrapText="1"/>
    </xf>
    <xf numFmtId="0" fontId="10" fillId="2" borderId="118" xfId="0" applyFont="1" applyFill="1" applyBorder="1" applyAlignment="1" applyProtection="1">
      <alignment horizontal="right" vertical="center" wrapText="1"/>
    </xf>
    <xf numFmtId="0" fontId="32" fillId="3" borderId="123" xfId="0" applyFont="1" applyFill="1" applyBorder="1" applyAlignment="1" applyProtection="1">
      <alignment horizontal="center" vertical="center" wrapText="1"/>
      <protection locked="0"/>
    </xf>
    <xf numFmtId="0" fontId="32" fillId="3" borderId="112" xfId="0" applyFont="1" applyFill="1" applyBorder="1" applyAlignment="1" applyProtection="1">
      <alignment horizontal="center" vertical="center" wrapText="1"/>
      <protection locked="0"/>
    </xf>
    <xf numFmtId="0" fontId="32" fillId="3" borderId="113" xfId="0" applyFont="1" applyFill="1" applyBorder="1" applyAlignment="1" applyProtection="1">
      <alignment horizontal="center" vertical="center" wrapText="1"/>
      <protection locked="0"/>
    </xf>
    <xf numFmtId="3" fontId="20" fillId="2" borderId="34" xfId="0" applyNumberFormat="1" applyFont="1" applyFill="1" applyBorder="1" applyAlignment="1" applyProtection="1">
      <alignment horizontal="center" vertical="center" wrapText="1"/>
      <protection locked="0"/>
    </xf>
    <xf numFmtId="3" fontId="20" fillId="2" borderId="32" xfId="1" applyNumberFormat="1" applyFont="1" applyFill="1" applyBorder="1" applyAlignment="1" applyProtection="1">
      <alignment horizontal="center" vertical="center" wrapText="1"/>
      <protection locked="0"/>
    </xf>
    <xf numFmtId="3" fontId="20" fillId="2" borderId="19" xfId="1" applyNumberFormat="1" applyFont="1" applyFill="1" applyBorder="1" applyAlignment="1" applyProtection="1">
      <alignment horizontal="center" vertical="center" wrapText="1"/>
      <protection locked="0"/>
    </xf>
    <xf numFmtId="3" fontId="20" fillId="2" borderId="29" xfId="1" applyNumberFormat="1" applyFont="1" applyFill="1" applyBorder="1" applyAlignment="1" applyProtection="1">
      <alignment horizontal="center" vertical="center" wrapText="1"/>
      <protection locked="0"/>
    </xf>
    <xf numFmtId="4" fontId="21" fillId="2" borderId="32" xfId="0" applyNumberFormat="1" applyFont="1" applyFill="1" applyBorder="1" applyAlignment="1" applyProtection="1">
      <alignment horizontal="center" vertical="center" wrapText="1"/>
    </xf>
    <xf numFmtId="4" fontId="21" fillId="2" borderId="19" xfId="0" applyNumberFormat="1" applyFont="1" applyFill="1" applyBorder="1" applyAlignment="1" applyProtection="1">
      <alignment horizontal="center" vertical="center" wrapText="1"/>
    </xf>
    <xf numFmtId="4" fontId="21" fillId="2" borderId="29" xfId="0" applyNumberFormat="1" applyFont="1" applyFill="1" applyBorder="1" applyAlignment="1" applyProtection="1">
      <alignment horizontal="center" vertical="center" wrapText="1"/>
    </xf>
    <xf numFmtId="10" fontId="20" fillId="2" borderId="32" xfId="0" applyNumberFormat="1" applyFont="1" applyFill="1" applyBorder="1" applyAlignment="1" applyProtection="1">
      <alignment horizontal="center" vertical="center" wrapText="1"/>
    </xf>
    <xf numFmtId="3" fontId="21" fillId="2" borderId="34" xfId="0" applyNumberFormat="1" applyFont="1" applyFill="1" applyBorder="1" applyAlignment="1" applyProtection="1">
      <alignment horizontal="center" vertical="center" wrapText="1"/>
    </xf>
    <xf numFmtId="3" fontId="21" fillId="2" borderId="19" xfId="0" applyNumberFormat="1" applyFont="1" applyFill="1" applyBorder="1" applyAlignment="1" applyProtection="1">
      <alignment horizontal="center" vertical="center" wrapText="1"/>
    </xf>
    <xf numFmtId="3" fontId="21" fillId="2" borderId="29" xfId="0" applyNumberFormat="1" applyFont="1" applyFill="1" applyBorder="1" applyAlignment="1" applyProtection="1">
      <alignment horizontal="center" vertical="center" wrapText="1"/>
    </xf>
    <xf numFmtId="3" fontId="21" fillId="2" borderId="129" xfId="1" applyNumberFormat="1" applyFont="1" applyFill="1" applyBorder="1" applyAlignment="1" applyProtection="1">
      <alignment horizontal="center" vertical="center" wrapText="1"/>
    </xf>
    <xf numFmtId="3" fontId="21" fillId="2" borderId="20" xfId="1" applyNumberFormat="1" applyFont="1" applyFill="1" applyBorder="1" applyAlignment="1" applyProtection="1">
      <alignment horizontal="center" vertical="center" wrapText="1"/>
    </xf>
    <xf numFmtId="3" fontId="21" fillId="2" borderId="30" xfId="1" applyNumberFormat="1" applyFont="1" applyFill="1" applyBorder="1" applyAlignment="1" applyProtection="1">
      <alignment horizontal="center" vertical="center" wrapText="1"/>
    </xf>
    <xf numFmtId="3" fontId="21" fillId="0" borderId="32" xfId="1" applyNumberFormat="1" applyFont="1" applyFill="1" applyBorder="1" applyAlignment="1" applyProtection="1">
      <alignment horizontal="center" vertical="center" wrapText="1"/>
    </xf>
    <xf numFmtId="3" fontId="21" fillId="0" borderId="19" xfId="1" applyNumberFormat="1" applyFont="1" applyFill="1" applyBorder="1" applyAlignment="1" applyProtection="1">
      <alignment horizontal="center" vertical="center" wrapText="1"/>
    </xf>
    <xf numFmtId="3" fontId="21" fillId="0" borderId="29" xfId="1" applyNumberFormat="1" applyFont="1" applyFill="1" applyBorder="1" applyAlignment="1" applyProtection="1">
      <alignment horizontal="center" vertical="center" wrapText="1"/>
    </xf>
    <xf numFmtId="0" fontId="24" fillId="2" borderId="7" xfId="0" applyFont="1" applyFill="1" applyBorder="1" applyAlignment="1" applyProtection="1">
      <alignment horizontal="center" vertical="center" wrapText="1"/>
    </xf>
    <xf numFmtId="0" fontId="24" fillId="2" borderId="0" xfId="0" applyFont="1" applyFill="1" applyBorder="1" applyAlignment="1" applyProtection="1">
      <alignment horizontal="center" vertical="center" wrapText="1"/>
    </xf>
    <xf numFmtId="0" fontId="7" fillId="2" borderId="142" xfId="0" applyFont="1" applyFill="1" applyBorder="1" applyAlignment="1" applyProtection="1">
      <alignment horizontal="center" vertical="center" wrapText="1"/>
    </xf>
    <xf numFmtId="0" fontId="7" fillId="2" borderId="21" xfId="0" applyFont="1" applyFill="1" applyBorder="1" applyAlignment="1" applyProtection="1">
      <alignment horizontal="center" vertical="center" wrapText="1"/>
    </xf>
    <xf numFmtId="0" fontId="7" fillId="2" borderId="140" xfId="0" applyFont="1" applyFill="1" applyBorder="1" applyAlignment="1" applyProtection="1">
      <alignment horizontal="center" vertical="center" wrapText="1"/>
    </xf>
    <xf numFmtId="0" fontId="24" fillId="2" borderId="64" xfId="0" applyFont="1" applyFill="1" applyBorder="1" applyAlignment="1" applyProtection="1">
      <alignment horizontal="center" vertical="top" wrapText="1"/>
    </xf>
    <xf numFmtId="0" fontId="24" fillId="2" borderId="146" xfId="0" applyFont="1" applyFill="1" applyBorder="1" applyAlignment="1" applyProtection="1">
      <alignment horizontal="center" vertical="top" wrapText="1"/>
    </xf>
    <xf numFmtId="3" fontId="21" fillId="2" borderId="32" xfId="0" applyNumberFormat="1" applyFont="1" applyFill="1" applyBorder="1" applyAlignment="1" applyProtection="1">
      <alignment horizontal="center" vertical="center" wrapText="1"/>
    </xf>
    <xf numFmtId="0" fontId="24" fillId="2" borderId="139" xfId="0" applyFont="1" applyFill="1" applyBorder="1" applyAlignment="1" applyProtection="1">
      <alignment horizontal="center" vertical="center" wrapText="1"/>
    </xf>
    <xf numFmtId="0" fontId="24" fillId="2" borderId="147" xfId="0" applyFont="1" applyFill="1" applyBorder="1" applyAlignment="1" applyProtection="1">
      <alignment horizontal="center" vertical="center" wrapText="1"/>
    </xf>
    <xf numFmtId="3" fontId="21" fillId="2" borderId="35" xfId="1" applyNumberFormat="1" applyFont="1" applyFill="1" applyBorder="1" applyAlignment="1" applyProtection="1">
      <alignment horizontal="center" vertical="center" wrapText="1"/>
    </xf>
    <xf numFmtId="3" fontId="20" fillId="2" borderId="129" xfId="0" applyNumberFormat="1" applyFont="1" applyFill="1" applyBorder="1" applyAlignment="1" applyProtection="1">
      <alignment horizontal="center" vertical="center" wrapText="1"/>
      <protection locked="0"/>
    </xf>
    <xf numFmtId="3" fontId="20" fillId="2" borderId="20" xfId="0" applyNumberFormat="1" applyFont="1" applyFill="1" applyBorder="1" applyAlignment="1" applyProtection="1">
      <alignment horizontal="center" vertical="center" wrapText="1"/>
      <protection locked="0"/>
    </xf>
    <xf numFmtId="3" fontId="20" fillId="2" borderId="30" xfId="0" applyNumberFormat="1" applyFont="1" applyFill="1" applyBorder="1" applyAlignment="1" applyProtection="1">
      <alignment horizontal="center" vertical="center" wrapText="1"/>
      <protection locked="0"/>
    </xf>
    <xf numFmtId="3" fontId="21" fillId="0" borderId="34" xfId="1" applyNumberFormat="1" applyFont="1" applyFill="1" applyBorder="1" applyAlignment="1" applyProtection="1">
      <alignment horizontal="center" vertical="center" wrapText="1"/>
    </xf>
    <xf numFmtId="3" fontId="20" fillId="2" borderId="35" xfId="0" applyNumberFormat="1" applyFont="1" applyFill="1" applyBorder="1" applyAlignment="1" applyProtection="1">
      <alignment horizontal="center" vertical="center" wrapText="1"/>
      <protection locked="0"/>
    </xf>
    <xf numFmtId="3" fontId="20" fillId="3" borderId="56" xfId="0" applyNumberFormat="1" applyFont="1" applyFill="1" applyBorder="1" applyAlignment="1" applyProtection="1">
      <alignment horizontal="center" vertical="center" wrapText="1"/>
      <protection locked="0"/>
    </xf>
    <xf numFmtId="3" fontId="20" fillId="3" borderId="57" xfId="0" applyNumberFormat="1" applyFont="1" applyFill="1" applyBorder="1" applyAlignment="1" applyProtection="1">
      <alignment horizontal="center" vertical="center" wrapText="1"/>
      <protection locked="0"/>
    </xf>
    <xf numFmtId="3" fontId="20" fillId="3" borderId="58" xfId="0" applyNumberFormat="1" applyFont="1" applyFill="1" applyBorder="1" applyAlignment="1" applyProtection="1">
      <alignment horizontal="center" vertical="center" wrapText="1"/>
      <protection locked="0"/>
    </xf>
    <xf numFmtId="3" fontId="20" fillId="3" borderId="59" xfId="0" applyNumberFormat="1" applyFont="1" applyFill="1" applyBorder="1" applyAlignment="1" applyProtection="1">
      <alignment horizontal="center" vertical="center" wrapText="1"/>
      <protection locked="0"/>
    </xf>
    <xf numFmtId="3" fontId="20" fillId="3" borderId="60" xfId="0" applyNumberFormat="1" applyFont="1" applyFill="1" applyBorder="1" applyAlignment="1" applyProtection="1">
      <alignment horizontal="center" vertical="center" wrapText="1"/>
      <protection locked="0"/>
    </xf>
    <xf numFmtId="3" fontId="20" fillId="3" borderId="61" xfId="0" applyNumberFormat="1" applyFont="1" applyFill="1" applyBorder="1" applyAlignment="1" applyProtection="1">
      <alignment horizontal="center" vertical="center" wrapText="1"/>
      <protection locked="0"/>
    </xf>
    <xf numFmtId="3" fontId="20" fillId="3" borderId="95" xfId="0" applyNumberFormat="1" applyFont="1" applyFill="1" applyBorder="1" applyAlignment="1" applyProtection="1">
      <alignment horizontal="center" vertical="center" wrapText="1"/>
      <protection locked="0"/>
    </xf>
    <xf numFmtId="3" fontId="20" fillId="3" borderId="96" xfId="0" applyNumberFormat="1" applyFont="1" applyFill="1" applyBorder="1" applyAlignment="1" applyProtection="1">
      <alignment horizontal="center" vertical="center" wrapText="1"/>
      <protection locked="0"/>
    </xf>
    <xf numFmtId="3" fontId="20" fillId="3" borderId="83" xfId="0" applyNumberFormat="1" applyFont="1" applyFill="1" applyBorder="1" applyAlignment="1" applyProtection="1">
      <alignment horizontal="center" vertical="center" wrapText="1"/>
      <protection locked="0"/>
    </xf>
    <xf numFmtId="2" fontId="24" fillId="2" borderId="65" xfId="0" applyNumberFormat="1" applyFont="1" applyFill="1" applyBorder="1" applyAlignment="1" applyProtection="1">
      <alignment horizontal="center" vertical="center" wrapText="1"/>
    </xf>
    <xf numFmtId="2" fontId="24" fillId="2" borderId="44" xfId="0" applyNumberFormat="1" applyFont="1" applyFill="1" applyBorder="1" applyAlignment="1" applyProtection="1">
      <alignment horizontal="center" vertical="center" wrapText="1"/>
    </xf>
    <xf numFmtId="0" fontId="24" fillId="2" borderId="55" xfId="0" applyFont="1" applyFill="1" applyBorder="1" applyAlignment="1" applyProtection="1">
      <alignment horizontal="center" vertical="center" wrapText="1"/>
    </xf>
    <xf numFmtId="0" fontId="9" fillId="0" borderId="34" xfId="0" applyFont="1" applyFill="1" applyBorder="1" applyAlignment="1" applyProtection="1">
      <alignment horizontal="center" vertical="center" wrapText="1"/>
    </xf>
    <xf numFmtId="0" fontId="9" fillId="0" borderId="29" xfId="0" applyFont="1" applyFill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</xf>
    <xf numFmtId="0" fontId="10" fillId="0" borderId="45" xfId="0" applyFont="1" applyBorder="1" applyAlignment="1" applyProtection="1">
      <alignment horizontal="center" vertical="center" wrapText="1"/>
    </xf>
    <xf numFmtId="0" fontId="10" fillId="0" borderId="35" xfId="0" applyFont="1" applyFill="1" applyBorder="1" applyAlignment="1" applyProtection="1">
      <alignment horizontal="center" vertical="center" wrapText="1"/>
    </xf>
    <xf numFmtId="0" fontId="10" fillId="0" borderId="20" xfId="0" applyFont="1" applyFill="1" applyBorder="1" applyAlignment="1" applyProtection="1">
      <alignment horizontal="center" vertical="center" wrapText="1"/>
    </xf>
    <xf numFmtId="0" fontId="10" fillId="0" borderId="30" xfId="0" applyFont="1" applyFill="1" applyBorder="1" applyAlignment="1" applyProtection="1">
      <alignment horizontal="center" vertical="center" wrapText="1"/>
    </xf>
    <xf numFmtId="0" fontId="10" fillId="0" borderId="15" xfId="0" applyFont="1" applyFill="1" applyBorder="1" applyAlignment="1" applyProtection="1">
      <alignment horizontal="center" vertical="center" wrapText="1"/>
    </xf>
    <xf numFmtId="0" fontId="10" fillId="0" borderId="10" xfId="0" applyFont="1" applyFill="1" applyBorder="1" applyAlignment="1" applyProtection="1">
      <alignment horizontal="center" vertical="center" wrapText="1"/>
    </xf>
    <xf numFmtId="0" fontId="10" fillId="0" borderId="17" xfId="0" applyFont="1" applyFill="1" applyBorder="1" applyAlignment="1" applyProtection="1">
      <alignment horizontal="center" vertical="center" wrapText="1"/>
    </xf>
    <xf numFmtId="0" fontId="10" fillId="0" borderId="7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9" xfId="0" applyFont="1" applyFill="1" applyBorder="1" applyAlignment="1" applyProtection="1">
      <alignment horizontal="center" vertical="center" wrapText="1"/>
    </xf>
    <xf numFmtId="0" fontId="10" fillId="0" borderId="51" xfId="0" applyFont="1" applyFill="1" applyBorder="1" applyAlignment="1" applyProtection="1">
      <alignment horizontal="center" vertical="center" wrapText="1"/>
    </xf>
    <xf numFmtId="0" fontId="10" fillId="0" borderId="55" xfId="0" applyFont="1" applyFill="1" applyBorder="1" applyAlignment="1" applyProtection="1">
      <alignment horizontal="center" vertical="center" wrapText="1"/>
    </xf>
    <xf numFmtId="0" fontId="10" fillId="0" borderId="128" xfId="0" applyFont="1" applyBorder="1" applyAlignment="1" applyProtection="1">
      <alignment horizontal="center" vertical="center" wrapText="1"/>
    </xf>
    <xf numFmtId="0" fontId="10" fillId="0" borderId="32" xfId="0" applyFont="1" applyBorder="1" applyAlignment="1" applyProtection="1">
      <alignment horizontal="center" vertical="center" wrapText="1"/>
    </xf>
    <xf numFmtId="0" fontId="10" fillId="0" borderId="129" xfId="0" applyFont="1" applyBorder="1" applyAlignment="1" applyProtection="1">
      <alignment horizontal="center" vertical="center" wrapText="1"/>
    </xf>
    <xf numFmtId="0" fontId="10" fillId="0" borderId="42" xfId="0" applyFont="1" applyBorder="1" applyAlignment="1" applyProtection="1">
      <alignment horizontal="center" vertical="center" wrapText="1"/>
    </xf>
    <xf numFmtId="0" fontId="10" fillId="0" borderId="26" xfId="0" applyFont="1" applyBorder="1" applyAlignment="1" applyProtection="1">
      <alignment horizontal="center" vertical="center" wrapText="1"/>
    </xf>
    <xf numFmtId="0" fontId="10" fillId="0" borderId="41" xfId="0" applyFont="1" applyBorder="1" applyAlignment="1" applyProtection="1">
      <alignment horizontal="center" vertical="center" wrapText="1"/>
    </xf>
    <xf numFmtId="0" fontId="10" fillId="0" borderId="133" xfId="0" applyFont="1" applyFill="1" applyBorder="1" applyAlignment="1" applyProtection="1">
      <alignment horizontal="center" vertical="center" wrapText="1"/>
    </xf>
    <xf numFmtId="0" fontId="10" fillId="0" borderId="34" xfId="0" applyFont="1" applyFill="1" applyBorder="1" applyAlignment="1" applyProtection="1">
      <alignment horizontal="center" vertical="center" wrapText="1"/>
    </xf>
    <xf numFmtId="0" fontId="10" fillId="0" borderId="134" xfId="0" applyFont="1" applyFill="1" applyBorder="1" applyAlignment="1" applyProtection="1">
      <alignment horizontal="center" vertical="center" wrapText="1"/>
    </xf>
    <xf numFmtId="0" fontId="10" fillId="0" borderId="26" xfId="0" applyFont="1" applyFill="1" applyBorder="1" applyAlignment="1" applyProtection="1">
      <alignment horizontal="center" vertical="center" wrapText="1"/>
    </xf>
    <xf numFmtId="0" fontId="10" fillId="0" borderId="41" xfId="0" applyFont="1" applyFill="1" applyBorder="1" applyAlignment="1" applyProtection="1">
      <alignment horizontal="center" vertical="center" wrapText="1"/>
    </xf>
    <xf numFmtId="0" fontId="10" fillId="0" borderId="19" xfId="0" applyFont="1" applyFill="1" applyBorder="1" applyAlignment="1" applyProtection="1">
      <alignment horizontal="center" vertical="center" wrapText="1"/>
    </xf>
    <xf numFmtId="0" fontId="10" fillId="0" borderId="29" xfId="0" applyFont="1" applyFill="1" applyBorder="1" applyAlignment="1" applyProtection="1">
      <alignment horizontal="center" vertical="center" wrapText="1"/>
    </xf>
    <xf numFmtId="0" fontId="10" fillId="2" borderId="34" xfId="0" applyFont="1" applyFill="1" applyBorder="1" applyAlignment="1" applyProtection="1">
      <alignment horizontal="center" vertical="center" wrapText="1"/>
    </xf>
    <xf numFmtId="0" fontId="10" fillId="2" borderId="19" xfId="0" applyFont="1" applyFill="1" applyBorder="1" applyAlignment="1" applyProtection="1">
      <alignment horizontal="center" vertical="center" wrapText="1"/>
    </xf>
    <xf numFmtId="0" fontId="10" fillId="2" borderId="29" xfId="0" applyFont="1" applyFill="1" applyBorder="1" applyAlignment="1" applyProtection="1">
      <alignment horizontal="center" vertical="center" wrapText="1"/>
    </xf>
    <xf numFmtId="0" fontId="10" fillId="0" borderId="49" xfId="0" applyFont="1" applyFill="1" applyBorder="1" applyAlignment="1" applyProtection="1">
      <alignment horizontal="center" vertical="center" wrapText="1"/>
    </xf>
    <xf numFmtId="0" fontId="10" fillId="0" borderId="43" xfId="0" applyFont="1" applyFill="1" applyBorder="1" applyAlignment="1" applyProtection="1">
      <alignment horizontal="center" vertical="center" wrapText="1"/>
    </xf>
    <xf numFmtId="0" fontId="10" fillId="0" borderId="64" xfId="0" applyFont="1" applyFill="1" applyBorder="1" applyAlignment="1" applyProtection="1">
      <alignment horizontal="center" vertical="center" wrapText="1"/>
    </xf>
    <xf numFmtId="0" fontId="10" fillId="0" borderId="67" xfId="0" applyFont="1" applyFill="1" applyBorder="1" applyAlignment="1" applyProtection="1">
      <alignment horizontal="center" vertical="center" wrapText="1"/>
    </xf>
    <xf numFmtId="0" fontId="10" fillId="2" borderId="3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30" xfId="0" applyFont="1" applyFill="1" applyBorder="1" applyAlignment="1" applyProtection="1">
      <alignment horizontal="center" vertical="center" wrapText="1"/>
    </xf>
    <xf numFmtId="0" fontId="10" fillId="0" borderId="40" xfId="0" applyFont="1" applyFill="1" applyBorder="1" applyAlignment="1" applyProtection="1">
      <alignment horizontal="center" vertical="center" wrapText="1"/>
    </xf>
    <xf numFmtId="0" fontId="10" fillId="0" borderId="37" xfId="0" applyFont="1" applyFill="1" applyBorder="1" applyAlignment="1" applyProtection="1">
      <alignment horizontal="center" vertical="center" wrapText="1"/>
    </xf>
    <xf numFmtId="0" fontId="10" fillId="0" borderId="31" xfId="0" applyFont="1" applyFill="1" applyBorder="1" applyAlignment="1" applyProtection="1">
      <alignment horizontal="center" vertical="center" wrapText="1"/>
    </xf>
    <xf numFmtId="0" fontId="10" fillId="0" borderId="22" xfId="0" applyFont="1" applyFill="1" applyBorder="1" applyAlignment="1" applyProtection="1">
      <alignment horizontal="center" vertical="center" wrapText="1"/>
    </xf>
    <xf numFmtId="0" fontId="10" fillId="0" borderId="28" xfId="0" applyFont="1" applyFill="1" applyBorder="1" applyAlignment="1" applyProtection="1">
      <alignment horizontal="center" vertical="center" wrapText="1"/>
    </xf>
    <xf numFmtId="0" fontId="10" fillId="0" borderId="45" xfId="0" applyFont="1" applyFill="1" applyBorder="1" applyAlignment="1" applyProtection="1">
      <alignment horizontal="center" vertical="center" wrapText="1"/>
    </xf>
    <xf numFmtId="0" fontId="10" fillId="0" borderId="36" xfId="0" applyFont="1" applyFill="1" applyBorder="1" applyAlignment="1" applyProtection="1">
      <alignment horizontal="center" vertical="center" wrapText="1"/>
    </xf>
    <xf numFmtId="0" fontId="10" fillId="0" borderId="18" xfId="0" applyFont="1" applyFill="1" applyBorder="1" applyAlignment="1" applyProtection="1">
      <alignment horizontal="center" vertical="center" wrapText="1"/>
    </xf>
    <xf numFmtId="0" fontId="10" fillId="0" borderId="25" xfId="0" applyFont="1" applyFill="1" applyBorder="1" applyAlignment="1" applyProtection="1">
      <alignment horizontal="center" vertical="center" wrapText="1"/>
    </xf>
    <xf numFmtId="0" fontId="10" fillId="0" borderId="59" xfId="0" applyFont="1" applyFill="1" applyBorder="1" applyAlignment="1" applyProtection="1">
      <alignment horizontal="right" vertical="center" wrapText="1"/>
    </xf>
    <xf numFmtId="0" fontId="10" fillId="0" borderId="60" xfId="0" applyFont="1" applyFill="1" applyBorder="1" applyAlignment="1" applyProtection="1">
      <alignment horizontal="right" vertical="center" wrapText="1"/>
    </xf>
    <xf numFmtId="0" fontId="10" fillId="0" borderId="87" xfId="0" applyFont="1" applyFill="1" applyBorder="1" applyAlignment="1" applyProtection="1">
      <alignment horizontal="right" vertical="center" wrapText="1"/>
    </xf>
    <xf numFmtId="0" fontId="10" fillId="0" borderId="16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46" xfId="0" applyFont="1" applyFill="1" applyBorder="1" applyAlignment="1" applyProtection="1">
      <alignment horizontal="center" vertical="center" wrapText="1"/>
    </xf>
    <xf numFmtId="0" fontId="10" fillId="0" borderId="95" xfId="0" applyFont="1" applyFill="1" applyBorder="1" applyAlignment="1" applyProtection="1">
      <alignment horizontal="right" vertical="center" wrapText="1"/>
    </xf>
    <xf numFmtId="0" fontId="10" fillId="0" borderId="96" xfId="0" applyFont="1" applyFill="1" applyBorder="1" applyAlignment="1" applyProtection="1">
      <alignment horizontal="right" vertical="center" wrapText="1"/>
    </xf>
    <xf numFmtId="0" fontId="10" fillId="0" borderId="131" xfId="0" applyFont="1" applyFill="1" applyBorder="1" applyAlignment="1" applyProtection="1">
      <alignment horizontal="right" vertical="center" wrapText="1"/>
    </xf>
    <xf numFmtId="0" fontId="10" fillId="0" borderId="48" xfId="0" applyFont="1" applyFill="1" applyBorder="1" applyAlignment="1" applyProtection="1">
      <alignment horizontal="center" vertical="center" wrapText="1"/>
    </xf>
    <xf numFmtId="0" fontId="10" fillId="0" borderId="63" xfId="0" applyFont="1" applyFill="1" applyBorder="1" applyAlignment="1" applyProtection="1">
      <alignment horizontal="center" vertical="center" wrapText="1"/>
    </xf>
    <xf numFmtId="0" fontId="10" fillId="0" borderId="50" xfId="0" applyFont="1" applyFill="1" applyBorder="1" applyAlignment="1" applyProtection="1">
      <alignment horizontal="center" vertical="center" wrapText="1"/>
    </xf>
    <xf numFmtId="0" fontId="10" fillId="0" borderId="128" xfId="0" applyFont="1" applyFill="1" applyBorder="1" applyAlignment="1" applyProtection="1">
      <alignment horizontal="center" vertical="center" wrapText="1"/>
    </xf>
    <xf numFmtId="0" fontId="10" fillId="0" borderId="32" xfId="0" applyFont="1" applyFill="1" applyBorder="1" applyAlignment="1" applyProtection="1">
      <alignment horizontal="center" vertical="center" wrapText="1"/>
    </xf>
    <xf numFmtId="0" fontId="10" fillId="0" borderId="129" xfId="0" applyFont="1" applyFill="1" applyBorder="1" applyAlignment="1" applyProtection="1">
      <alignment horizontal="center" vertical="center" wrapText="1"/>
    </xf>
    <xf numFmtId="0" fontId="9" fillId="0" borderId="35" xfId="0" applyFont="1" applyFill="1" applyBorder="1" applyAlignment="1" applyProtection="1">
      <alignment horizontal="center" vertical="center" wrapText="1"/>
    </xf>
    <xf numFmtId="0" fontId="9" fillId="0" borderId="30" xfId="0" applyFont="1" applyFill="1" applyBorder="1" applyAlignment="1" applyProtection="1">
      <alignment horizontal="center" vertical="center" wrapText="1"/>
    </xf>
    <xf numFmtId="0" fontId="9" fillId="0" borderId="40" xfId="0" applyFont="1" applyFill="1" applyBorder="1" applyAlignment="1" applyProtection="1">
      <alignment horizontal="center" vertical="center" wrapText="1"/>
    </xf>
    <xf numFmtId="0" fontId="9" fillId="0" borderId="31" xfId="0" applyFont="1" applyFill="1" applyBorder="1" applyAlignment="1" applyProtection="1">
      <alignment horizontal="center" vertical="center" wrapText="1"/>
    </xf>
    <xf numFmtId="0" fontId="10" fillId="0" borderId="56" xfId="0" applyFont="1" applyFill="1" applyBorder="1" applyAlignment="1" applyProtection="1">
      <alignment horizontal="right" vertical="center" wrapText="1"/>
    </xf>
    <xf numFmtId="0" fontId="10" fillId="0" borderId="57" xfId="0" applyFont="1" applyFill="1" applyBorder="1" applyAlignment="1" applyProtection="1">
      <alignment horizontal="right" vertical="center" wrapText="1"/>
    </xf>
    <xf numFmtId="0" fontId="10" fillId="0" borderId="89" xfId="0" applyFont="1" applyFill="1" applyBorder="1" applyAlignment="1" applyProtection="1">
      <alignment horizontal="right" vertical="center" wrapText="1"/>
    </xf>
    <xf numFmtId="177" fontId="25" fillId="0" borderId="92" xfId="0" applyNumberFormat="1" applyFont="1" applyFill="1" applyBorder="1" applyAlignment="1" applyProtection="1">
      <alignment horizontal="center" vertical="center" wrapText="1"/>
    </xf>
    <xf numFmtId="177" fontId="25" fillId="0" borderId="88" xfId="0" applyNumberFormat="1" applyFont="1" applyFill="1" applyBorder="1" applyAlignment="1" applyProtection="1">
      <alignment horizontal="center" vertical="center" wrapText="1"/>
    </xf>
    <xf numFmtId="177" fontId="25" fillId="0" borderId="132" xfId="0" applyNumberFormat="1" applyFont="1" applyFill="1" applyBorder="1" applyAlignment="1" applyProtection="1">
      <alignment horizontal="center" vertical="center" wrapText="1"/>
    </xf>
    <xf numFmtId="177" fontId="25" fillId="0" borderId="47" xfId="0" applyNumberFormat="1" applyFont="1" applyFill="1" applyBorder="1" applyAlignment="1" applyProtection="1">
      <alignment horizontal="center" vertical="center" wrapText="1"/>
    </xf>
    <xf numFmtId="177" fontId="25" fillId="0" borderId="60" xfId="0" applyNumberFormat="1" applyFont="1" applyFill="1" applyBorder="1" applyAlignment="1" applyProtection="1">
      <alignment horizontal="center" vertical="center" wrapText="1"/>
    </xf>
    <xf numFmtId="177" fontId="25" fillId="0" borderId="61" xfId="0" applyNumberFormat="1" applyFont="1" applyFill="1" applyBorder="1" applyAlignment="1" applyProtection="1">
      <alignment horizontal="center" vertical="center" wrapText="1"/>
    </xf>
    <xf numFmtId="14" fontId="25" fillId="3" borderId="24" xfId="0" applyNumberFormat="1" applyFont="1" applyFill="1" applyBorder="1" applyAlignment="1" applyProtection="1">
      <alignment horizontal="center" vertical="center" wrapText="1"/>
      <protection locked="0"/>
    </xf>
    <xf numFmtId="14" fontId="25" fillId="3" borderId="23" xfId="0" applyNumberFormat="1" applyFont="1" applyFill="1" applyBorder="1" applyAlignment="1" applyProtection="1">
      <alignment horizontal="center" vertical="center" wrapText="1"/>
      <protection locked="0"/>
    </xf>
    <xf numFmtId="14" fontId="25" fillId="3" borderId="18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59" xfId="0" applyFont="1" applyFill="1" applyBorder="1" applyAlignment="1" applyProtection="1">
      <alignment horizontal="right" vertical="center" wrapText="1"/>
    </xf>
    <xf numFmtId="0" fontId="10" fillId="2" borderId="60" xfId="0" applyFont="1" applyFill="1" applyBorder="1" applyAlignment="1" applyProtection="1">
      <alignment horizontal="right" vertical="center" wrapText="1"/>
    </xf>
    <xf numFmtId="0" fontId="10" fillId="2" borderId="87" xfId="0" applyFont="1" applyFill="1" applyBorder="1" applyAlignment="1" applyProtection="1">
      <alignment horizontal="right" vertical="center" wrapText="1"/>
    </xf>
    <xf numFmtId="1" fontId="25" fillId="0" borderId="47" xfId="0" applyNumberFormat="1" applyFont="1" applyFill="1" applyBorder="1" applyAlignment="1" applyProtection="1">
      <alignment horizontal="center" vertical="center" wrapText="1"/>
    </xf>
    <xf numFmtId="1" fontId="25" fillId="0" borderId="60" xfId="0" applyNumberFormat="1" applyFont="1" applyFill="1" applyBorder="1" applyAlignment="1" applyProtection="1">
      <alignment horizontal="center" vertical="center" wrapText="1"/>
    </xf>
    <xf numFmtId="1" fontId="25" fillId="0" borderId="61" xfId="0" applyNumberFormat="1" applyFont="1" applyFill="1" applyBorder="1" applyAlignment="1" applyProtection="1">
      <alignment horizontal="center" vertical="center" wrapText="1"/>
    </xf>
    <xf numFmtId="0" fontId="11" fillId="0" borderId="0" xfId="4" applyFont="1" applyAlignment="1">
      <alignment horizontal="center" vertical="center"/>
    </xf>
    <xf numFmtId="0" fontId="25" fillId="0" borderId="121" xfId="0" applyFont="1" applyFill="1" applyBorder="1" applyAlignment="1" applyProtection="1">
      <alignment horizontal="center" vertical="center" wrapText="1"/>
    </xf>
    <xf numFmtId="0" fontId="25" fillId="0" borderId="57" xfId="0" applyFont="1" applyFill="1" applyBorder="1" applyAlignment="1" applyProtection="1">
      <alignment horizontal="center" vertical="center" wrapText="1"/>
    </xf>
    <xf numFmtId="0" fontId="25" fillId="0" borderId="58" xfId="0" applyFont="1" applyFill="1" applyBorder="1" applyAlignment="1" applyProtection="1">
      <alignment horizontal="center" vertical="center" wrapText="1"/>
    </xf>
    <xf numFmtId="0" fontId="31" fillId="0" borderId="0" xfId="0" applyFont="1" applyFill="1" applyBorder="1" applyAlignment="1" applyProtection="1">
      <alignment horizontal="left" vertical="center" wrapText="1" indent="1"/>
    </xf>
    <xf numFmtId="0" fontId="31" fillId="0" borderId="54" xfId="0" applyFont="1" applyFill="1" applyBorder="1" applyAlignment="1" applyProtection="1">
      <alignment horizontal="left" vertical="center" wrapText="1" indent="1"/>
    </xf>
    <xf numFmtId="0" fontId="10" fillId="0" borderId="42" xfId="0" applyFont="1" applyFill="1" applyBorder="1" applyAlignment="1" applyProtection="1">
      <alignment horizontal="center" vertical="center" wrapText="1"/>
    </xf>
    <xf numFmtId="3" fontId="25" fillId="3" borderId="27" xfId="0" applyNumberFormat="1" applyFont="1" applyFill="1" applyBorder="1" applyAlignment="1" applyProtection="1">
      <alignment horizontal="center" vertical="center" wrapText="1"/>
      <protection locked="0"/>
    </xf>
    <xf numFmtId="3" fontId="25" fillId="3" borderId="130" xfId="0" applyNumberFormat="1" applyFont="1" applyFill="1" applyBorder="1" applyAlignment="1" applyProtection="1">
      <alignment horizontal="center" vertical="center" wrapText="1"/>
      <protection locked="0"/>
    </xf>
    <xf numFmtId="3" fontId="25" fillId="3" borderId="25" xfId="0" applyNumberFormat="1" applyFont="1" applyFill="1" applyBorder="1" applyAlignment="1" applyProtection="1">
      <alignment horizontal="center" vertical="center" wrapText="1"/>
      <protection locked="0"/>
    </xf>
    <xf numFmtId="3" fontId="10" fillId="2" borderId="48" xfId="0" applyNumberFormat="1" applyFont="1" applyFill="1" applyBorder="1" applyAlignment="1" applyProtection="1">
      <alignment horizontal="center" vertical="center" wrapText="1"/>
    </xf>
    <xf numFmtId="3" fontId="10" fillId="2" borderId="43" xfId="0" applyNumberFormat="1" applyFont="1" applyFill="1" applyBorder="1" applyAlignment="1" applyProtection="1">
      <alignment horizontal="center" vertical="center" wrapText="1"/>
    </xf>
    <xf numFmtId="3" fontId="10" fillId="2" borderId="63" xfId="0" applyNumberFormat="1" applyFont="1" applyFill="1" applyBorder="1" applyAlignment="1" applyProtection="1">
      <alignment horizontal="center" vertical="center" wrapText="1"/>
    </xf>
    <xf numFmtId="3" fontId="10" fillId="2" borderId="44" xfId="0" applyNumberFormat="1" applyFont="1" applyFill="1" applyBorder="1" applyAlignment="1" applyProtection="1">
      <alignment horizontal="center" vertical="center" wrapText="1"/>
    </xf>
    <xf numFmtId="3" fontId="10" fillId="2" borderId="50" xfId="0" applyNumberFormat="1" applyFont="1" applyFill="1" applyBorder="1" applyAlignment="1" applyProtection="1">
      <alignment horizontal="center" vertical="center" wrapText="1"/>
    </xf>
    <xf numFmtId="3" fontId="10" fillId="2" borderId="55" xfId="0" applyNumberFormat="1" applyFont="1" applyFill="1" applyBorder="1" applyAlignment="1" applyProtection="1">
      <alignment horizontal="center" vertical="center" wrapText="1"/>
    </xf>
    <xf numFmtId="10" fontId="33" fillId="2" borderId="48" xfId="0" applyNumberFormat="1" applyFont="1" applyFill="1" applyBorder="1" applyAlignment="1" applyProtection="1">
      <alignment horizontal="center" vertical="center" wrapText="1"/>
    </xf>
    <xf numFmtId="10" fontId="33" fillId="2" borderId="43" xfId="0" applyNumberFormat="1" applyFont="1" applyFill="1" applyBorder="1" applyAlignment="1" applyProtection="1">
      <alignment horizontal="center" vertical="center" wrapText="1"/>
    </xf>
    <xf numFmtId="0" fontId="9" fillId="2" borderId="48" xfId="0" applyFont="1" applyFill="1" applyBorder="1" applyAlignment="1" applyProtection="1">
      <alignment horizontal="center" vertical="center" wrapText="1"/>
    </xf>
    <xf numFmtId="0" fontId="9" fillId="2" borderId="43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9" fillId="2" borderId="44" xfId="0" applyFont="1" applyFill="1" applyBorder="1" applyAlignment="1" applyProtection="1">
      <alignment horizontal="center" vertical="center" wrapText="1"/>
    </xf>
    <xf numFmtId="0" fontId="9" fillId="2" borderId="50" xfId="0" applyFont="1" applyFill="1" applyBorder="1" applyAlignment="1" applyProtection="1">
      <alignment horizontal="center" vertical="center" wrapText="1"/>
    </xf>
    <xf numFmtId="0" fontId="9" fillId="2" borderId="55" xfId="0" applyFont="1" applyFill="1" applyBorder="1" applyAlignment="1" applyProtection="1">
      <alignment horizontal="center" vertical="center" wrapText="1"/>
    </xf>
    <xf numFmtId="167" fontId="29" fillId="2" borderId="15" xfId="0" applyNumberFormat="1" applyFont="1" applyFill="1" applyBorder="1" applyAlignment="1" applyProtection="1">
      <alignment horizontal="center" vertical="center" wrapText="1"/>
    </xf>
    <xf numFmtId="167" fontId="29" fillId="2" borderId="17" xfId="0" applyNumberFormat="1" applyFont="1" applyFill="1" applyBorder="1" applyAlignment="1" applyProtection="1">
      <alignment horizontal="center" vertical="center" wrapText="1"/>
    </xf>
    <xf numFmtId="167" fontId="29" fillId="2" borderId="14" xfId="0" applyNumberFormat="1" applyFont="1" applyFill="1" applyBorder="1" applyAlignment="1" applyProtection="1">
      <alignment horizontal="center" vertical="center" wrapText="1"/>
    </xf>
    <xf numFmtId="167" fontId="29" fillId="2" borderId="46" xfId="0" applyNumberFormat="1" applyFont="1" applyFill="1" applyBorder="1" applyAlignment="1" applyProtection="1">
      <alignment horizontal="center" vertical="center" wrapText="1"/>
    </xf>
    <xf numFmtId="1" fontId="29" fillId="2" borderId="16" xfId="0" applyNumberFormat="1" applyFont="1" applyFill="1" applyBorder="1" applyAlignment="1" applyProtection="1">
      <alignment horizontal="center" vertical="center" wrapText="1"/>
    </xf>
    <xf numFmtId="1" fontId="29" fillId="2" borderId="14" xfId="0" applyNumberFormat="1" applyFont="1" applyFill="1" applyBorder="1" applyAlignment="1" applyProtection="1">
      <alignment horizontal="center" vertical="center" wrapText="1"/>
    </xf>
    <xf numFmtId="1" fontId="29" fillId="2" borderId="46" xfId="0" applyNumberFormat="1" applyFont="1" applyFill="1" applyBorder="1" applyAlignment="1" applyProtection="1">
      <alignment horizontal="center" vertical="center" wrapText="1"/>
    </xf>
    <xf numFmtId="0" fontId="29" fillId="4" borderId="39" xfId="0" applyFont="1" applyFill="1" applyBorder="1" applyAlignment="1" applyProtection="1">
      <alignment horizontal="center" vertical="center" wrapText="1"/>
      <protection locked="0"/>
    </xf>
    <xf numFmtId="0" fontId="29" fillId="4" borderId="25" xfId="0" applyFont="1" applyFill="1" applyBorder="1" applyAlignment="1" applyProtection="1">
      <alignment horizontal="center" vertical="center" wrapText="1"/>
      <protection locked="0"/>
    </xf>
    <xf numFmtId="0" fontId="29" fillId="2" borderId="17" xfId="0" applyFont="1" applyFill="1" applyBorder="1" applyAlignment="1" applyProtection="1">
      <alignment horizontal="center" vertical="center" wrapText="1"/>
    </xf>
    <xf numFmtId="0" fontId="29" fillId="2" borderId="9" xfId="0" applyFont="1" applyFill="1" applyBorder="1" applyAlignment="1" applyProtection="1">
      <alignment horizontal="center" vertical="center" wrapText="1"/>
    </xf>
    <xf numFmtId="0" fontId="29" fillId="2" borderId="66" xfId="0" applyFont="1" applyFill="1" applyBorder="1" applyAlignment="1" applyProtection="1">
      <alignment horizontal="center" vertical="center" wrapText="1"/>
    </xf>
    <xf numFmtId="0" fontId="29" fillId="2" borderId="16" xfId="0" applyFont="1" applyFill="1" applyBorder="1" applyAlignment="1" applyProtection="1">
      <alignment horizontal="center" vertical="center" wrapText="1"/>
    </xf>
    <xf numFmtId="0" fontId="29" fillId="2" borderId="14" xfId="0" applyFont="1" applyFill="1" applyBorder="1" applyAlignment="1" applyProtection="1">
      <alignment horizontal="center" vertical="center" wrapText="1"/>
    </xf>
    <xf numFmtId="0" fontId="29" fillId="2" borderId="46" xfId="0" applyFont="1" applyFill="1" applyBorder="1" applyAlignment="1" applyProtection="1">
      <alignment horizontal="center" vertical="center" wrapText="1"/>
    </xf>
    <xf numFmtId="0" fontId="29" fillId="2" borderId="15" xfId="0" applyFont="1" applyFill="1" applyBorder="1" applyAlignment="1" applyProtection="1">
      <alignment horizontal="center" vertical="center" wrapText="1"/>
    </xf>
    <xf numFmtId="0" fontId="29" fillId="2" borderId="10" xfId="0" applyFont="1" applyFill="1" applyBorder="1" applyAlignment="1" applyProtection="1">
      <alignment horizontal="center" vertical="center" wrapText="1"/>
    </xf>
    <xf numFmtId="0" fontId="31" fillId="2" borderId="0" xfId="0" applyFont="1" applyFill="1" applyAlignment="1" applyProtection="1">
      <alignment horizontal="left" vertical="center" wrapText="1" indent="1"/>
    </xf>
    <xf numFmtId="0" fontId="10" fillId="2" borderId="15" xfId="0" applyFont="1" applyFill="1" applyBorder="1" applyAlignment="1" applyProtection="1">
      <alignment horizontal="center" wrapText="1"/>
    </xf>
    <xf numFmtId="0" fontId="10" fillId="2" borderId="17" xfId="0" applyFont="1" applyFill="1" applyBorder="1" applyAlignment="1" applyProtection="1">
      <alignment horizontal="center" wrapText="1"/>
    </xf>
    <xf numFmtId="0" fontId="33" fillId="2" borderId="97" xfId="0" applyFont="1" applyFill="1" applyBorder="1" applyAlignment="1" applyProtection="1">
      <alignment horizontal="center" vertical="center" wrapText="1"/>
    </xf>
    <xf numFmtId="0" fontId="33" fillId="2" borderId="98" xfId="0" applyFont="1" applyFill="1" applyBorder="1" applyAlignment="1" applyProtection="1">
      <alignment horizontal="center" vertical="center" wrapText="1"/>
    </xf>
    <xf numFmtId="0" fontId="33" fillId="2" borderId="99" xfId="0" applyFont="1" applyFill="1" applyBorder="1" applyAlignment="1" applyProtection="1">
      <alignment horizontal="center" vertical="center" wrapText="1"/>
    </xf>
    <xf numFmtId="167" fontId="29" fillId="2" borderId="135" xfId="0" applyNumberFormat="1" applyFont="1" applyFill="1" applyBorder="1" applyAlignment="1" applyProtection="1">
      <alignment horizontal="center" vertical="center" wrapText="1"/>
    </xf>
    <xf numFmtId="167" fontId="29" fillId="2" borderId="36" xfId="0" applyNumberFormat="1" applyFont="1" applyFill="1" applyBorder="1" applyAlignment="1" applyProtection="1">
      <alignment horizontal="center" vertical="center" wrapText="1"/>
    </xf>
    <xf numFmtId="0" fontId="29" fillId="2" borderId="38" xfId="0" applyFont="1" applyFill="1" applyBorder="1" applyAlignment="1" applyProtection="1">
      <alignment horizontal="center" vertical="center" wrapText="1"/>
    </xf>
    <xf numFmtId="0" fontId="29" fillId="2" borderId="18" xfId="0" applyFont="1" applyFill="1" applyBorder="1" applyAlignment="1" applyProtection="1">
      <alignment horizontal="center" vertical="center" wrapText="1"/>
    </xf>
    <xf numFmtId="0" fontId="10" fillId="2" borderId="137" xfId="0" applyFont="1" applyFill="1" applyBorder="1" applyAlignment="1" applyProtection="1">
      <alignment horizontal="right" vertical="center" wrapText="1"/>
    </xf>
    <xf numFmtId="0" fontId="10" fillId="2" borderId="33" xfId="0" applyFont="1" applyFill="1" applyBorder="1" applyAlignment="1" applyProtection="1">
      <alignment horizontal="right" vertical="center" wrapText="1"/>
    </xf>
    <xf numFmtId="0" fontId="10" fillId="2" borderId="38" xfId="0" applyFont="1" applyFill="1" applyBorder="1" applyAlignment="1" applyProtection="1">
      <alignment horizontal="right" vertical="center" wrapText="1"/>
    </xf>
    <xf numFmtId="0" fontId="10" fillId="2" borderId="18" xfId="0" applyFont="1" applyFill="1" applyBorder="1" applyAlignment="1" applyProtection="1">
      <alignment horizontal="right" vertical="center" wrapText="1"/>
    </xf>
    <xf numFmtId="0" fontId="10" fillId="2" borderId="39" xfId="0" applyFont="1" applyFill="1" applyBorder="1" applyAlignment="1" applyProtection="1">
      <alignment horizontal="right" vertical="center" wrapText="1"/>
    </xf>
    <xf numFmtId="0" fontId="10" fillId="2" borderId="25" xfId="0" applyFont="1" applyFill="1" applyBorder="1" applyAlignment="1" applyProtection="1">
      <alignment horizontal="right" vertical="center" wrapText="1"/>
    </xf>
    <xf numFmtId="0" fontId="10" fillId="2" borderId="16" xfId="0" applyFont="1" applyFill="1" applyBorder="1" applyAlignment="1" applyProtection="1">
      <alignment horizontal="center" vertical="center" wrapText="1"/>
    </xf>
    <xf numFmtId="0" fontId="10" fillId="2" borderId="14" xfId="0" applyFont="1" applyFill="1" applyBorder="1" applyAlignment="1" applyProtection="1">
      <alignment horizontal="center" vertical="center" wrapText="1"/>
    </xf>
    <xf numFmtId="0" fontId="10" fillId="2" borderId="46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17" xfId="0" applyFont="1" applyFill="1" applyBorder="1" applyAlignment="1" applyProtection="1">
      <alignment horizontal="center" vertical="center" wrapText="1"/>
    </xf>
    <xf numFmtId="0" fontId="10" fillId="2" borderId="7" xfId="0" applyFont="1" applyFill="1" applyBorder="1" applyAlignment="1" applyProtection="1">
      <alignment horizontal="center" vertical="center" wrapText="1"/>
    </xf>
    <xf numFmtId="0" fontId="10" fillId="2" borderId="9" xfId="0" applyFont="1" applyFill="1" applyBorder="1" applyAlignment="1" applyProtection="1">
      <alignment horizontal="center" vertical="center" wrapText="1"/>
    </xf>
    <xf numFmtId="0" fontId="25" fillId="2" borderId="49" xfId="0" applyFont="1" applyFill="1" applyBorder="1" applyAlignment="1" applyProtection="1">
      <alignment horizontal="center" vertical="center" wrapText="1"/>
    </xf>
    <xf numFmtId="0" fontId="25" fillId="2" borderId="43" xfId="0" applyFont="1" applyFill="1" applyBorder="1" applyAlignment="1" applyProtection="1">
      <alignment horizontal="center" vertical="center" wrapText="1"/>
    </xf>
    <xf numFmtId="0" fontId="25" fillId="2" borderId="51" xfId="0" applyFont="1" applyFill="1" applyBorder="1" applyAlignment="1" applyProtection="1">
      <alignment horizontal="center" vertical="center" wrapText="1"/>
    </xf>
    <xf numFmtId="0" fontId="25" fillId="2" borderId="55" xfId="0" applyFont="1" applyFill="1" applyBorder="1" applyAlignment="1" applyProtection="1">
      <alignment horizontal="center" vertical="center" wrapText="1"/>
    </xf>
    <xf numFmtId="0" fontId="25" fillId="2" borderId="35" xfId="0" applyFont="1" applyFill="1" applyBorder="1" applyAlignment="1" applyProtection="1">
      <alignment horizontal="center" vertical="center" wrapText="1"/>
    </xf>
    <xf numFmtId="3" fontId="29" fillId="2" borderId="95" xfId="0" applyNumberFormat="1" applyFont="1" applyFill="1" applyBorder="1" applyAlignment="1" applyProtection="1">
      <alignment horizontal="center" vertical="center" wrapText="1"/>
    </xf>
    <xf numFmtId="3" fontId="29" fillId="2" borderId="96" xfId="0" applyNumberFormat="1" applyFont="1" applyFill="1" applyBorder="1" applyAlignment="1" applyProtection="1">
      <alignment horizontal="center" vertical="center" wrapText="1"/>
    </xf>
    <xf numFmtId="3" fontId="29" fillId="2" borderId="83" xfId="0" applyNumberFormat="1" applyFont="1" applyFill="1" applyBorder="1" applyAlignment="1" applyProtection="1">
      <alignment horizontal="center" vertical="center" wrapText="1"/>
    </xf>
    <xf numFmtId="175" fontId="29" fillId="2" borderId="59" xfId="0" applyNumberFormat="1" applyFont="1" applyFill="1" applyBorder="1" applyAlignment="1" applyProtection="1">
      <alignment horizontal="center" vertical="center" wrapText="1"/>
    </xf>
    <xf numFmtId="175" fontId="29" fillId="2" borderId="60" xfId="0" applyNumberFormat="1" applyFont="1" applyFill="1" applyBorder="1" applyAlignment="1" applyProtection="1">
      <alignment horizontal="center" vertical="center" wrapText="1"/>
    </xf>
    <xf numFmtId="175" fontId="29" fillId="2" borderId="61" xfId="0" applyNumberFormat="1" applyFont="1" applyFill="1" applyBorder="1" applyAlignment="1" applyProtection="1">
      <alignment horizontal="center" vertical="center" wrapText="1"/>
    </xf>
    <xf numFmtId="1" fontId="29" fillId="2" borderId="59" xfId="0" applyNumberFormat="1" applyFont="1" applyFill="1" applyBorder="1" applyAlignment="1" applyProtection="1">
      <alignment horizontal="center" vertical="center" wrapText="1"/>
    </xf>
    <xf numFmtId="1" fontId="29" fillId="2" borderId="60" xfId="0" applyNumberFormat="1" applyFont="1" applyFill="1" applyBorder="1" applyAlignment="1" applyProtection="1">
      <alignment horizontal="center" vertical="center" wrapText="1"/>
    </xf>
    <xf numFmtId="1" fontId="29" fillId="2" borderId="61" xfId="0" applyNumberFormat="1" applyFont="1" applyFill="1" applyBorder="1" applyAlignment="1" applyProtection="1">
      <alignment horizontal="center" vertical="center" wrapText="1"/>
    </xf>
    <xf numFmtId="0" fontId="25" fillId="2" borderId="56" xfId="0" applyFont="1" applyFill="1" applyBorder="1" applyAlignment="1" applyProtection="1">
      <alignment horizontal="center" vertical="center" wrapText="1"/>
    </xf>
    <xf numFmtId="0" fontId="25" fillId="2" borderId="57" xfId="0" applyFont="1" applyFill="1" applyBorder="1" applyAlignment="1" applyProtection="1">
      <alignment horizontal="center" vertical="center" wrapText="1"/>
    </xf>
    <xf numFmtId="0" fontId="25" fillId="2" borderId="58" xfId="0" applyFont="1" applyFill="1" applyBorder="1" applyAlignment="1" applyProtection="1">
      <alignment horizontal="center" vertical="center" wrapText="1"/>
    </xf>
    <xf numFmtId="0" fontId="25" fillId="2" borderId="40" xfId="0" applyFont="1" applyFill="1" applyBorder="1" applyAlignment="1" applyProtection="1">
      <alignment horizontal="center" vertical="center" wrapText="1"/>
    </xf>
    <xf numFmtId="3" fontId="29" fillId="0" borderId="47" xfId="0" applyNumberFormat="1" applyFont="1" applyFill="1" applyBorder="1" applyAlignment="1" applyProtection="1">
      <alignment horizontal="center" vertical="center" wrapText="1"/>
    </xf>
    <xf numFmtId="3" fontId="29" fillId="0" borderId="60" xfId="0" applyNumberFormat="1" applyFont="1" applyFill="1" applyBorder="1" applyAlignment="1" applyProtection="1">
      <alignment horizontal="center" vertical="center" wrapText="1"/>
    </xf>
    <xf numFmtId="3" fontId="29" fillId="0" borderId="61" xfId="0" applyNumberFormat="1" applyFont="1" applyFill="1" applyBorder="1" applyAlignment="1" applyProtection="1">
      <alignment horizontal="center" vertical="center" wrapText="1"/>
    </xf>
    <xf numFmtId="170" fontId="29" fillId="0" borderId="60" xfId="0" applyNumberFormat="1" applyFont="1" applyFill="1" applyBorder="1" applyAlignment="1" applyProtection="1">
      <alignment horizontal="left" vertical="center" wrapText="1"/>
    </xf>
    <xf numFmtId="170" fontId="29" fillId="0" borderId="61" xfId="0" applyNumberFormat="1" applyFont="1" applyFill="1" applyBorder="1" applyAlignment="1" applyProtection="1">
      <alignment horizontal="left" vertical="center" wrapText="1"/>
    </xf>
    <xf numFmtId="0" fontId="29" fillId="0" borderId="60" xfId="0" applyNumberFormat="1" applyFont="1" applyFill="1" applyBorder="1" applyAlignment="1" applyProtection="1">
      <alignment horizontal="left" vertical="center" wrapText="1"/>
    </xf>
    <xf numFmtId="0" fontId="29" fillId="0" borderId="87" xfId="0" applyNumberFormat="1" applyFont="1" applyFill="1" applyBorder="1" applyAlignment="1" applyProtection="1">
      <alignment horizontal="left" vertical="center" wrapText="1"/>
    </xf>
    <xf numFmtId="9" fontId="29" fillId="0" borderId="35" xfId="0" applyNumberFormat="1" applyFont="1" applyFill="1" applyBorder="1" applyAlignment="1" applyProtection="1">
      <alignment horizontal="center" vertical="center" wrapText="1"/>
    </xf>
    <xf numFmtId="0" fontId="29" fillId="0" borderId="20" xfId="0" applyFont="1" applyFill="1" applyBorder="1" applyAlignment="1" applyProtection="1">
      <alignment horizontal="center" vertical="center" wrapText="1"/>
    </xf>
    <xf numFmtId="0" fontId="29" fillId="0" borderId="30" xfId="0" applyFont="1" applyFill="1" applyBorder="1" applyAlignment="1" applyProtection="1">
      <alignment horizontal="center" vertical="center" wrapText="1"/>
    </xf>
    <xf numFmtId="0" fontId="29" fillId="0" borderId="40" xfId="0" applyFont="1" applyFill="1" applyBorder="1" applyAlignment="1" applyProtection="1">
      <alignment horizontal="center" vertical="center" wrapText="1"/>
    </xf>
    <xf numFmtId="0" fontId="29" fillId="0" borderId="37" xfId="0" applyFont="1" applyFill="1" applyBorder="1" applyAlignment="1" applyProtection="1">
      <alignment horizontal="center" vertical="center" wrapText="1"/>
    </xf>
    <xf numFmtId="0" fontId="29" fillId="0" borderId="31" xfId="0" applyFont="1" applyFill="1" applyBorder="1" applyAlignment="1" applyProtection="1">
      <alignment horizontal="center" vertical="center" wrapText="1"/>
    </xf>
    <xf numFmtId="4" fontId="29" fillId="0" borderId="40" xfId="0" applyNumberFormat="1" applyFont="1" applyFill="1" applyBorder="1" applyAlignment="1" applyProtection="1">
      <alignment horizontal="center" vertical="center" wrapText="1"/>
    </xf>
    <xf numFmtId="0" fontId="29" fillId="0" borderId="35" xfId="0" applyFont="1" applyFill="1" applyBorder="1" applyAlignment="1" applyProtection="1">
      <alignment horizontal="center" vertical="center" wrapText="1"/>
    </xf>
    <xf numFmtId="9" fontId="29" fillId="0" borderId="35" xfId="6" applyFont="1" applyFill="1" applyBorder="1" applyAlignment="1" applyProtection="1">
      <alignment horizontal="center" vertical="center" wrapText="1"/>
    </xf>
    <xf numFmtId="9" fontId="29" fillId="0" borderId="20" xfId="6" applyFont="1" applyFill="1" applyBorder="1" applyAlignment="1" applyProtection="1">
      <alignment horizontal="center" vertical="center" wrapText="1"/>
    </xf>
    <xf numFmtId="9" fontId="29" fillId="0" borderId="30" xfId="6" applyFont="1" applyFill="1" applyBorder="1" applyAlignment="1" applyProtection="1">
      <alignment horizontal="center" vertical="center" wrapText="1"/>
    </xf>
    <xf numFmtId="1" fontId="29" fillId="0" borderId="49" xfId="0" applyNumberFormat="1" applyFont="1" applyFill="1" applyBorder="1" applyAlignment="1" applyProtection="1">
      <alignment horizontal="center" vertical="center" wrapText="1"/>
    </xf>
    <xf numFmtId="1" fontId="29" fillId="0" borderId="43" xfId="0" applyNumberFormat="1" applyFont="1" applyFill="1" applyBorder="1" applyAlignment="1" applyProtection="1">
      <alignment horizontal="center" vertical="center" wrapText="1"/>
    </xf>
    <xf numFmtId="9" fontId="29" fillId="0" borderId="133" xfId="6" applyFont="1" applyFill="1" applyBorder="1" applyAlignment="1" applyProtection="1">
      <alignment horizontal="center" vertical="center" wrapText="1"/>
    </xf>
    <xf numFmtId="9" fontId="29" fillId="0" borderId="22" xfId="6" applyFont="1" applyFill="1" applyBorder="1" applyAlignment="1" applyProtection="1">
      <alignment horizontal="center" vertical="center" wrapText="1"/>
    </xf>
    <xf numFmtId="9" fontId="29" fillId="0" borderId="28" xfId="6" applyFont="1" applyFill="1" applyBorder="1" applyAlignment="1" applyProtection="1">
      <alignment horizontal="center" vertical="center" wrapText="1"/>
    </xf>
    <xf numFmtId="175" fontId="29" fillId="0" borderId="47" xfId="0" applyNumberFormat="1" applyFont="1" applyFill="1" applyBorder="1" applyAlignment="1" applyProtection="1">
      <alignment horizontal="center" vertical="center" wrapText="1"/>
    </xf>
    <xf numFmtId="175" fontId="29" fillId="0" borderId="60" xfId="0" applyNumberFormat="1" applyFont="1" applyFill="1" applyBorder="1" applyAlignment="1" applyProtection="1">
      <alignment horizontal="center" vertical="center" wrapText="1"/>
    </xf>
    <xf numFmtId="175" fontId="29" fillId="0" borderId="61" xfId="0" applyNumberFormat="1" applyFont="1" applyFill="1" applyBorder="1" applyAlignment="1" applyProtection="1">
      <alignment horizontal="center" vertical="center" wrapText="1"/>
    </xf>
    <xf numFmtId="0" fontId="29" fillId="0" borderId="136" xfId="0" applyFont="1" applyFill="1" applyBorder="1" applyAlignment="1" applyProtection="1">
      <alignment horizontal="center" vertical="center" wrapText="1"/>
    </xf>
    <xf numFmtId="0" fontId="29" fillId="0" borderId="96" xfId="0" applyFont="1" applyFill="1" applyBorder="1" applyAlignment="1" applyProtection="1">
      <alignment horizontal="center" vertical="center" wrapText="1"/>
    </xf>
    <xf numFmtId="0" fontId="29" fillId="0" borderId="83" xfId="0" applyFont="1" applyFill="1" applyBorder="1" applyAlignment="1" applyProtection="1">
      <alignment horizontal="center" vertical="center" wrapText="1"/>
    </xf>
    <xf numFmtId="4" fontId="10" fillId="0" borderId="128" xfId="0" applyNumberFormat="1" applyFont="1" applyFill="1" applyBorder="1" applyAlignment="1" applyProtection="1">
      <alignment horizontal="center" vertical="center" wrapText="1"/>
    </xf>
    <xf numFmtId="4" fontId="10" fillId="0" borderId="129" xfId="0" applyNumberFormat="1" applyFont="1" applyFill="1" applyBorder="1" applyAlignment="1" applyProtection="1">
      <alignment horizontal="center" vertical="center" wrapText="1"/>
    </xf>
    <xf numFmtId="4" fontId="10" fillId="0" borderId="37" xfId="0" applyNumberFormat="1" applyFont="1" applyFill="1" applyBorder="1" applyAlignment="1" applyProtection="1">
      <alignment horizontal="center" vertical="center" wrapText="1"/>
    </xf>
    <xf numFmtId="4" fontId="10" fillId="0" borderId="20" xfId="0" applyNumberFormat="1" applyFont="1" applyFill="1" applyBorder="1" applyAlignment="1" applyProtection="1">
      <alignment horizontal="center" vertical="center" wrapText="1"/>
    </xf>
    <xf numFmtId="4" fontId="10" fillId="0" borderId="42" xfId="0" applyNumberFormat="1" applyFont="1" applyFill="1" applyBorder="1" applyAlignment="1" applyProtection="1">
      <alignment horizontal="center" vertical="center" wrapText="1"/>
    </xf>
    <xf numFmtId="4" fontId="10" fillId="0" borderId="41" xfId="0" applyNumberFormat="1" applyFont="1" applyFill="1" applyBorder="1" applyAlignment="1" applyProtection="1">
      <alignment horizontal="center" vertical="center" wrapText="1"/>
    </xf>
    <xf numFmtId="4" fontId="29" fillId="0" borderId="37" xfId="0" applyNumberFormat="1" applyFont="1" applyFill="1" applyBorder="1" applyAlignment="1" applyProtection="1">
      <alignment horizontal="center" vertical="center" wrapText="1"/>
    </xf>
    <xf numFmtId="4" fontId="29" fillId="0" borderId="31" xfId="0" applyNumberFormat="1" applyFont="1" applyFill="1" applyBorder="1" applyAlignment="1" applyProtection="1">
      <alignment horizontal="center" vertical="center" wrapText="1"/>
    </xf>
    <xf numFmtId="1" fontId="29" fillId="0" borderId="40" xfId="0" applyNumberFormat="1" applyFont="1" applyFill="1" applyBorder="1" applyAlignment="1" applyProtection="1">
      <alignment horizontal="center" vertical="center" wrapText="1"/>
    </xf>
    <xf numFmtId="1" fontId="29" fillId="0" borderId="37" xfId="0" applyNumberFormat="1" applyFont="1" applyFill="1" applyBorder="1" applyAlignment="1" applyProtection="1">
      <alignment horizontal="center" vertical="center" wrapText="1"/>
    </xf>
    <xf numFmtId="1" fontId="29" fillId="0" borderId="31" xfId="0" applyNumberFormat="1" applyFont="1" applyFill="1" applyBorder="1" applyAlignment="1" applyProtection="1">
      <alignment horizontal="center" vertical="center" wrapText="1"/>
    </xf>
    <xf numFmtId="0" fontId="10" fillId="0" borderId="50" xfId="0" applyFont="1" applyBorder="1" applyAlignment="1" applyProtection="1">
      <alignment horizontal="center" vertical="center" wrapText="1"/>
    </xf>
    <xf numFmtId="0" fontId="10" fillId="0" borderId="51" xfId="0" applyFont="1" applyBorder="1" applyAlignment="1" applyProtection="1">
      <alignment horizontal="center" vertical="center" wrapText="1"/>
    </xf>
    <xf numFmtId="0" fontId="10" fillId="0" borderId="55" xfId="0" applyFont="1" applyBorder="1" applyAlignment="1" applyProtection="1">
      <alignment horizontal="center" vertical="center" wrapText="1"/>
    </xf>
    <xf numFmtId="0" fontId="10" fillId="0" borderId="48" xfId="0" applyFont="1" applyBorder="1" applyAlignment="1" applyProtection="1">
      <alignment horizontal="center" vertical="center" wrapText="1"/>
    </xf>
    <xf numFmtId="0" fontId="10" fillId="0" borderId="49" xfId="0" applyFont="1" applyBorder="1" applyAlignment="1" applyProtection="1">
      <alignment horizontal="center" vertical="center" wrapText="1"/>
    </xf>
    <xf numFmtId="0" fontId="10" fillId="0" borderId="43" xfId="0" applyFont="1" applyBorder="1" applyAlignment="1" applyProtection="1">
      <alignment horizontal="center" vertical="center" wrapText="1"/>
    </xf>
    <xf numFmtId="0" fontId="10" fillId="0" borderId="16" xfId="0" applyFont="1" applyBorder="1" applyAlignment="1" applyProtection="1">
      <alignment horizontal="center" vertical="center" wrapText="1"/>
    </xf>
    <xf numFmtId="0" fontId="10" fillId="0" borderId="14" xfId="0" applyFont="1" applyBorder="1" applyAlignment="1" applyProtection="1">
      <alignment horizontal="center" vertical="center" wrapText="1"/>
    </xf>
    <xf numFmtId="0" fontId="10" fillId="0" borderId="46" xfId="0" applyFont="1" applyBorder="1" applyAlignment="1" applyProtection="1">
      <alignment horizontal="center" vertical="center" wrapText="1"/>
    </xf>
    <xf numFmtId="0" fontId="10" fillId="0" borderId="56" xfId="0" applyFont="1" applyFill="1" applyBorder="1" applyAlignment="1" applyProtection="1">
      <alignment horizontal="right" vertical="center"/>
    </xf>
    <xf numFmtId="0" fontId="10" fillId="0" borderId="89" xfId="0" applyFont="1" applyFill="1" applyBorder="1" applyAlignment="1" applyProtection="1">
      <alignment horizontal="right" vertical="center"/>
    </xf>
    <xf numFmtId="0" fontId="29" fillId="0" borderId="121" xfId="0" applyFont="1" applyFill="1" applyBorder="1" applyAlignment="1" applyProtection="1">
      <alignment horizontal="center" vertical="center"/>
    </xf>
    <xf numFmtId="0" fontId="29" fillId="0" borderId="57" xfId="0" applyFont="1" applyFill="1" applyBorder="1" applyAlignment="1" applyProtection="1">
      <alignment horizontal="center" vertical="center"/>
    </xf>
    <xf numFmtId="0" fontId="29" fillId="0" borderId="58" xfId="0" applyFont="1" applyFill="1" applyBorder="1" applyAlignment="1" applyProtection="1">
      <alignment horizontal="center" vertical="center"/>
    </xf>
    <xf numFmtId="0" fontId="29" fillId="0" borderId="47" xfId="0" applyFont="1" applyFill="1" applyBorder="1" applyAlignment="1" applyProtection="1">
      <alignment horizontal="center" vertical="center"/>
    </xf>
    <xf numFmtId="0" fontId="29" fillId="0" borderId="60" xfId="0" applyFont="1" applyFill="1" applyBorder="1" applyAlignment="1" applyProtection="1">
      <alignment horizontal="center" vertical="center"/>
    </xf>
    <xf numFmtId="0" fontId="29" fillId="0" borderId="61" xfId="0" applyFont="1" applyFill="1" applyBorder="1" applyAlignment="1" applyProtection="1">
      <alignment horizontal="center" vertical="center"/>
    </xf>
    <xf numFmtId="175" fontId="29" fillId="0" borderId="47" xfId="0" applyNumberFormat="1" applyFont="1" applyFill="1" applyBorder="1" applyAlignment="1" applyProtection="1">
      <alignment horizontal="center" vertical="center"/>
    </xf>
    <xf numFmtId="175" fontId="29" fillId="0" borderId="60" xfId="0" applyNumberFormat="1" applyFont="1" applyFill="1" applyBorder="1" applyAlignment="1" applyProtection="1">
      <alignment horizontal="center" vertical="center"/>
    </xf>
    <xf numFmtId="175" fontId="29" fillId="0" borderId="61" xfId="0" applyNumberFormat="1" applyFont="1" applyFill="1" applyBorder="1" applyAlignment="1" applyProtection="1">
      <alignment horizontal="center" vertical="center"/>
    </xf>
    <xf numFmtId="175" fontId="29" fillId="0" borderId="136" xfId="0" applyNumberFormat="1" applyFont="1" applyFill="1" applyBorder="1" applyAlignment="1" applyProtection="1">
      <alignment horizontal="center" vertical="center"/>
    </xf>
    <xf numFmtId="175" fontId="29" fillId="0" borderId="96" xfId="0" applyNumberFormat="1" applyFont="1" applyFill="1" applyBorder="1" applyAlignment="1" applyProtection="1">
      <alignment horizontal="center" vertical="center"/>
    </xf>
    <xf numFmtId="175" fontId="29" fillId="0" borderId="83" xfId="0" applyNumberFormat="1" applyFont="1" applyFill="1" applyBorder="1" applyAlignment="1" applyProtection="1">
      <alignment horizontal="center" vertical="center"/>
    </xf>
    <xf numFmtId="0" fontId="10" fillId="0" borderId="95" xfId="0" applyFont="1" applyFill="1" applyBorder="1" applyAlignment="1" applyProtection="1">
      <alignment horizontal="right" vertical="center"/>
    </xf>
    <xf numFmtId="0" fontId="10" fillId="0" borderId="131" xfId="0" applyFont="1" applyFill="1" applyBorder="1" applyAlignment="1" applyProtection="1">
      <alignment horizontal="right" vertical="center"/>
    </xf>
    <xf numFmtId="0" fontId="10" fillId="0" borderId="59" xfId="0" applyFont="1" applyFill="1" applyBorder="1" applyAlignment="1" applyProtection="1">
      <alignment horizontal="right" vertical="center"/>
    </xf>
    <xf numFmtId="0" fontId="10" fillId="0" borderId="87" xfId="0" applyFont="1" applyFill="1" applyBorder="1" applyAlignment="1" applyProtection="1">
      <alignment horizontal="right" vertical="center"/>
    </xf>
    <xf numFmtId="0" fontId="31" fillId="0" borderId="0" xfId="0" applyFont="1" applyAlignment="1" applyProtection="1">
      <alignment horizontal="left" vertical="center" wrapText="1" indent="1"/>
    </xf>
    <xf numFmtId="175" fontId="29" fillId="0" borderId="121" xfId="0" applyNumberFormat="1" applyFont="1" applyFill="1" applyBorder="1" applyAlignment="1" applyProtection="1">
      <alignment horizontal="center" vertical="center"/>
    </xf>
    <xf numFmtId="175" fontId="29" fillId="0" borderId="57" xfId="0" applyNumberFormat="1" applyFont="1" applyFill="1" applyBorder="1" applyAlignment="1" applyProtection="1">
      <alignment horizontal="center" vertical="center"/>
    </xf>
    <xf numFmtId="175" fontId="29" fillId="0" borderId="58" xfId="0" applyNumberFormat="1" applyFont="1" applyFill="1" applyBorder="1" applyAlignment="1" applyProtection="1">
      <alignment horizontal="center" vertical="center"/>
    </xf>
    <xf numFmtId="3" fontId="29" fillId="0" borderId="47" xfId="0" applyNumberFormat="1" applyFont="1" applyFill="1" applyBorder="1" applyAlignment="1" applyProtection="1">
      <alignment horizontal="center" vertical="center"/>
    </xf>
    <xf numFmtId="3" fontId="29" fillId="0" borderId="60" xfId="0" applyNumberFormat="1" applyFont="1" applyFill="1" applyBorder="1" applyAlignment="1" applyProtection="1">
      <alignment horizontal="center" vertical="center"/>
    </xf>
    <xf numFmtId="3" fontId="29" fillId="0" borderId="61" xfId="0" applyNumberFormat="1" applyFont="1" applyFill="1" applyBorder="1" applyAlignment="1" applyProtection="1">
      <alignment horizontal="center" vertical="center"/>
    </xf>
  </cellXfs>
  <cellStyles count="9">
    <cellStyle name="Comma" xfId="1" builtinId="3"/>
    <cellStyle name="Currency 2" xfId="2" xr:uid="{00000000-0005-0000-0000-000001000000}"/>
    <cellStyle name="Currency 3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Percent" xfId="6" builtinId="5"/>
    <cellStyle name="Percent 2" xfId="7" xr:uid="{00000000-0005-0000-0000-000007000000}"/>
    <cellStyle name="Percent 3" xfId="8" xr:uid="{00000000-0005-0000-0000-000008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FFFF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4.xml"/><Relationship Id="rId18" Type="http://schemas.openxmlformats.org/officeDocument/2006/relationships/worksheet" Target="worksheets/sheet12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3.xml"/><Relationship Id="rId17" Type="http://schemas.openxmlformats.org/officeDocument/2006/relationships/worksheet" Target="worksheets/sheet1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2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0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3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chartsheet" Target="chartsheets/sheet5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24963925167466"/>
          <c:y val="0.19828530291653937"/>
          <c:w val="0.70607455801752095"/>
          <c:h val="0.68702412256443757"/>
        </c:manualLayout>
      </c:layout>
      <c:scatterChart>
        <c:scatterStyle val="smoothMarker"/>
        <c:varyColors val="0"/>
        <c:ser>
          <c:idx val="6"/>
          <c:order val="0"/>
          <c:tx>
            <c:strRef>
              <c:f>'Input Rearing'!$O$11</c:f>
              <c:strCache>
                <c:ptCount val="1"/>
                <c:pt idx="0">
                  <c:v>Max</c:v>
                </c:pt>
              </c:strCache>
            </c:strRef>
          </c:tx>
          <c:spPr>
            <a:ln w="50800">
              <a:solidFill>
                <a:schemeClr val="bg1">
                  <a:lumMod val="85000"/>
                  <a:alpha val="95000"/>
                </a:schemeClr>
              </a:solidFill>
            </a:ln>
          </c:spPr>
          <c:marker>
            <c:symbol val="none"/>
          </c:marker>
          <c:xVal>
            <c:numRef>
              <c:f>'Graph values'!$A$96:$A$113</c:f>
              <c:numCache>
                <c:formatCode>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'Graph values'!$K$96:$K$113</c:f>
              <c:numCache>
                <c:formatCode>0.00</c:formatCode>
                <c:ptCount val="18"/>
                <c:pt idx="0">
                  <c:v>67.137499999999989</c:v>
                </c:pt>
                <c:pt idx="1">
                  <c:v>120.43749999999999</c:v>
                </c:pt>
                <c:pt idx="2">
                  <c:v>196.28749999999999</c:v>
                </c:pt>
                <c:pt idx="3">
                  <c:v>282.38749999999999</c:v>
                </c:pt>
                <c:pt idx="4">
                  <c:v>379.24999999999994</c:v>
                </c:pt>
                <c:pt idx="5">
                  <c:v>482.77499999999998</c:v>
                </c:pt>
                <c:pt idx="6">
                  <c:v>591.9375</c:v>
                </c:pt>
                <c:pt idx="7">
                  <c:v>703.66249999999991</c:v>
                </c:pt>
                <c:pt idx="8">
                  <c:v>813.33749999999998</c:v>
                </c:pt>
                <c:pt idx="9">
                  <c:v>916.86249999999995</c:v>
                </c:pt>
                <c:pt idx="10">
                  <c:v>1013.7249999999999</c:v>
                </c:pt>
                <c:pt idx="11">
                  <c:v>1103.4124999999999</c:v>
                </c:pt>
                <c:pt idx="12">
                  <c:v>1190.0249999999999</c:v>
                </c:pt>
                <c:pt idx="13">
                  <c:v>1268.4375</c:v>
                </c:pt>
                <c:pt idx="14">
                  <c:v>1340.1874999999998</c:v>
                </c:pt>
                <c:pt idx="15">
                  <c:v>1411.9374999999998</c:v>
                </c:pt>
                <c:pt idx="16">
                  <c:v>1475.4875</c:v>
                </c:pt>
                <c:pt idx="17">
                  <c:v>1537.4999999999998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4B-45DF-92FC-041A11B8B01B}"/>
            </c:ext>
          </c:extLst>
        </c:ser>
        <c:ser>
          <c:idx val="5"/>
          <c:order val="1"/>
          <c:tx>
            <c:strRef>
              <c:f>'Input Rearing'!$N$11</c:f>
              <c:strCache>
                <c:ptCount val="1"/>
                <c:pt idx="0">
                  <c:v>Min</c:v>
                </c:pt>
              </c:strCache>
            </c:strRef>
          </c:tx>
          <c:spPr>
            <a:ln w="50800">
              <a:solidFill>
                <a:schemeClr val="bg1">
                  <a:lumMod val="85000"/>
                  <a:alpha val="95000"/>
                </a:schemeClr>
              </a:solidFill>
            </a:ln>
          </c:spPr>
          <c:marker>
            <c:symbol val="none"/>
          </c:marker>
          <c:xVal>
            <c:numRef>
              <c:f>'Graph values'!$A$96:$A$113</c:f>
              <c:numCache>
                <c:formatCode>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'Graph values'!$J$96:$J$113</c:f>
              <c:numCache>
                <c:formatCode>0.00</c:formatCode>
                <c:ptCount val="18"/>
                <c:pt idx="0">
                  <c:v>63.862499999999997</c:v>
                </c:pt>
                <c:pt idx="1">
                  <c:v>114.5625</c:v>
                </c:pt>
                <c:pt idx="2">
                  <c:v>186.71250000000001</c:v>
                </c:pt>
                <c:pt idx="3">
                  <c:v>268.61250000000001</c:v>
                </c:pt>
                <c:pt idx="4">
                  <c:v>360.75</c:v>
                </c:pt>
                <c:pt idx="5">
                  <c:v>459.22499999999997</c:v>
                </c:pt>
                <c:pt idx="6">
                  <c:v>563.0625</c:v>
                </c:pt>
                <c:pt idx="7">
                  <c:v>669.33749999999998</c:v>
                </c:pt>
                <c:pt idx="8">
                  <c:v>773.66250000000002</c:v>
                </c:pt>
                <c:pt idx="9">
                  <c:v>872.13749999999993</c:v>
                </c:pt>
                <c:pt idx="10">
                  <c:v>964.27499999999998</c:v>
                </c:pt>
                <c:pt idx="11">
                  <c:v>1049.5874999999999</c:v>
                </c:pt>
                <c:pt idx="12">
                  <c:v>1131.9749999999999</c:v>
                </c:pt>
                <c:pt idx="13">
                  <c:v>1206.5625</c:v>
                </c:pt>
                <c:pt idx="14">
                  <c:v>1274.8125</c:v>
                </c:pt>
                <c:pt idx="15">
                  <c:v>1343.0625</c:v>
                </c:pt>
                <c:pt idx="16">
                  <c:v>1403.5125</c:v>
                </c:pt>
                <c:pt idx="17">
                  <c:v>1462.5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4B-45DF-92FC-041A11B8B01B}"/>
            </c:ext>
          </c:extLst>
        </c:ser>
        <c:ser>
          <c:idx val="1"/>
          <c:order val="3"/>
          <c:tx>
            <c:strRef>
              <c:f>'Input Rearing'!$L$9:$P$9</c:f>
              <c:strCache>
                <c:ptCount val="1"/>
                <c:pt idx="0">
                  <c:v>Body weight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'Graph values'!$A$96:$A$113</c:f>
              <c:numCache>
                <c:formatCode>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'Graph values'!$D$96:$D$113</c:f>
              <c:numCache>
                <c:formatCode>0.00</c:formatCode>
                <c:ptCount val="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4B-45DF-92FC-041A11B8B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433200"/>
        <c:axId val="971433760"/>
      </c:scatterChart>
      <c:scatterChart>
        <c:scatterStyle val="lineMarker"/>
        <c:varyColors val="0"/>
        <c:ser>
          <c:idx val="0"/>
          <c:order val="2"/>
          <c:tx>
            <c:strRef>
              <c:f>'Input Rearing'!$J$10:$J$11</c:f>
              <c:strCache>
                <c:ptCount val="2"/>
                <c:pt idx="0">
                  <c:v>Mortality %</c:v>
                </c:pt>
              </c:strCache>
            </c:strRef>
          </c:tx>
          <c:spPr>
            <a:ln w="12700">
              <a:solidFill>
                <a:schemeClr val="tx1">
                  <a:lumMod val="90000"/>
                  <a:lumOff val="1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'Graph values'!$A$96:$A$113</c:f>
              <c:numCache>
                <c:formatCode>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'Graph values'!$B$96:$B$113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4B-45DF-92FC-041A11B8B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434320"/>
        <c:axId val="971434880"/>
      </c:scatterChart>
      <c:scatterChart>
        <c:scatterStyle val="smoothMarker"/>
        <c:varyColors val="0"/>
        <c:ser>
          <c:idx val="2"/>
          <c:order val="4"/>
          <c:tx>
            <c:strRef>
              <c:f>'Input Rearing'!$P$10:$P$11</c:f>
              <c:strCache>
                <c:ptCount val="2"/>
                <c:pt idx="0">
                  <c:v>Unif. %</c:v>
                </c:pt>
                <c:pt idx="1">
                  <c:v>Daily</c:v>
                </c:pt>
              </c:strCache>
            </c:strRef>
          </c:tx>
          <c:spPr>
            <a:ln w="19050">
              <a:solidFill>
                <a:schemeClr val="tx2"/>
              </a:solidFill>
              <a:prstDash val="sysDot"/>
            </a:ln>
          </c:spPr>
          <c:marker>
            <c:symbol val="none"/>
          </c:marker>
          <c:xVal>
            <c:numRef>
              <c:f>'Graph values'!$A$96:$A$113</c:f>
              <c:numCache>
                <c:formatCode>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'Graph values'!$E$96:$E$113</c:f>
              <c:numCache>
                <c:formatCode>0.00</c:formatCode>
                <c:ptCount val="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4B-45DF-92FC-041A11B8B01B}"/>
            </c:ext>
          </c:extLst>
        </c:ser>
        <c:ser>
          <c:idx val="4"/>
          <c:order val="5"/>
          <c:tx>
            <c:strRef>
              <c:f>'Input Rearing'!$AA$10:$AA$11</c:f>
              <c:strCache>
                <c:ptCount val="2"/>
                <c:pt idx="0">
                  <c:v>Cum. Feed cons per bird (g)</c:v>
                </c:pt>
              </c:strCache>
            </c:strRef>
          </c:tx>
          <c:spPr>
            <a:ln w="19050">
              <a:solidFill>
                <a:schemeClr val="bg2"/>
              </a:solidFill>
            </a:ln>
          </c:spPr>
          <c:marker>
            <c:symbol val="none"/>
          </c:marker>
          <c:xVal>
            <c:numRef>
              <c:f>'Graph values'!$A$96:$A$113</c:f>
              <c:numCache>
                <c:formatCode>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'Graph values'!$H$96:$H$113</c:f>
              <c:numCache>
                <c:formatCode>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4B-45DF-92FC-041A11B8B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434320"/>
        <c:axId val="971434880"/>
      </c:scatterChart>
      <c:valAx>
        <c:axId val="971433200"/>
        <c:scaling>
          <c:orientation val="minMax"/>
          <c:max val="18"/>
          <c:min val="1"/>
        </c:scaling>
        <c:delete val="0"/>
        <c:axPos val="b"/>
        <c:majorGridlines>
          <c:spPr>
            <a:ln w="6350">
              <a:solidFill>
                <a:schemeClr val="bg1">
                  <a:lumMod val="65000"/>
                  <a:alpha val="40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tx2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433760"/>
        <c:crosses val="autoZero"/>
        <c:crossBetween val="midCat"/>
        <c:majorUnit val="1"/>
      </c:valAx>
      <c:valAx>
        <c:axId val="971433760"/>
        <c:scaling>
          <c:orientation val="minMax"/>
          <c:max val="2000"/>
          <c:min val="0"/>
        </c:scaling>
        <c:delete val="0"/>
        <c:axPos val="l"/>
        <c:majorGridlines>
          <c:spPr>
            <a:ln w="6350">
              <a:solidFill>
                <a:schemeClr val="bg1">
                  <a:lumMod val="65000"/>
                  <a:alpha val="40000"/>
                </a:schemeClr>
              </a:solidFill>
            </a:ln>
          </c:spPr>
        </c:majorGridlines>
        <c:minorGridlines>
          <c:spPr>
            <a:ln w="3175">
              <a:solidFill>
                <a:schemeClr val="bg1">
                  <a:lumMod val="85000"/>
                  <a:alpha val="50000"/>
                </a:schemeClr>
              </a:solidFill>
            </a:ln>
          </c:spPr>
        </c:minorGridlines>
        <c:numFmt formatCode="#,##0&quot; g&quot;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>
                <a:solidFill>
                  <a:schemeClr val="tx2"/>
                </a:solidFill>
              </a:defRPr>
            </a:pPr>
            <a:endParaRPr lang="en-US"/>
          </a:p>
        </c:txPr>
        <c:crossAx val="971433200"/>
        <c:crosses val="autoZero"/>
        <c:crossBetween val="midCat"/>
        <c:majorUnit val="200"/>
        <c:minorUnit val="100"/>
      </c:valAx>
      <c:valAx>
        <c:axId val="971434320"/>
        <c:scaling>
          <c:orientation val="minMax"/>
          <c:max val="18"/>
          <c:min val="1"/>
        </c:scaling>
        <c:delete val="0"/>
        <c:axPos val="t"/>
        <c:numFmt formatCode="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tx2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434880"/>
        <c:crosses val="max"/>
        <c:crossBetween val="midCat"/>
        <c:majorUnit val="1"/>
      </c:valAx>
      <c:valAx>
        <c:axId val="971434880"/>
        <c:scaling>
          <c:orientation val="minMax"/>
          <c:max val="10000"/>
          <c:min val="0"/>
        </c:scaling>
        <c:delete val="0"/>
        <c:axPos val="r"/>
        <c:numFmt formatCode="#,##0&quot; g&quot;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chemeClr val="tx1">
                    <a:lumMod val="90000"/>
                    <a:lumOff val="10000"/>
                  </a:schemeClr>
                </a:solidFill>
              </a:defRPr>
            </a:pPr>
            <a:endParaRPr lang="en-US"/>
          </a:p>
        </c:txPr>
        <c:crossAx val="971434320"/>
        <c:crosses val="max"/>
        <c:crossBetween val="midCat"/>
        <c:majorUnit val="500"/>
      </c:valAx>
    </c:plotArea>
    <c:legend>
      <c:legendPos val="b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18483841693701328"/>
          <c:y val="0.93525278675770307"/>
          <c:w val="0.61929921803252852"/>
          <c:h val="4.8937298510599248E-2"/>
        </c:manualLayout>
      </c:layout>
      <c:overlay val="1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>
      <a:noFill/>
    </a:ln>
  </c:spPr>
  <c:txPr>
    <a:bodyPr/>
    <a:lstStyle/>
    <a:p>
      <a:pPr>
        <a:defRPr sz="800" b="0" i="0" u="none" strike="noStrike" baseline="0">
          <a:solidFill>
            <a:schemeClr val="tx1"/>
          </a:solidFill>
          <a:latin typeface="Calibri"/>
          <a:ea typeface="Calibri"/>
          <a:cs typeface="Calibri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30492927514496"/>
          <c:y val="0.21843852141991621"/>
          <c:w val="0.7695666302581744"/>
          <c:h val="0.68504241058453719"/>
        </c:manualLayout>
      </c:layout>
      <c:barChart>
        <c:barDir val="col"/>
        <c:grouping val="clustered"/>
        <c:varyColors val="0"/>
        <c:ser>
          <c:idx val="7"/>
          <c:order val="3"/>
          <c:tx>
            <c:strRef>
              <c:f>'Graph values'!$C$4</c:f>
              <c:strCache>
                <c:ptCount val="1"/>
                <c:pt idx="0">
                  <c:v>Weekly mortality %</c:v>
                </c:pt>
              </c:strCache>
            </c:strRef>
          </c:tx>
          <c:spPr>
            <a:solidFill>
              <a:schemeClr val="bg2"/>
            </a:solidFill>
            <a:ln w="12700">
              <a:solidFill>
                <a:schemeClr val="tx1">
                  <a:lumMod val="90000"/>
                  <a:lumOff val="10000"/>
                </a:schemeClr>
              </a:solidFill>
            </a:ln>
          </c:spPr>
          <c:invertIfNegative val="0"/>
          <c:cat>
            <c:numRef>
              <c:f>'Graph values'!$A$6:$A$80</c:f>
              <c:numCache>
                <c:formatCode>0</c:formatCode>
                <c:ptCount val="7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</c:numCache>
            </c:numRef>
          </c:cat>
          <c:val>
            <c:numRef>
              <c:f>'Graph values'!$C$6:$C$90</c:f>
              <c:numCache>
                <c:formatCode>0.00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0-4C82-AB3B-0FA15D687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41306960"/>
        <c:axId val="841307520"/>
      </c:barChart>
      <c:lineChart>
        <c:grouping val="standard"/>
        <c:varyColors val="0"/>
        <c:ser>
          <c:idx val="6"/>
          <c:order val="0"/>
          <c:tx>
            <c:strRef>
              <c:f>'Graph values'!$J$4</c:f>
              <c:strCache>
                <c:ptCount val="1"/>
                <c:pt idx="0">
                  <c:v>Laying body weight std.</c:v>
                </c:pt>
              </c:strCache>
            </c:strRef>
          </c:tx>
          <c:spPr>
            <a:ln w="50800">
              <a:solidFill>
                <a:schemeClr val="bg1">
                  <a:lumMod val="85000"/>
                  <a:alpha val="95000"/>
                </a:schemeClr>
              </a:solidFill>
            </a:ln>
          </c:spPr>
          <c:marker>
            <c:symbol val="none"/>
          </c:marker>
          <c:cat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cat>
          <c:val>
            <c:numRef>
              <c:f>'Graph values'!$J$6:$J$90</c:f>
              <c:numCache>
                <c:formatCode>0.00</c:formatCode>
                <c:ptCount val="85"/>
                <c:pt idx="0">
                  <c:v>#N/A</c:v>
                </c:pt>
                <c:pt idx="1">
                  <c:v>17.579999999999998</c:v>
                </c:pt>
                <c:pt idx="2">
                  <c:v>20</c:v>
                </c:pt>
                <c:pt idx="3">
                  <c:v>22.345926114742834</c:v>
                </c:pt>
                <c:pt idx="4">
                  <c:v>24.860649025009479</c:v>
                </c:pt>
                <c:pt idx="5">
                  <c:v>27.375371935276135</c:v>
                </c:pt>
                <c:pt idx="6">
                  <c:v>28.913523079564783</c:v>
                </c:pt>
                <c:pt idx="7">
                  <c:v>30.013505742510489</c:v>
                </c:pt>
                <c:pt idx="8">
                  <c:v>30.777682696381227</c:v>
                </c:pt>
                <c:pt idx="9">
                  <c:v>31.296531343506167</c:v>
                </c:pt>
                <c:pt idx="10">
                  <c:v>31.6486437162763</c:v>
                </c:pt>
                <c:pt idx="11">
                  <c:v>31.900726477144826</c:v>
                </c:pt>
                <c:pt idx="12">
                  <c:v>32.24</c:v>
                </c:pt>
                <c:pt idx="13">
                  <c:v>32.479999999999997</c:v>
                </c:pt>
                <c:pt idx="14">
                  <c:v>32.799999999999997</c:v>
                </c:pt>
                <c:pt idx="15">
                  <c:v>33.159999999999997</c:v>
                </c:pt>
                <c:pt idx="16">
                  <c:v>33.520000000000003</c:v>
                </c:pt>
                <c:pt idx="17">
                  <c:v>33.880000000000003</c:v>
                </c:pt>
                <c:pt idx="18">
                  <c:v>34.159999999999997</c:v>
                </c:pt>
                <c:pt idx="19">
                  <c:v>34.44</c:v>
                </c:pt>
                <c:pt idx="20">
                  <c:v>34.76</c:v>
                </c:pt>
                <c:pt idx="21">
                  <c:v>34.840000000000003</c:v>
                </c:pt>
                <c:pt idx="22">
                  <c:v>34.96</c:v>
                </c:pt>
                <c:pt idx="23">
                  <c:v>35.064294270838246</c:v>
                </c:pt>
                <c:pt idx="24">
                  <c:v>35.25885768065821</c:v>
                </c:pt>
                <c:pt idx="25">
                  <c:v>35.445913492852242</c:v>
                </c:pt>
                <c:pt idx="26">
                  <c:v>35.625625602876838</c:v>
                </c:pt>
                <c:pt idx="27">
                  <c:v>35.798157741549574</c:v>
                </c:pt>
                <c:pt idx="28">
                  <c:v>35.963673475049042</c:v>
                </c:pt>
                <c:pt idx="29">
                  <c:v>36.122336204914951</c:v>
                </c:pt>
                <c:pt idx="30">
                  <c:v>36.274309168048013</c:v>
                </c:pt>
                <c:pt idx="31">
                  <c:v>36.419755436710062</c:v>
                </c:pt>
                <c:pt idx="32">
                  <c:v>36.55883791852397</c:v>
                </c:pt>
                <c:pt idx="33">
                  <c:v>36.691719356473669</c:v>
                </c:pt>
                <c:pt idx="34">
                  <c:v>36.818562328904171</c:v>
                </c:pt>
                <c:pt idx="35">
                  <c:v>36.939529249521499</c:v>
                </c:pt>
                <c:pt idx="36">
                  <c:v>37.054782367392782</c:v>
                </c:pt>
                <c:pt idx="37">
                  <c:v>37.164483766946212</c:v>
                </c:pt>
                <c:pt idx="38">
                  <c:v>37.268795367971073</c:v>
                </c:pt>
                <c:pt idx="39">
                  <c:v>37.367878925617617</c:v>
                </c:pt>
                <c:pt idx="40">
                  <c:v>37.461896030397227</c:v>
                </c:pt>
                <c:pt idx="41">
                  <c:v>37.551008108182359</c:v>
                </c:pt>
                <c:pt idx="42">
                  <c:v>37.635376420206512</c:v>
                </c:pt>
                <c:pt idx="43">
                  <c:v>37.715162063064234</c:v>
                </c:pt>
                <c:pt idx="44">
                  <c:v>37.790525968711172</c:v>
                </c:pt>
                <c:pt idx="45">
                  <c:v>37.861628904463984</c:v>
                </c:pt>
                <c:pt idx="46">
                  <c:v>37.928631473000443</c:v>
                </c:pt>
                <c:pt idx="47">
                  <c:v>37.991694112359347</c:v>
                </c:pt>
                <c:pt idx="48">
                  <c:v>38.050977095940532</c:v>
                </c:pt>
                <c:pt idx="49">
                  <c:v>38.106640532505033</c:v>
                </c:pt>
                <c:pt idx="50">
                  <c:v>38.158844366174748</c:v>
                </c:pt>
                <c:pt idx="51">
                  <c:v>38.207748376432804</c:v>
                </c:pt>
                <c:pt idx="52">
                  <c:v>38.253512178123302</c:v>
                </c:pt>
                <c:pt idx="53">
                  <c:v>38.29629522145143</c:v>
                </c:pt>
                <c:pt idx="54">
                  <c:v>38.336256791983445</c:v>
                </c:pt>
                <c:pt idx="55">
                  <c:v>38.373556010646659</c:v>
                </c:pt>
                <c:pt idx="56">
                  <c:v>38.408351833729448</c:v>
                </c:pt>
                <c:pt idx="57">
                  <c:v>38.440803052881286</c:v>
                </c:pt>
                <c:pt idx="58">
                  <c:v>38.471068295112609</c:v>
                </c:pt>
                <c:pt idx="59">
                  <c:v>38.499306022795032</c:v>
                </c:pt>
                <c:pt idx="60">
                  <c:v>38.525674533661139</c:v>
                </c:pt>
                <c:pt idx="61">
                  <c:v>38.55033196080467</c:v>
                </c:pt>
                <c:pt idx="62">
                  <c:v>38.573436272680325</c:v>
                </c:pt>
                <c:pt idx="63">
                  <c:v>38.595145273103974</c:v>
                </c:pt>
                <c:pt idx="64">
                  <c:v>38.615616601252448</c:v>
                </c:pt>
                <c:pt idx="65">
                  <c:v>38.635007731663727</c:v>
                </c:pt>
                <c:pt idx="66">
                  <c:v>38.65347597423677</c:v>
                </c:pt>
                <c:pt idx="67">
                  <c:v>38.671178474231695</c:v>
                </c:pt>
                <c:pt idx="68">
                  <c:v>38.688272212269609</c:v>
                </c:pt>
                <c:pt idx="69">
                  <c:v>38.730098994717792</c:v>
                </c:pt>
                <c:pt idx="70">
                  <c:v>38.748794469455461</c:v>
                </c:pt>
                <c:pt idx="71">
                  <c:v>38.76748994419313</c:v>
                </c:pt>
                <c:pt idx="72">
                  <c:v>38.786185418930799</c:v>
                </c:pt>
                <c:pt idx="73">
                  <c:v>38.804880893668468</c:v>
                </c:pt>
                <c:pt idx="74">
                  <c:v>38.823576368406137</c:v>
                </c:pt>
                <c:pt idx="75">
                  <c:v>38.842271843143806</c:v>
                </c:pt>
                <c:pt idx="76">
                  <c:v>38.860967317881475</c:v>
                </c:pt>
                <c:pt idx="77">
                  <c:v>38.879662792619143</c:v>
                </c:pt>
                <c:pt idx="78">
                  <c:v>38.898358267356819</c:v>
                </c:pt>
                <c:pt idx="79">
                  <c:v>38.917053742094488</c:v>
                </c:pt>
                <c:pt idx="80">
                  <c:v>38.935749216832157</c:v>
                </c:pt>
                <c:pt idx="81">
                  <c:v>38.954444691569833</c:v>
                </c:pt>
                <c:pt idx="82">
                  <c:v>38.973140166307502</c:v>
                </c:pt>
                <c:pt idx="83">
                  <c:v>38.991835641045171</c:v>
                </c:pt>
                <c:pt idx="84">
                  <c:v>39.01053111578284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00-4C82-AB3B-0FA15D68744F}"/>
            </c:ext>
          </c:extLst>
        </c:ser>
        <c:ser>
          <c:idx val="14"/>
          <c:order val="2"/>
          <c:tx>
            <c:strRef>
              <c:f>'Graph values'!$E$4</c:f>
              <c:strCache>
                <c:ptCount val="1"/>
                <c:pt idx="0">
                  <c:v>Laying rate std.</c:v>
                </c:pt>
              </c:strCache>
            </c:strRef>
          </c:tx>
          <c:spPr>
            <a:ln w="50800" cap="flat">
              <a:solidFill>
                <a:schemeClr val="bg1">
                  <a:lumMod val="85000"/>
                </a:schemeClr>
              </a:solidFill>
              <a:round/>
            </a:ln>
          </c:spPr>
          <c:marker>
            <c:symbol val="none"/>
          </c:marker>
          <c:cat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cat>
          <c:val>
            <c:numRef>
              <c:f>'Graph values'!$AF$6:$AF$90</c:f>
              <c:numCache>
                <c:formatCode>0.00</c:formatCode>
                <c:ptCount val="85"/>
                <c:pt idx="2">
                  <c:v>3</c:v>
                </c:pt>
                <c:pt idx="3">
                  <c:v>10.981494841287715</c:v>
                </c:pt>
                <c:pt idx="4">
                  <c:v>31.090325793650802</c:v>
                </c:pt>
                <c:pt idx="5">
                  <c:v>49.193548412693254</c:v>
                </c:pt>
                <c:pt idx="6">
                  <c:v>66.812851587314796</c:v>
                </c:pt>
                <c:pt idx="7">
                  <c:v>82.19717420633819</c:v>
                </c:pt>
                <c:pt idx="8">
                  <c:v>90.322705158758438</c:v>
                </c:pt>
                <c:pt idx="9">
                  <c:v>92.969803679609498</c:v>
                </c:pt>
                <c:pt idx="10">
                  <c:v>94.027253820241981</c:v>
                </c:pt>
                <c:pt idx="11">
                  <c:v>94.815695421183847</c:v>
                </c:pt>
                <c:pt idx="12">
                  <c:v>95.375174273736476</c:v>
                </c:pt>
                <c:pt idx="13">
                  <c:v>95.742618862280708</c:v>
                </c:pt>
                <c:pt idx="14">
                  <c:v>95.951840364275711</c:v>
                </c:pt>
                <c:pt idx="15">
                  <c:v>96.033532650259673</c:v>
                </c:pt>
                <c:pt idx="16">
                  <c:v>96.015272283849029</c:v>
                </c:pt>
                <c:pt idx="17">
                  <c:v>95.921518521739543</c:v>
                </c:pt>
                <c:pt idx="18">
                  <c:v>95.773613313705724</c:v>
                </c:pt>
                <c:pt idx="19">
                  <c:v>95.63</c:v>
                </c:pt>
                <c:pt idx="20">
                  <c:v>95.5</c:v>
                </c:pt>
                <c:pt idx="21">
                  <c:v>95.2</c:v>
                </c:pt>
                <c:pt idx="22">
                  <c:v>95.03</c:v>
                </c:pt>
                <c:pt idx="23">
                  <c:v>94.8</c:v>
                </c:pt>
                <c:pt idx="24">
                  <c:v>94.63</c:v>
                </c:pt>
                <c:pt idx="25">
                  <c:v>94.5</c:v>
                </c:pt>
                <c:pt idx="26">
                  <c:v>94.3</c:v>
                </c:pt>
                <c:pt idx="27">
                  <c:v>93.984006161543633</c:v>
                </c:pt>
                <c:pt idx="28">
                  <c:v>93.782586209177893</c:v>
                </c:pt>
                <c:pt idx="29">
                  <c:v>93.556034001602939</c:v>
                </c:pt>
                <c:pt idx="30">
                  <c:v>93.28828380553783</c:v>
                </c:pt>
                <c:pt idx="31">
                  <c:v>92.960152580781255</c:v>
                </c:pt>
                <c:pt idx="32">
                  <c:v>92.549339980209297</c:v>
                </c:pt>
                <c:pt idx="33">
                  <c:v>92.3</c:v>
                </c:pt>
                <c:pt idx="34">
                  <c:v>91.94</c:v>
                </c:pt>
                <c:pt idx="35">
                  <c:v>91.606110666657599</c:v>
                </c:pt>
                <c:pt idx="36">
                  <c:v>91.33</c:v>
                </c:pt>
                <c:pt idx="37">
                  <c:v>91.019934805801839</c:v>
                </c:pt>
                <c:pt idx="38">
                  <c:v>90.697063234176312</c:v>
                </c:pt>
                <c:pt idx="39">
                  <c:v>90.356178521997279</c:v>
                </c:pt>
                <c:pt idx="40">
                  <c:v>89.998605852268298</c:v>
                </c:pt>
                <c:pt idx="41">
                  <c:v>89.625624982248567</c:v>
                </c:pt>
                <c:pt idx="42">
                  <c:v>89.23847024345315</c:v>
                </c:pt>
                <c:pt idx="43">
                  <c:v>88.838330541652724</c:v>
                </c:pt>
                <c:pt idx="44">
                  <c:v>88.426349356873871</c:v>
                </c:pt>
                <c:pt idx="45">
                  <c:v>88.003624743398731</c:v>
                </c:pt>
                <c:pt idx="46">
                  <c:v>87.571209329765423</c:v>
                </c:pt>
                <c:pt idx="47">
                  <c:v>87.130110318767734</c:v>
                </c:pt>
                <c:pt idx="48">
                  <c:v>86.681289487455103</c:v>
                </c:pt>
                <c:pt idx="49">
                  <c:v>86.225663187132866</c:v>
                </c:pt>
                <c:pt idx="50">
                  <c:v>85.764102343362055</c:v>
                </c:pt>
                <c:pt idx="51">
                  <c:v>85.297432455959438</c:v>
                </c:pt>
                <c:pt idx="52">
                  <c:v>84.826433598997625</c:v>
                </c:pt>
                <c:pt idx="53">
                  <c:v>84.351840420804891</c:v>
                </c:pt>
                <c:pt idx="54">
                  <c:v>83.874342143965322</c:v>
                </c:pt>
                <c:pt idx="55">
                  <c:v>83.394582565318686</c:v>
                </c:pt>
                <c:pt idx="56">
                  <c:v>82.913160055960603</c:v>
                </c:pt>
                <c:pt idx="57">
                  <c:v>82.430627561242446</c:v>
                </c:pt>
                <c:pt idx="58">
                  <c:v>81.947492600771255</c:v>
                </c:pt>
                <c:pt idx="59">
                  <c:v>81.464217268409868</c:v>
                </c:pt>
                <c:pt idx="60">
                  <c:v>80.981218232276845</c:v>
                </c:pt>
                <c:pt idx="61">
                  <c:v>80.49886673474667</c:v>
                </c:pt>
                <c:pt idx="62">
                  <c:v>80.017488592449368</c:v>
                </c:pt>
                <c:pt idx="63">
                  <c:v>79.537364196270815</c:v>
                </c:pt>
                <c:pt idx="64">
                  <c:v>79.058728511352655</c:v>
                </c:pt>
                <c:pt idx="65">
                  <c:v>78.581771077092313</c:v>
                </c:pt>
                <c:pt idx="66">
                  <c:v>78.106636007142811</c:v>
                </c:pt>
                <c:pt idx="67">
                  <c:v>77.633421989413165</c:v>
                </c:pt>
                <c:pt idx="68">
                  <c:v>77.162182286067889</c:v>
                </c:pt>
                <c:pt idx="69">
                  <c:v>76.692924733527533</c:v>
                </c:pt>
                <c:pt idx="70">
                  <c:v>76.22561174246826</c:v>
                </c:pt>
                <c:pt idx="71">
                  <c:v>75.760160297821784</c:v>
                </c:pt>
                <c:pt idx="72">
                  <c:v>75.296441958776086</c:v>
                </c:pt>
                <c:pt idx="73">
                  <c:v>74.834282858774387</c:v>
                </c:pt>
                <c:pt idx="74">
                  <c:v>74.373463705515775</c:v>
                </c:pt>
                <c:pt idx="75">
                  <c:v>73.913719780955503</c:v>
                </c:pt>
                <c:pt idx="76">
                  <c:v>73.454740941304152</c:v>
                </c:pt>
                <c:pt idx="77">
                  <c:v>72.99617161702804</c:v>
                </c:pt>
                <c:pt idx="78">
                  <c:v>72.537610812849536</c:v>
                </c:pt>
                <c:pt idx="79">
                  <c:v>72.078612107746565</c:v>
                </c:pt>
                <c:pt idx="80">
                  <c:v>71.618683654952662</c:v>
                </c:pt>
                <c:pt idx="81">
                  <c:v>71.157288181957654</c:v>
                </c:pt>
                <c:pt idx="82">
                  <c:v>70.693842990506596</c:v>
                </c:pt>
                <c:pt idx="83">
                  <c:v>70.227719956600424</c:v>
                </c:pt>
                <c:pt idx="84">
                  <c:v>69.75824553049604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00-4C82-AB3B-0FA15D68744F}"/>
            </c:ext>
          </c:extLst>
        </c:ser>
        <c:ser>
          <c:idx val="3"/>
          <c:order val="4"/>
          <c:tx>
            <c:strRef>
              <c:f>'Production data'!$D$7</c:f>
              <c:strCache>
                <c:ptCount val="1"/>
                <c:pt idx="0">
                  <c:v>Laying rate</c:v>
                </c:pt>
              </c:strCache>
            </c:strRef>
          </c:tx>
          <c:spPr>
            <a:ln w="19050">
              <a:solidFill>
                <a:schemeClr val="tx2"/>
              </a:solidFill>
              <a:prstDash val="solid"/>
            </a:ln>
          </c:spPr>
          <c:marker>
            <c:symbol val="none"/>
          </c:marker>
          <c:cat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cat>
          <c:val>
            <c:numRef>
              <c:f>'Graph values'!$D$6:$D$90</c:f>
              <c:numCache>
                <c:formatCode>0.00</c:formatCode>
                <c:ptCount val="85"/>
                <c:pt idx="0">
                  <c:v>#N/A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00-4C82-AB3B-0FA15D68744F}"/>
            </c:ext>
          </c:extLst>
        </c:ser>
        <c:ser>
          <c:idx val="0"/>
          <c:order val="5"/>
          <c:tx>
            <c:strRef>
              <c:f>'Graph values'!$B$4</c:f>
              <c:strCache>
                <c:ptCount val="1"/>
                <c:pt idx="0">
                  <c:v>Liveability</c:v>
                </c:pt>
              </c:strCache>
            </c:strRef>
          </c:tx>
          <c:spPr>
            <a:ln w="19050">
              <a:solidFill>
                <a:schemeClr val="tx1"/>
              </a:solidFill>
              <a:prstDash val="sysDot"/>
            </a:ln>
          </c:spPr>
          <c:marker>
            <c:symbol val="none"/>
          </c:marker>
          <c:dLbls>
            <c:dLbl>
              <c:idx val="73"/>
              <c:layout>
                <c:manualLayout>
                  <c:x val="-3.5257259981386707E-2"/>
                  <c:y val="-1.6032949398908834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0-4C82-AB3B-0FA15D6874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cat>
          <c:val>
            <c:numRef>
              <c:f>'Graph values'!$B$6:$B$90</c:f>
              <c:numCache>
                <c:formatCode>0.00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00-4C82-AB3B-0FA15D68744F}"/>
            </c:ext>
          </c:extLst>
        </c:ser>
        <c:ser>
          <c:idx val="5"/>
          <c:order val="7"/>
          <c:tx>
            <c:strRef>
              <c:f>'Graph values'!$H$4</c:f>
              <c:strCache>
                <c:ptCount val="1"/>
                <c:pt idx="0">
                  <c:v>Body weight</c:v>
                </c:pt>
              </c:strCache>
            </c:strRef>
          </c:tx>
          <c:spPr>
            <a:ln w="19050">
              <a:solidFill>
                <a:schemeClr val="tx1">
                  <a:lumMod val="90000"/>
                  <a:lumOff val="1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cat>
          <c:val>
            <c:numRef>
              <c:f>'Graph values'!$H$6:$H$90</c:f>
              <c:numCache>
                <c:formatCode>0.00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00-4C82-AB3B-0FA15D687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306960"/>
        <c:axId val="841307520"/>
      </c:lineChart>
      <c:lineChart>
        <c:grouping val="standard"/>
        <c:varyColors val="0"/>
        <c:ser>
          <c:idx val="4"/>
          <c:order val="1"/>
          <c:tx>
            <c:strRef>
              <c:f>'Graph values'!$G$4</c:f>
              <c:strCache>
                <c:ptCount val="1"/>
                <c:pt idx="0">
                  <c:v>Egg weight std.</c:v>
                </c:pt>
              </c:strCache>
            </c:strRef>
          </c:tx>
          <c:spPr>
            <a:ln w="50800">
              <a:solidFill>
                <a:schemeClr val="bg1">
                  <a:lumMod val="85000"/>
                  <a:alpha val="95000"/>
                </a:schemeClr>
              </a:solidFill>
              <a:round/>
            </a:ln>
          </c:spPr>
          <c:marker>
            <c:symbol val="none"/>
          </c:marker>
          <c:cat>
            <c:numRef>
              <c:f>'Graph values'!$A$6:$A$70</c:f>
              <c:numCache>
                <c:formatCode>0</c:formatCode>
                <c:ptCount val="6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</c:numCache>
            </c:numRef>
          </c:cat>
          <c:val>
            <c:numRef>
              <c:f>'Graph values'!$AM$6:$AM$90</c:f>
              <c:numCache>
                <c:formatCode>0.00</c:formatCode>
                <c:ptCount val="85"/>
                <c:pt idx="1">
                  <c:v>0</c:v>
                </c:pt>
                <c:pt idx="2">
                  <c:v>42.492229512069038</c:v>
                </c:pt>
                <c:pt idx="3">
                  <c:v>46.165713667956219</c:v>
                </c:pt>
                <c:pt idx="4">
                  <c:v>49.278198677597565</c:v>
                </c:pt>
                <c:pt idx="5">
                  <c:v>51.892660224258563</c:v>
                </c:pt>
                <c:pt idx="6">
                  <c:v>54.068332197003436</c:v>
                </c:pt>
                <c:pt idx="7">
                  <c:v>55.86070669069413</c:v>
                </c:pt>
                <c:pt idx="8">
                  <c:v>57.32153400599077</c:v>
                </c:pt>
                <c:pt idx="9">
                  <c:v>58.498822649351531</c:v>
                </c:pt>
                <c:pt idx="10">
                  <c:v>59.436839333032999</c:v>
                </c:pt>
                <c:pt idx="11">
                  <c:v>60.176108975089896</c:v>
                </c:pt>
                <c:pt idx="12">
                  <c:v>60.753414699374538</c:v>
                </c:pt>
                <c:pt idx="13">
                  <c:v>61.201797835538144</c:v>
                </c:pt>
                <c:pt idx="14">
                  <c:v>61.550557919029799</c:v>
                </c:pt>
                <c:pt idx="15">
                  <c:v>61.825252691096402</c:v>
                </c:pt>
                <c:pt idx="16">
                  <c:v>62.047698098783528</c:v>
                </c:pt>
                <c:pt idx="17">
                  <c:v>62.235968294934345</c:v>
                </c:pt>
                <c:pt idx="18">
                  <c:v>62.404395638190486</c:v>
                </c:pt>
                <c:pt idx="19">
                  <c:v>62.563570692991696</c:v>
                </c:pt>
                <c:pt idx="20">
                  <c:v>62.720342229576147</c:v>
                </c:pt>
                <c:pt idx="21">
                  <c:v>62.877817223979292</c:v>
                </c:pt>
                <c:pt idx="22">
                  <c:v>63.035360858035659</c:v>
                </c:pt>
                <c:pt idx="23">
                  <c:v>63.188596519377562</c:v>
                </c:pt>
                <c:pt idx="24">
                  <c:v>63.3</c:v>
                </c:pt>
                <c:pt idx="25">
                  <c:v>63.34</c:v>
                </c:pt>
                <c:pt idx="26">
                  <c:v>63.42</c:v>
                </c:pt>
                <c:pt idx="27">
                  <c:v>63.44</c:v>
                </c:pt>
                <c:pt idx="28">
                  <c:v>63.45</c:v>
                </c:pt>
                <c:pt idx="29">
                  <c:v>63.49</c:v>
                </c:pt>
                <c:pt idx="30">
                  <c:v>63.51</c:v>
                </c:pt>
                <c:pt idx="31">
                  <c:v>63.53</c:v>
                </c:pt>
                <c:pt idx="32">
                  <c:v>63.58</c:v>
                </c:pt>
                <c:pt idx="33">
                  <c:v>63.6</c:v>
                </c:pt>
                <c:pt idx="34">
                  <c:v>63.62</c:v>
                </c:pt>
                <c:pt idx="35">
                  <c:v>63.64</c:v>
                </c:pt>
                <c:pt idx="36">
                  <c:v>63.65</c:v>
                </c:pt>
                <c:pt idx="37">
                  <c:v>63.66</c:v>
                </c:pt>
                <c:pt idx="38">
                  <c:v>63.64</c:v>
                </c:pt>
                <c:pt idx="39">
                  <c:v>63.655254871975345</c:v>
                </c:pt>
                <c:pt idx="40">
                  <c:v>63.68611659004501</c:v>
                </c:pt>
                <c:pt idx="41">
                  <c:v>63.716978308114676</c:v>
                </c:pt>
                <c:pt idx="42">
                  <c:v>63.747840026184335</c:v>
                </c:pt>
                <c:pt idx="43">
                  <c:v>63.778701744254001</c:v>
                </c:pt>
                <c:pt idx="44">
                  <c:v>63.809563462323666</c:v>
                </c:pt>
                <c:pt idx="45">
                  <c:v>63.840425180393325</c:v>
                </c:pt>
                <c:pt idx="46">
                  <c:v>63.871286898462991</c:v>
                </c:pt>
                <c:pt idx="47">
                  <c:v>63.902148616532656</c:v>
                </c:pt>
                <c:pt idx="48">
                  <c:v>63.933010334602315</c:v>
                </c:pt>
                <c:pt idx="49">
                  <c:v>63.963872052671981</c:v>
                </c:pt>
                <c:pt idx="50">
                  <c:v>63.994733770741647</c:v>
                </c:pt>
                <c:pt idx="51">
                  <c:v>64.025595488811305</c:v>
                </c:pt>
                <c:pt idx="52">
                  <c:v>64.056457206880978</c:v>
                </c:pt>
                <c:pt idx="53">
                  <c:v>64.087318924950637</c:v>
                </c:pt>
                <c:pt idx="54">
                  <c:v>64.118180643020295</c:v>
                </c:pt>
                <c:pt idx="55">
                  <c:v>64.149042361089968</c:v>
                </c:pt>
                <c:pt idx="56">
                  <c:v>64.179904079159627</c:v>
                </c:pt>
                <c:pt idx="57">
                  <c:v>64.210765797229286</c:v>
                </c:pt>
                <c:pt idx="58">
                  <c:v>64.241627515298958</c:v>
                </c:pt>
                <c:pt idx="59">
                  <c:v>64.272489233368617</c:v>
                </c:pt>
                <c:pt idx="60">
                  <c:v>64.303350951438276</c:v>
                </c:pt>
                <c:pt idx="61">
                  <c:v>64.334212669507949</c:v>
                </c:pt>
                <c:pt idx="62">
                  <c:v>64.365074387577607</c:v>
                </c:pt>
                <c:pt idx="63">
                  <c:v>64.395936105647266</c:v>
                </c:pt>
                <c:pt idx="64">
                  <c:v>64.426797823716939</c:v>
                </c:pt>
                <c:pt idx="65">
                  <c:v>64.457659541786597</c:v>
                </c:pt>
                <c:pt idx="66">
                  <c:v>64.488521259856256</c:v>
                </c:pt>
                <c:pt idx="67">
                  <c:v>64.519382977925929</c:v>
                </c:pt>
                <c:pt idx="68">
                  <c:v>64.550244695995588</c:v>
                </c:pt>
                <c:pt idx="69">
                  <c:v>64.581106414065246</c:v>
                </c:pt>
                <c:pt idx="70">
                  <c:v>64.611968132134919</c:v>
                </c:pt>
                <c:pt idx="71">
                  <c:v>64.642829850204578</c:v>
                </c:pt>
                <c:pt idx="72">
                  <c:v>64.673691568274251</c:v>
                </c:pt>
                <c:pt idx="73">
                  <c:v>64.704553286343909</c:v>
                </c:pt>
                <c:pt idx="74">
                  <c:v>64.735415004413568</c:v>
                </c:pt>
                <c:pt idx="75">
                  <c:v>64.766276722483241</c:v>
                </c:pt>
                <c:pt idx="76">
                  <c:v>64.797138440552899</c:v>
                </c:pt>
                <c:pt idx="77">
                  <c:v>64.828000158622558</c:v>
                </c:pt>
                <c:pt idx="78">
                  <c:v>64.858861876692231</c:v>
                </c:pt>
                <c:pt idx="79">
                  <c:v>64.88972359476189</c:v>
                </c:pt>
                <c:pt idx="80">
                  <c:v>64.920585312831548</c:v>
                </c:pt>
                <c:pt idx="81">
                  <c:v>64.951447030901221</c:v>
                </c:pt>
                <c:pt idx="82">
                  <c:v>64.98230874897088</c:v>
                </c:pt>
                <c:pt idx="83">
                  <c:v>65.013170467040538</c:v>
                </c:pt>
                <c:pt idx="84">
                  <c:v>65.044032185110211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00-4C82-AB3B-0FA15D68744F}"/>
            </c:ext>
          </c:extLst>
        </c:ser>
        <c:ser>
          <c:idx val="1"/>
          <c:order val="6"/>
          <c:tx>
            <c:strRef>
              <c:f>'Graph values'!$F$4</c:f>
              <c:strCache>
                <c:ptCount val="1"/>
                <c:pt idx="0">
                  <c:v>Egg Weight</c:v>
                </c:pt>
              </c:strCache>
            </c:strRef>
          </c:tx>
          <c:spPr>
            <a:ln w="19050">
              <a:solidFill>
                <a:schemeClr val="tx1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dLbls>
            <c:dLbl>
              <c:idx val="8"/>
              <c:spPr>
                <a:ln>
                  <a:noFill/>
                </a:ln>
              </c:spPr>
              <c:txPr>
                <a:bodyPr/>
                <a:lstStyle/>
                <a:p>
                  <a:pPr>
                    <a:defRPr sz="800">
                      <a:solidFill>
                        <a:schemeClr val="tx1">
                          <a:lumMod val="60000"/>
                          <a:lumOff val="40000"/>
                        </a:schemeClr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0-4C82-AB3B-0FA15D68744F}"/>
                </c:ext>
              </c:extLst>
            </c:dLbl>
            <c:dLbl>
              <c:idx val="18"/>
              <c:spPr>
                <a:ln>
                  <a:noFill/>
                </a:ln>
              </c:spPr>
              <c:txPr>
                <a:bodyPr/>
                <a:lstStyle/>
                <a:p>
                  <a:pPr>
                    <a:defRPr sz="800">
                      <a:solidFill>
                        <a:schemeClr val="tx1">
                          <a:lumMod val="60000"/>
                          <a:lumOff val="40000"/>
                        </a:schemeClr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100-4C82-AB3B-0FA15D68744F}"/>
                </c:ext>
              </c:extLst>
            </c:dLbl>
            <c:dLbl>
              <c:idx val="28"/>
              <c:spPr>
                <a:ln>
                  <a:noFill/>
                </a:ln>
              </c:spPr>
              <c:txPr>
                <a:bodyPr/>
                <a:lstStyle/>
                <a:p>
                  <a:pPr>
                    <a:defRPr sz="800">
                      <a:solidFill>
                        <a:schemeClr val="tx1">
                          <a:lumMod val="60000"/>
                          <a:lumOff val="40000"/>
                        </a:schemeClr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0-4C82-AB3B-0FA15D68744F}"/>
                </c:ext>
              </c:extLst>
            </c:dLbl>
            <c:dLbl>
              <c:idx val="38"/>
              <c:spPr>
                <a:ln>
                  <a:noFill/>
                </a:ln>
              </c:spPr>
              <c:txPr>
                <a:bodyPr/>
                <a:lstStyle/>
                <a:p>
                  <a:pPr>
                    <a:defRPr sz="800">
                      <a:solidFill>
                        <a:schemeClr val="tx1">
                          <a:lumMod val="60000"/>
                          <a:lumOff val="40000"/>
                        </a:schemeClr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100-4C82-AB3B-0FA15D68744F}"/>
                </c:ext>
              </c:extLst>
            </c:dLbl>
            <c:dLbl>
              <c:idx val="48"/>
              <c:spPr>
                <a:ln>
                  <a:noFill/>
                </a:ln>
              </c:spPr>
              <c:txPr>
                <a:bodyPr/>
                <a:lstStyle/>
                <a:p>
                  <a:pPr>
                    <a:defRPr sz="800">
                      <a:solidFill>
                        <a:schemeClr val="tx1">
                          <a:lumMod val="60000"/>
                          <a:lumOff val="40000"/>
                        </a:schemeClr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0-4C82-AB3B-0FA15D68744F}"/>
                </c:ext>
              </c:extLst>
            </c:dLbl>
            <c:dLbl>
              <c:idx val="58"/>
              <c:spPr>
                <a:ln>
                  <a:noFill/>
                </a:ln>
              </c:spPr>
              <c:txPr>
                <a:bodyPr/>
                <a:lstStyle/>
                <a:p>
                  <a:pPr>
                    <a:defRPr sz="800">
                      <a:solidFill>
                        <a:schemeClr val="tx1">
                          <a:lumMod val="60000"/>
                          <a:lumOff val="40000"/>
                        </a:schemeClr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100-4C82-AB3B-0FA15D6874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values'!$A$6:$A$70</c:f>
              <c:numCache>
                <c:formatCode>0</c:formatCode>
                <c:ptCount val="6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</c:numCache>
            </c:numRef>
          </c:cat>
          <c:val>
            <c:numRef>
              <c:f>'Graph values'!$F$6:$F$90</c:f>
              <c:numCache>
                <c:formatCode>0.0</c:formatCode>
                <c:ptCount val="85"/>
                <c:pt idx="0">
                  <c:v>#N/A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100-4C82-AB3B-0FA15D687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308080"/>
        <c:axId val="841308640"/>
      </c:lineChart>
      <c:catAx>
        <c:axId val="841306960"/>
        <c:scaling>
          <c:orientation val="minMax"/>
        </c:scaling>
        <c:delete val="0"/>
        <c:axPos val="b"/>
        <c:majorGridlines>
          <c:spPr>
            <a:ln w="6350">
              <a:solidFill>
                <a:schemeClr val="bg1">
                  <a:lumMod val="65000"/>
                  <a:alpha val="40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tx2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307520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841307520"/>
        <c:scaling>
          <c:orientation val="minMax"/>
          <c:max val="100"/>
          <c:min val="0"/>
        </c:scaling>
        <c:delete val="0"/>
        <c:axPos val="l"/>
        <c:majorGridlines>
          <c:spPr>
            <a:ln w="6350">
              <a:solidFill>
                <a:schemeClr val="bg1">
                  <a:lumMod val="65000"/>
                  <a:alpha val="40000"/>
                </a:schemeClr>
              </a:solidFill>
            </a:ln>
          </c:spPr>
        </c:majorGridlines>
        <c:minorGridlines>
          <c:spPr>
            <a:ln w="6350">
              <a:solidFill>
                <a:schemeClr val="bg1">
                  <a:lumMod val="75000"/>
                  <a:alpha val="20000"/>
                </a:schemeClr>
              </a:solidFill>
            </a:ln>
          </c:spPr>
        </c:minorGridlines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2"/>
                </a:solidFill>
              </a:defRPr>
            </a:pPr>
            <a:endParaRPr lang="en-US"/>
          </a:p>
        </c:txPr>
        <c:crossAx val="841306960"/>
        <c:crosses val="autoZero"/>
        <c:crossBetween val="midCat"/>
        <c:majorUnit val="10"/>
        <c:minorUnit val="5"/>
      </c:valAx>
      <c:catAx>
        <c:axId val="841308080"/>
        <c:scaling>
          <c:orientation val="minMax"/>
        </c:scaling>
        <c:delete val="1"/>
        <c:axPos val="t"/>
        <c:numFmt formatCode="0" sourceLinked="1"/>
        <c:majorTickMark val="out"/>
        <c:minorTickMark val="none"/>
        <c:tickLblPos val="nextTo"/>
        <c:crossAx val="841308640"/>
        <c:crosses val="max"/>
        <c:auto val="1"/>
        <c:lblAlgn val="ctr"/>
        <c:lblOffset val="100"/>
        <c:noMultiLvlLbl val="0"/>
      </c:catAx>
      <c:valAx>
        <c:axId val="841308640"/>
        <c:scaling>
          <c:orientation val="minMax"/>
          <c:max val="85"/>
          <c:min val="35"/>
        </c:scaling>
        <c:delete val="0"/>
        <c:axPos val="r"/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800"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841308080"/>
        <c:crosses val="max"/>
        <c:crossBetween val="midCat"/>
      </c:valAx>
      <c:spPr>
        <a:ln>
          <a:noFill/>
        </a:ln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6"/>
        <c:delete val="1"/>
      </c:legendEntry>
      <c:overlay val="1"/>
      <c:txPr>
        <a:bodyPr/>
        <a:lstStyle/>
        <a:p>
          <a:pPr>
            <a:defRPr sz="800" b="0"/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>
      <a:noFill/>
    </a:ln>
  </c:spPr>
  <c:txPr>
    <a:bodyPr/>
    <a:lstStyle/>
    <a:p>
      <a:pPr>
        <a:defRPr sz="1000" b="0" i="0" u="none" strike="noStrike" baseline="0">
          <a:solidFill>
            <a:schemeClr val="tx1"/>
          </a:solidFill>
          <a:latin typeface="Calibri"/>
          <a:ea typeface="Calibri"/>
          <a:cs typeface="Calibri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82740984086133"/>
          <c:y val="0.20781654977704489"/>
          <c:w val="0.73188790183318653"/>
          <c:h val="0.67085168079302038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'Graph values'!$M$4</c:f>
              <c:strCache>
                <c:ptCount val="1"/>
                <c:pt idx="0">
                  <c:v>Daily egg mass std.</c:v>
                </c:pt>
              </c:strCache>
            </c:strRef>
          </c:tx>
          <c:spPr>
            <a:ln w="50800" cap="rnd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'Production data'!$B$13:$B$97</c:f>
              <c:numCache>
                <c:formatCode>0</c:formatCode>
                <c:ptCount val="85"/>
                <c:pt idx="0">
                  <c:v>0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xVal>
          <c:yVal>
            <c:numRef>
              <c:f>'Graph values'!$M$7:$M$90</c:f>
              <c:numCache>
                <c:formatCode>0.00</c:formatCode>
                <c:ptCount val="84"/>
                <c:pt idx="0">
                  <c:v>0</c:v>
                </c:pt>
                <c:pt idx="1">
                  <c:v>1.2747668853620713</c:v>
                </c:pt>
                <c:pt idx="2">
                  <c:v>5.0696854648902692</c:v>
                </c:pt>
                <c:pt idx="3">
                  <c:v>15.320752514107605</c:v>
                </c:pt>
                <c:pt idx="4">
                  <c:v>25.527840930055053</c:v>
                </c:pt>
                <c:pt idx="5">
                  <c:v>36.12459454652025</c:v>
                </c:pt>
                <c:pt idx="6">
                  <c:v>45.915922391441462</c:v>
                </c:pt>
                <c:pt idx="7">
                  <c:v>51.774360152708496</c:v>
                </c:pt>
                <c:pt idx="8">
                  <c:v>54.386240571985056</c:v>
                </c:pt>
                <c:pt idx="9">
                  <c:v>55.88682778240036</c:v>
                </c:pt>
                <c:pt idx="10">
                  <c:v>57.056396202140917</c:v>
                </c:pt>
                <c:pt idx="11">
                  <c:v>57.943675146774304</c:v>
                </c:pt>
                <c:pt idx="12">
                  <c:v>58.596204038542844</c:v>
                </c:pt>
                <c:pt idx="13">
                  <c:v>59.058893077788532</c:v>
                </c:pt>
                <c:pt idx="14">
                  <c:v>59.372974229209611</c:v>
                </c:pt>
                <c:pt idx="15">
                  <c:v>59.575266275407621</c:v>
                </c:pt>
                <c:pt idx="16">
                  <c:v>59.6976858552094</c:v>
                </c:pt>
                <c:pt idx="17">
                  <c:v>59.766944569275601</c:v>
                </c:pt>
                <c:pt idx="18">
                  <c:v>59.829542653707961</c:v>
                </c:pt>
                <c:pt idx="19">
                  <c:v>59.897926829245215</c:v>
                </c:pt>
                <c:pt idx="20">
                  <c:v>59.859681997228293</c:v>
                </c:pt>
                <c:pt idx="21">
                  <c:v>59.902503423391288</c:v>
                </c:pt>
                <c:pt idx="22">
                  <c:v>59.902789500369927</c:v>
                </c:pt>
                <c:pt idx="23">
                  <c:v>59.900790000000001</c:v>
                </c:pt>
                <c:pt idx="24">
                  <c:v>59.856300000000005</c:v>
                </c:pt>
                <c:pt idx="25">
                  <c:v>59.805060000000005</c:v>
                </c:pt>
                <c:pt idx="26">
                  <c:v>59.623453508883273</c:v>
                </c:pt>
                <c:pt idx="27">
                  <c:v>59.505050949723369</c:v>
                </c:pt>
                <c:pt idx="28">
                  <c:v>59.398725987617709</c:v>
                </c:pt>
                <c:pt idx="29">
                  <c:v>59.247389044897069</c:v>
                </c:pt>
                <c:pt idx="30">
                  <c:v>59.057584934570329</c:v>
                </c:pt>
                <c:pt idx="31">
                  <c:v>58.842870359417063</c:v>
                </c:pt>
                <c:pt idx="32">
                  <c:v>58.702799999999996</c:v>
                </c:pt>
                <c:pt idx="33">
                  <c:v>58.492227999999997</c:v>
                </c:pt>
                <c:pt idx="34">
                  <c:v>58.2981288282609</c:v>
                </c:pt>
                <c:pt idx="35">
                  <c:v>58.131544999999996</c:v>
                </c:pt>
                <c:pt idx="36">
                  <c:v>57.943290497373447</c:v>
                </c:pt>
                <c:pt idx="37">
                  <c:v>57.719611042229808</c:v>
                </c:pt>
                <c:pt idx="38">
                  <c:v>57.516455730754416</c:v>
                </c:pt>
                <c:pt idx="39">
                  <c:v>57.316617052490663</c:v>
                </c:pt>
                <c:pt idx="40">
                  <c:v>57.106740028451533</c:v>
                </c:pt>
                <c:pt idx="41">
                  <c:v>56.887597252610618</c:v>
                </c:pt>
                <c:pt idx="42">
                  <c:v>56.659933870735202</c:v>
                </c:pt>
                <c:pt idx="43">
                  <c:v>56.424467510290469</c:v>
                </c:pt>
                <c:pt idx="44">
                  <c:v>56.18188821034358</c:v>
                </c:pt>
                <c:pt idx="45">
                  <c:v>55.93285835146807</c:v>
                </c:pt>
                <c:pt idx="46">
                  <c:v>55.678012585647814</c:v>
                </c:pt>
                <c:pt idx="47">
                  <c:v>55.417957766181225</c:v>
                </c:pt>
                <c:pt idx="48">
                  <c:v>55.15327287758555</c:v>
                </c:pt>
                <c:pt idx="49">
                  <c:v>54.884508965500942</c:v>
                </c:pt>
                <c:pt idx="50">
                  <c:v>54.612189066594638</c:v>
                </c:pt>
                <c:pt idx="51">
                  <c:v>54.336808138465223</c:v>
                </c:pt>
                <c:pt idx="52">
                  <c:v>54.058832989546652</c:v>
                </c:pt>
                <c:pt idx="53">
                  <c:v>53.778702209012593</c:v>
                </c:pt>
                <c:pt idx="54">
                  <c:v>53.496826096680437</c:v>
                </c:pt>
                <c:pt idx="55">
                  <c:v>53.213586592915611</c:v>
                </c:pt>
                <c:pt idx="56">
                  <c:v>52.929337208535713</c:v>
                </c:pt>
                <c:pt idx="57">
                  <c:v>52.644402954714643</c:v>
                </c:pt>
                <c:pt idx="58">
                  <c:v>52.35908027288675</c:v>
                </c:pt>
                <c:pt idx="59">
                  <c:v>52.073636964651094</c:v>
                </c:pt>
                <c:pt idx="60">
                  <c:v>51.788312121675709</c:v>
                </c:pt>
                <c:pt idx="61">
                  <c:v>51.503316055601459</c:v>
                </c:pt>
                <c:pt idx="62">
                  <c:v>51.218830227946519</c:v>
                </c:pt>
                <c:pt idx="63">
                  <c:v>50.935007180010437</c:v>
                </c:pt>
                <c:pt idx="64">
                  <c:v>50.651970462778287</c:v>
                </c:pt>
                <c:pt idx="65">
                  <c:v>50.369814566824836</c:v>
                </c:pt>
                <c:pt idx="66">
                  <c:v>50.088604852218843</c:v>
                </c:pt>
                <c:pt idx="67">
                  <c:v>49.808377478426983</c:v>
                </c:pt>
                <c:pt idx="68">
                  <c:v>49.529139334218378</c:v>
                </c:pt>
                <c:pt idx="69">
                  <c:v>49.250867967568482</c:v>
                </c:pt>
                <c:pt idx="70">
                  <c:v>48.973511515563175</c:v>
                </c:pt>
                <c:pt idx="71">
                  <c:v>48.696988634303487</c:v>
                </c:pt>
                <c:pt idx="72">
                  <c:v>48.421188428809003</c:v>
                </c:pt>
                <c:pt idx="73">
                  <c:v>48.145970382922542</c:v>
                </c:pt>
                <c:pt idx="74">
                  <c:v>47.871164289214477</c:v>
                </c:pt>
                <c:pt idx="75">
                  <c:v>47.596570178886338</c:v>
                </c:pt>
                <c:pt idx="76">
                  <c:v>47.321958251675333</c:v>
                </c:pt>
                <c:pt idx="77">
                  <c:v>47.047068805758641</c:v>
                </c:pt>
                <c:pt idx="78">
                  <c:v>46.771612167657324</c:v>
                </c:pt>
                <c:pt idx="79">
                  <c:v>46.495268622140486</c:v>
                </c:pt>
                <c:pt idx="80">
                  <c:v>46.217688342129961</c:v>
                </c:pt>
                <c:pt idx="81">
                  <c:v>45.938491318603702</c:v>
                </c:pt>
                <c:pt idx="82">
                  <c:v>45.657267290500485</c:v>
                </c:pt>
                <c:pt idx="83">
                  <c:v>45.37357567462405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2-4AB8-B2C2-170B47D0B015}"/>
            </c:ext>
          </c:extLst>
        </c:ser>
        <c:ser>
          <c:idx val="6"/>
          <c:order val="4"/>
          <c:tx>
            <c:strRef>
              <c:f>'Graph values'!$L$4</c:f>
              <c:strCache>
                <c:ptCount val="1"/>
                <c:pt idx="0">
                  <c:v>Egg mass</c:v>
                </c:pt>
              </c:strCache>
            </c:strRef>
          </c:tx>
          <c:spPr>
            <a:ln w="19050" cap="rnd" cmpd="sng" algn="ctr">
              <a:solidFill>
                <a:schemeClr val="tx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'Production data'!$B$13:$B$97</c:f>
              <c:numCache>
                <c:formatCode>0</c:formatCode>
                <c:ptCount val="85"/>
                <c:pt idx="0">
                  <c:v>0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xVal>
          <c:yVal>
            <c:numRef>
              <c:f>'Graph values'!$L$6:$L$90</c:f>
              <c:numCache>
                <c:formatCode>0.00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62-4AB8-B2C2-170B47D0B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005808"/>
        <c:axId val="845006368"/>
      </c:scatterChart>
      <c:scatterChart>
        <c:scatterStyle val="smoothMarker"/>
        <c:varyColors val="0"/>
        <c:ser>
          <c:idx val="4"/>
          <c:order val="5"/>
          <c:tx>
            <c:strRef>
              <c:f>'Graph values'!$T$4</c:f>
              <c:strCache>
                <c:ptCount val="1"/>
                <c:pt idx="0">
                  <c:v>Cum. feed/bird /day</c:v>
                </c:pt>
              </c:strCache>
            </c:strRef>
          </c:tx>
          <c:spPr>
            <a:ln w="19050" cap="rnd" cmpd="sng" algn="ctr">
              <a:solidFill>
                <a:schemeClr val="tx1">
                  <a:lumMod val="90000"/>
                  <a:lumOff val="1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xVal>
          <c:yVal>
            <c:numRef>
              <c:f>'Graph values'!$T$6:$T$90</c:f>
              <c:numCache>
                <c:formatCode>0.00</c:formatCode>
                <c:ptCount val="85"/>
                <c:pt idx="0">
                  <c:v>#N/A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62-4AB8-B2C2-170B47D0B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006928"/>
        <c:axId val="845007488"/>
      </c:scatterChart>
      <c:scatterChart>
        <c:scatterStyle val="lineMarker"/>
        <c:varyColors val="0"/>
        <c:ser>
          <c:idx val="2"/>
          <c:order val="0"/>
          <c:tx>
            <c:strRef>
              <c:f>'Graph values'!$K$4</c:f>
              <c:strCache>
                <c:ptCount val="1"/>
                <c:pt idx="0">
                  <c:v>Cons</c:v>
                </c:pt>
              </c:strCache>
            </c:strRef>
          </c:tx>
          <c:spPr>
            <a:ln w="19050" cap="rnd" cmpd="sng" algn="ctr">
              <a:solidFill>
                <a:schemeClr val="tx1">
                  <a:lumMod val="90000"/>
                  <a:lumOff val="10000"/>
                  <a:alpha val="7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'Production data'!$B$13:$B$97</c:f>
              <c:numCache>
                <c:formatCode>0</c:formatCode>
                <c:ptCount val="85"/>
                <c:pt idx="0">
                  <c:v>0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xVal>
          <c:yVal>
            <c:numRef>
              <c:f>'Graph values'!$K$6:$K$90</c:f>
              <c:numCache>
                <c:formatCode>0.00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62-4AB8-B2C2-170B47D0B015}"/>
            </c:ext>
          </c:extLst>
        </c:ser>
        <c:ser>
          <c:idx val="3"/>
          <c:order val="2"/>
          <c:tx>
            <c:strRef>
              <c:f>'Graph values'!$Z$4</c:f>
              <c:strCache>
                <c:ptCount val="1"/>
                <c:pt idx="0">
                  <c:v>Std.</c:v>
                </c:pt>
              </c:strCache>
            </c:strRef>
          </c:tx>
          <c:spPr>
            <a:ln w="50800" cap="rnd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'Production data'!$B$13:$B$97</c:f>
              <c:numCache>
                <c:formatCode>0</c:formatCode>
                <c:ptCount val="85"/>
                <c:pt idx="0">
                  <c:v>0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xVal>
          <c:yVal>
            <c:numRef>
              <c:f>'Graph values'!$Z$6:$Z$90</c:f>
              <c:numCache>
                <c:formatCode>0.00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0.2097984</c:v>
                </c:pt>
                <c:pt idx="3">
                  <c:v>0.97702712598347086</c:v>
                </c:pt>
                <c:pt idx="4">
                  <c:v>3.1470821218590266</c:v>
                </c:pt>
                <c:pt idx="5">
                  <c:v>6.577407284934222</c:v>
                </c:pt>
                <c:pt idx="6">
                  <c:v>11.23185777791292</c:v>
                </c:pt>
                <c:pt idx="7">
                  <c:v>16.952518071716597</c:v>
                </c:pt>
                <c:pt idx="8">
                  <c:v>23.232619632323008</c:v>
                </c:pt>
                <c:pt idx="9">
                  <c:v>29.690525323437512</c:v>
                </c:pt>
                <c:pt idx="10">
                  <c:v>36.215565407743966</c:v>
                </c:pt>
                <c:pt idx="11">
                  <c:v>42.7889479399038</c:v>
                </c:pt>
                <c:pt idx="12">
                  <c:v>49.394708810242207</c:v>
                </c:pt>
                <c:pt idx="13">
                  <c:v>56.019485282751312</c:v>
                </c:pt>
                <c:pt idx="14">
                  <c:v>62.652290580508378</c:v>
                </c:pt>
                <c:pt idx="15">
                  <c:v>69.284289518509183</c:v>
                </c:pt>
                <c:pt idx="16">
                  <c:v>75.908575183916497</c:v>
                </c:pt>
                <c:pt idx="17">
                  <c:v>82.519946663723687</c:v>
                </c:pt>
                <c:pt idx="18">
                  <c:v>89.114687819833506</c:v>
                </c:pt>
                <c:pt idx="19">
                  <c:v>95.693113771833495</c:v>
                </c:pt>
                <c:pt idx="20">
                  <c:v>102.2561793718335</c:v>
                </c:pt>
                <c:pt idx="21">
                  <c:v>108.7922305718335</c:v>
                </c:pt>
                <c:pt idx="22">
                  <c:v>115.31022423583349</c:v>
                </c:pt>
                <c:pt idx="23">
                  <c:v>121.80607191583348</c:v>
                </c:pt>
                <c:pt idx="24">
                  <c:v>128.28391178783349</c:v>
                </c:pt>
                <c:pt idx="25">
                  <c:v>134.74650218783347</c:v>
                </c:pt>
                <c:pt idx="26">
                  <c:v>141.18907818783347</c:v>
                </c:pt>
                <c:pt idx="27">
                  <c:v>147.60374976357608</c:v>
                </c:pt>
                <c:pt idx="28">
                  <c:v>153.99837167380059</c:v>
                </c:pt>
                <c:pt idx="29">
                  <c:v>160.37125902033537</c:v>
                </c:pt>
                <c:pt idx="30">
                  <c:v>166.71963867924279</c:v>
                </c:pt>
                <c:pt idx="31">
                  <c:v>173.03944169229462</c:v>
                </c:pt>
                <c:pt idx="32">
                  <c:v>179.32509670586248</c:v>
                </c:pt>
                <c:pt idx="33">
                  <c:v>185.58761478586246</c:v>
                </c:pt>
                <c:pt idx="34">
                  <c:v>191.81952864186246</c:v>
                </c:pt>
                <c:pt idx="35">
                  <c:v>198.02265474687729</c:v>
                </c:pt>
                <c:pt idx="36">
                  <c:v>204.20094658687728</c:v>
                </c:pt>
                <c:pt idx="37">
                  <c:v>210.35214659700119</c:v>
                </c:pt>
                <c:pt idx="38">
                  <c:v>216.47543184536806</c:v>
                </c:pt>
                <c:pt idx="39">
                  <c:v>222.5696308044341</c:v>
                </c:pt>
                <c:pt idx="40">
                  <c:v>228.63366486787524</c:v>
                </c:pt>
                <c:pt idx="41">
                  <c:v>234.66654493668034</c:v>
                </c:pt>
                <c:pt idx="42">
                  <c:v>240.6673680205073</c:v>
                </c:pt>
                <c:pt idx="43">
                  <c:v>246.63531385430221</c:v>
                </c:pt>
                <c:pt idx="44">
                  <c:v>252.56964153018174</c:v>
                </c:pt>
                <c:pt idx="45">
                  <c:v>258.46968614457836</c:v>
                </c:pt>
                <c:pt idx="46">
                  <c:v>264.33485546064873</c:v>
                </c:pt>
                <c:pt idx="47">
                  <c:v>270.16462658594509</c:v>
                </c:pt>
                <c:pt idx="48">
                  <c:v>275.95854266534974</c:v>
                </c:pt>
                <c:pt idx="49">
                  <c:v>281.71620958927264</c:v>
                </c:pt>
                <c:pt idx="50">
                  <c:v>287.43729271711175</c:v>
                </c:pt>
                <c:pt idx="51">
                  <c:v>293.12151361597688</c:v>
                </c:pt>
                <c:pt idx="52">
                  <c:v>298.76864681467623</c:v>
                </c:pt>
                <c:pt idx="53">
                  <c:v>304.37851657296608</c:v>
                </c:pt>
                <c:pt idx="54">
                  <c:v>309.95099366606371</c:v>
                </c:pt>
                <c:pt idx="55">
                  <c:v>315.48599218442297</c:v>
                </c:pt>
                <c:pt idx="56">
                  <c:v>320.98346634877339</c:v>
                </c:pt>
                <c:pt idx="57">
                  <c:v>326.44340734042186</c:v>
                </c:pt>
                <c:pt idx="58">
                  <c:v>331.86584014681785</c:v>
                </c:pt>
                <c:pt idx="59">
                  <c:v>337.2508204223812</c:v>
                </c:pt>
                <c:pt idx="60">
                  <c:v>342.59843136459324</c:v>
                </c:pt>
                <c:pt idx="61">
                  <c:v>347.90878060535101</c:v>
                </c:pt>
                <c:pt idx="62">
                  <c:v>353.18199711758427</c:v>
                </c:pt>
                <c:pt idx="63">
                  <c:v>358.41822813713588</c:v>
                </c:pt>
                <c:pt idx="64">
                  <c:v>363.61763609990487</c:v>
                </c:pt>
                <c:pt idx="65">
                  <c:v>368.78039559425298</c:v>
                </c:pt>
                <c:pt idx="66">
                  <c:v>373.90669032867379</c:v>
                </c:pt>
                <c:pt idx="67">
                  <c:v>378.99671011472526</c:v>
                </c:pt>
                <c:pt idx="68">
                  <c:v>384.05064786522519</c:v>
                </c:pt>
                <c:pt idx="69">
                  <c:v>389.0686966077098</c:v>
                </c:pt>
                <c:pt idx="70">
                  <c:v>394.05104651315509</c:v>
                </c:pt>
                <c:pt idx="71">
                  <c:v>398.99788193996164</c:v>
                </c:pt>
                <c:pt idx="72">
                  <c:v>403.90937849320227</c:v>
                </c:pt>
                <c:pt idx="73">
                  <c:v>408.78570009913255</c:v>
                </c:pt>
                <c:pt idx="74">
                  <c:v>413.62699609496485</c:v>
                </c:pt>
                <c:pt idx="75">
                  <c:v>418.43339833390496</c:v>
                </c:pt>
                <c:pt idx="76">
                  <c:v>423.20501830545209</c:v>
                </c:pt>
                <c:pt idx="77">
                  <c:v>427.94194427096153</c:v>
                </c:pt>
                <c:pt idx="78">
                  <c:v>432.64423841447098</c:v>
                </c:pt>
                <c:pt idx="79">
                  <c:v>437.31193400878925</c:v>
                </c:pt>
                <c:pt idx="80">
                  <c:v>441.94503259684853</c:v>
                </c:pt>
                <c:pt idx="81">
                  <c:v>446.54350118831934</c:v>
                </c:pt>
                <c:pt idx="82">
                  <c:v>451.10726947148885</c:v>
                </c:pt>
                <c:pt idx="83">
                  <c:v>455.63622704040199</c:v>
                </c:pt>
                <c:pt idx="84">
                  <c:v>460.13022063726578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62-4AB8-B2C2-170B47D0B015}"/>
            </c:ext>
          </c:extLst>
        </c:ser>
        <c:ser>
          <c:idx val="0"/>
          <c:order val="3"/>
          <c:tx>
            <c:strRef>
              <c:f>'Graph values'!$Y$4</c:f>
              <c:strCache>
                <c:ptCount val="1"/>
                <c:pt idx="0">
                  <c:v>Cumulative egg number</c:v>
                </c:pt>
              </c:strCache>
            </c:strRef>
          </c:tx>
          <c:spPr>
            <a:ln w="19050" cap="rnd" cmpd="sng" algn="ctr">
              <a:solidFill>
                <a:schemeClr val="tx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'Production data'!$B$13:$B$97</c:f>
              <c:numCache>
                <c:formatCode>0</c:formatCode>
                <c:ptCount val="85"/>
                <c:pt idx="0">
                  <c:v>0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xVal>
          <c:yVal>
            <c:numRef>
              <c:f>'Graph values'!$Y$6:$Y$90</c:f>
              <c:numCache>
                <c:formatCode>0.00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62-4AB8-B2C2-170B47D0B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006928"/>
        <c:axId val="845007488"/>
      </c:scatterChart>
      <c:valAx>
        <c:axId val="845005808"/>
        <c:scaling>
          <c:orientation val="minMax"/>
          <c:max val="90"/>
          <c:min val="16"/>
        </c:scaling>
        <c:delete val="0"/>
        <c:axPos val="b"/>
        <c:majorGridlines>
          <c:spPr>
            <a:ln w="6350" cap="flat" cmpd="sng" algn="ctr">
              <a:solidFill>
                <a:srgbClr val="FFFFFF">
                  <a:lumMod val="65000"/>
                  <a:alpha val="40000"/>
                </a:srgbClr>
              </a:solidFill>
              <a:prstDash val="solid"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tx2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006368"/>
        <c:crosses val="autoZero"/>
        <c:crossBetween val="midCat"/>
        <c:majorUnit val="2"/>
        <c:minorUnit val="2"/>
      </c:valAx>
      <c:valAx>
        <c:axId val="845006368"/>
        <c:scaling>
          <c:orientation val="minMax"/>
          <c:max val="70"/>
          <c:min val="20"/>
        </c:scaling>
        <c:delete val="0"/>
        <c:axPos val="l"/>
        <c:majorGridlines>
          <c:spPr>
            <a:ln w="6350" cap="flat" cmpd="sng" algn="ctr">
              <a:solidFill>
                <a:srgbClr val="FFFFFF">
                  <a:lumMod val="65000"/>
                  <a:alpha val="40000"/>
                </a:srgbClr>
              </a:solidFill>
              <a:prstDash val="solid"/>
              <a:round/>
            </a:ln>
            <a:effectLst/>
          </c:spPr>
        </c:majorGridlines>
        <c:minorGridlines>
          <c:spPr>
            <a:ln w="6350" cap="flat" cmpd="sng" algn="ctr">
              <a:solidFill>
                <a:srgbClr val="FFFFFF">
                  <a:lumMod val="75000"/>
                  <a:alpha val="20000"/>
                </a:srgbClr>
              </a:solidFill>
              <a:prstDash val="solid"/>
              <a:round/>
            </a:ln>
            <a:effectLst/>
          </c:spPr>
        </c:min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005808"/>
        <c:crosses val="autoZero"/>
        <c:crossBetween val="midCat"/>
        <c:majorUnit val="5"/>
        <c:minorUnit val="1"/>
      </c:valAx>
      <c:valAx>
        <c:axId val="845006928"/>
        <c:scaling>
          <c:orientation val="minMax"/>
          <c:max val="90"/>
          <c:min val="16"/>
        </c:scaling>
        <c:delete val="0"/>
        <c:axPos val="t"/>
        <c:numFmt formatCode="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tx2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007488"/>
        <c:crosses val="max"/>
        <c:crossBetween val="midCat"/>
        <c:majorUnit val="2"/>
      </c:valAx>
      <c:valAx>
        <c:axId val="845007488"/>
        <c:scaling>
          <c:orientation val="minMax"/>
          <c:max val="5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006928"/>
        <c:crosses val="max"/>
        <c:crossBetween val="midCat"/>
        <c:majorUnit val="25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>
          <a:latin typeface="+mn-lt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62857989898275"/>
          <c:y val="0.18155070784920277"/>
          <c:w val="0.70607455801752095"/>
          <c:h val="0.687024122564437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'Graph values'!$V$4</c:f>
              <c:strCache>
                <c:ptCount val="1"/>
                <c:pt idx="0">
                  <c:v>Cum. FCR</c:v>
                </c:pt>
              </c:strCache>
            </c:strRef>
          </c:tx>
          <c:spPr>
            <a:ln w="19050" cap="rnd" cmpd="sng" algn="ctr">
              <a:solidFill>
                <a:schemeClr val="tx1">
                  <a:lumMod val="90000"/>
                  <a:lumOff val="1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xVal>
          <c:yVal>
            <c:numRef>
              <c:f>'Graph values'!$V$6:$V$90</c:f>
              <c:numCache>
                <c:formatCode>0.00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2D-48E8-AE3C-AA175721337E}"/>
            </c:ext>
          </c:extLst>
        </c:ser>
        <c:ser>
          <c:idx val="1"/>
          <c:order val="1"/>
          <c:tx>
            <c:strRef>
              <c:f>'Graph values'!$U$4</c:f>
              <c:strCache>
                <c:ptCount val="1"/>
                <c:pt idx="0">
                  <c:v>Wk FCR</c:v>
                </c:pt>
              </c:strCache>
            </c:strRef>
          </c:tx>
          <c:spPr>
            <a:ln w="19050" cap="rnd" cmpd="sng" algn="ctr">
              <a:solidFill>
                <a:schemeClr val="tx1">
                  <a:lumMod val="90000"/>
                  <a:lumOff val="1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xVal>
          <c:yVal>
            <c:numRef>
              <c:f>'Graph values'!$U$6:$U$90</c:f>
              <c:numCache>
                <c:formatCode>0.00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2D-48E8-AE3C-AA1757213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876320"/>
        <c:axId val="1244876880"/>
      </c:scatterChart>
      <c:scatterChart>
        <c:scatterStyle val="smoothMarker"/>
        <c:varyColors val="0"/>
        <c:ser>
          <c:idx val="2"/>
          <c:order val="2"/>
          <c:tx>
            <c:strRef>
              <c:f>'Graph values'!$X$4</c:f>
              <c:strCache>
                <c:ptCount val="1"/>
                <c:pt idx="0">
                  <c:v>Cum FCR/egg</c:v>
                </c:pt>
              </c:strCache>
            </c:strRef>
          </c:tx>
          <c:spPr>
            <a:ln w="19050" cap="rnd" cmpd="sng" algn="ctr">
              <a:solidFill>
                <a:schemeClr val="tx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xVal>
          <c:yVal>
            <c:numRef>
              <c:f>'Graph values'!$X$6:$X$90</c:f>
              <c:numCache>
                <c:formatCode>0.00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2D-48E8-AE3C-AA175721337E}"/>
            </c:ext>
          </c:extLst>
        </c:ser>
        <c:ser>
          <c:idx val="3"/>
          <c:order val="3"/>
          <c:tx>
            <c:strRef>
              <c:f>'Graph values'!$W$4</c:f>
              <c:strCache>
                <c:ptCount val="1"/>
                <c:pt idx="0">
                  <c:v>Wk FCR/egg</c:v>
                </c:pt>
              </c:strCache>
            </c:strRef>
          </c:tx>
          <c:spPr>
            <a:ln w="19050" cap="rnd" cmpd="sng" algn="ctr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xVal>
          <c:yVal>
            <c:numRef>
              <c:f>'Graph values'!$W$6:$W$90</c:f>
              <c:numCache>
                <c:formatCode>0.00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2D-48E8-AE3C-AA1757213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877440"/>
        <c:axId val="1244878000"/>
      </c:scatterChart>
      <c:valAx>
        <c:axId val="1244876320"/>
        <c:scaling>
          <c:orientation val="minMax"/>
          <c:max val="90"/>
          <c:min val="16"/>
        </c:scaling>
        <c:delete val="0"/>
        <c:axPos val="b"/>
        <c:majorGridlines>
          <c:spPr>
            <a:ln w="9525" cap="flat" cmpd="sng" algn="ctr">
              <a:solidFill>
                <a:srgbClr val="FFFFFF">
                  <a:lumMod val="65000"/>
                  <a:alpha val="40000"/>
                </a:srgbClr>
              </a:solidFill>
              <a:prstDash val="solid"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tx2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876880"/>
        <c:crosses val="autoZero"/>
        <c:crossBetween val="midCat"/>
        <c:majorUnit val="2"/>
      </c:valAx>
      <c:valAx>
        <c:axId val="1244876880"/>
        <c:scaling>
          <c:orientation val="minMax"/>
          <c:max val="6"/>
          <c:min val="1.5"/>
        </c:scaling>
        <c:delete val="0"/>
        <c:axPos val="l"/>
        <c:majorGridlines>
          <c:spPr>
            <a:ln w="6350" cap="flat" cmpd="sng" algn="ctr">
              <a:solidFill>
                <a:srgbClr val="FFFFFF">
                  <a:lumMod val="65000"/>
                  <a:alpha val="40000"/>
                </a:srgbClr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876320"/>
        <c:crosses val="autoZero"/>
        <c:crossBetween val="midCat"/>
        <c:majorUnit val="0.25"/>
      </c:valAx>
      <c:valAx>
        <c:axId val="1244877440"/>
        <c:scaling>
          <c:orientation val="minMax"/>
          <c:max val="90"/>
          <c:min val="16"/>
        </c:scaling>
        <c:delete val="0"/>
        <c:axPos val="t"/>
        <c:numFmt formatCode="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tx2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878000"/>
        <c:crosses val="max"/>
        <c:crossBetween val="midCat"/>
        <c:majorUnit val="2"/>
      </c:valAx>
      <c:valAx>
        <c:axId val="1244878000"/>
        <c:scaling>
          <c:orientation val="minMax"/>
          <c:max val="150"/>
          <c:min val="105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877440"/>
        <c:crosses val="max"/>
        <c:crossBetween val="midCat"/>
        <c:majorUnit val="2.5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chemeClr val="tx1"/>
          </a:solidFill>
          <a:latin typeface="Calibri"/>
          <a:ea typeface="Calibri"/>
          <a:cs typeface="Calibri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62857920277891"/>
          <c:y val="0.19828530386964774"/>
          <c:w val="0.70607455801752095"/>
          <c:h val="0.687024122564437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'Production data'!$W$10</c:f>
              <c:strCache>
                <c:ptCount val="1"/>
                <c:pt idx="0">
                  <c:v>Weekly</c:v>
                </c:pt>
              </c:strCache>
            </c:strRef>
          </c:tx>
          <c:spPr>
            <a:ln w="15875" cap="rnd" cmpd="sng" algn="ctr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xVal>
          <c:yVal>
            <c:numRef>
              <c:f>'Graph values'!$R$6:$R$90</c:f>
              <c:numCache>
                <c:formatCode>0.00</c:formatCode>
                <c:ptCount val="85"/>
                <c:pt idx="0">
                  <c:v>#N/A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10-425F-848A-F2DDF8012288}"/>
            </c:ext>
          </c:extLst>
        </c:ser>
        <c:ser>
          <c:idx val="2"/>
          <c:order val="1"/>
          <c:tx>
            <c:strRef>
              <c:f>'Production data'!$X$10</c:f>
              <c:strCache>
                <c:ptCount val="1"/>
                <c:pt idx="0">
                  <c:v>Cum.</c:v>
                </c:pt>
              </c:strCache>
            </c:strRef>
          </c:tx>
          <c:spPr>
            <a:ln w="15875" cap="rnd" cmpd="sng" algn="ctr">
              <a:solidFill>
                <a:schemeClr val="tx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xVal>
          <c:yVal>
            <c:numRef>
              <c:f>'Graph values'!$O$6:$O$90</c:f>
              <c:numCache>
                <c:formatCode>0.00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10-425F-848A-F2DDF8012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036656"/>
        <c:axId val="1237037216"/>
      </c:scatterChart>
      <c:scatterChart>
        <c:scatterStyle val="smoothMarker"/>
        <c:varyColors val="0"/>
        <c:ser>
          <c:idx val="1"/>
          <c:order val="2"/>
          <c:tx>
            <c:strRef>
              <c:f>'Graph values'!$P$4</c:f>
              <c:strCache>
                <c:ptCount val="1"/>
                <c:pt idx="0">
                  <c:v>Seconds farm</c:v>
                </c:pt>
              </c:strCache>
            </c:strRef>
          </c:tx>
          <c:spPr>
            <a:ln w="15875" cap="rnd" cmpd="sng" algn="ctr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xVal>
          <c:yVal>
            <c:numRef>
              <c:f>'Graph values'!$P$6:$P$90</c:f>
              <c:numCache>
                <c:formatCode>0.00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10-425F-848A-F2DDF8012288}"/>
            </c:ext>
          </c:extLst>
        </c:ser>
        <c:ser>
          <c:idx val="3"/>
          <c:order val="3"/>
          <c:tx>
            <c:strRef>
              <c:f>'Graph values'!$Q$4</c:f>
              <c:strCache>
                <c:ptCount val="1"/>
                <c:pt idx="0">
                  <c:v>Packing station</c:v>
                </c:pt>
              </c:strCache>
            </c:strRef>
          </c:tx>
          <c:spPr>
            <a:ln w="15875" cap="rnd" cmpd="sng" algn="ctr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xVal>
          <c:yVal>
            <c:numRef>
              <c:f>'Graph values'!$Q$6:$Q$90</c:f>
              <c:numCache>
                <c:formatCode>0.00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10-425F-848A-F2DDF8012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037776"/>
        <c:axId val="1237038336"/>
      </c:scatterChart>
      <c:valAx>
        <c:axId val="1237036656"/>
        <c:scaling>
          <c:orientation val="minMax"/>
          <c:max val="90"/>
          <c:min val="16"/>
        </c:scaling>
        <c:delete val="0"/>
        <c:axPos val="b"/>
        <c:majorGridlines>
          <c:spPr>
            <a:ln w="9525" cap="flat" cmpd="sng" algn="ctr">
              <a:solidFill>
                <a:srgbClr val="FFFFFF">
                  <a:lumMod val="65000"/>
                  <a:alpha val="40000"/>
                </a:srgbClr>
              </a:solidFill>
              <a:prstDash val="solid"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tx2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037216"/>
        <c:crosses val="autoZero"/>
        <c:crossBetween val="midCat"/>
        <c:majorUnit val="2"/>
      </c:valAx>
      <c:valAx>
        <c:axId val="1237037216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rgbClr val="FFFFFF">
                  <a:lumMod val="65000"/>
                  <a:alpha val="40000"/>
                </a:srgb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FFFFF">
                  <a:lumMod val="65000"/>
                  <a:alpha val="20000"/>
                </a:srgbClr>
              </a:solidFill>
              <a:prstDash val="solid"/>
              <a:round/>
            </a:ln>
            <a:effectLst/>
          </c:spPr>
        </c:minorGridlines>
        <c:numFmt formatCode="0.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036656"/>
        <c:crosses val="autoZero"/>
        <c:crossBetween val="midCat"/>
        <c:majorUnit val="2"/>
        <c:minorUnit val="1"/>
      </c:valAx>
      <c:valAx>
        <c:axId val="1237037776"/>
        <c:scaling>
          <c:orientation val="minMax"/>
          <c:max val="90"/>
          <c:min val="16"/>
        </c:scaling>
        <c:delete val="0"/>
        <c:axPos val="t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tx2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038336"/>
        <c:crosses val="max"/>
        <c:crossBetween val="midCat"/>
        <c:majorUnit val="2"/>
      </c:valAx>
      <c:valAx>
        <c:axId val="1237038336"/>
        <c:scaling>
          <c:orientation val="minMax"/>
          <c:max val="20"/>
          <c:min val="0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037776"/>
        <c:crosses val="max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chemeClr val="tx1"/>
          </a:solidFill>
          <a:latin typeface="Calibri"/>
          <a:ea typeface="Calibri"/>
          <a:cs typeface="Calibri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Language!$B$339</c:f>
          <c:strCache>
            <c:ptCount val="1"/>
            <c:pt idx="0">
              <c:v>Percentage egg grading</c:v>
            </c:pt>
          </c:strCache>
        </c:strRef>
      </c:tx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385907530789418E-2"/>
          <c:y val="0.13457217847769029"/>
          <c:w val="0.83753027794602597"/>
          <c:h val="0.77512009424018846"/>
        </c:manualLayout>
      </c:layout>
      <c:areaChart>
        <c:grouping val="percentStacked"/>
        <c:varyColors val="0"/>
        <c:ser>
          <c:idx val="0"/>
          <c:order val="0"/>
          <c:tx>
            <c:strRef>
              <c:f>'Egg grading'!$D$7:$D$11</c:f>
              <c:strCache>
                <c:ptCount val="5"/>
                <c:pt idx="0">
                  <c:v>S</c:v>
                </c:pt>
                <c:pt idx="2">
                  <c:v> &lt; 53 g</c:v>
                </c:pt>
              </c:strCache>
            </c:strRef>
          </c:tx>
          <c:spPr>
            <a:solidFill>
              <a:schemeClr val="tx1">
                <a:alpha val="70000"/>
              </a:schemeClr>
            </a:solidFill>
            <a:ln>
              <a:solidFill>
                <a:schemeClr val="bg1"/>
              </a:solidFill>
            </a:ln>
            <a:effectLst/>
          </c:spPr>
          <c:cat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cat>
          <c:val>
            <c:numRef>
              <c:f>'Egg grading'!$D$10:$D$94</c:f>
              <c:numCache>
                <c:formatCode>0.0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99.900287030759131</c:v>
                </c:pt>
                <c:pt idx="3">
                  <c:v>96.787756598833155</c:v>
                </c:pt>
                <c:pt idx="4">
                  <c:v>82.743538088280829</c:v>
                </c:pt>
                <c:pt idx="5">
                  <c:v>60.516457382660782</c:v>
                </c:pt>
                <c:pt idx="6">
                  <c:v>40.245930495215319</c:v>
                </c:pt>
                <c:pt idx="7">
                  <c:v>26.103985707229427</c:v>
                </c:pt>
                <c:pt idx="8">
                  <c:v>17.299679432456184</c:v>
                </c:pt>
                <c:pt idx="9">
                  <c:v>12.000020807210031</c:v>
                </c:pt>
                <c:pt idx="10">
                  <c:v>8.7913792700327509</c:v>
                </c:pt>
                <c:pt idx="11">
                  <c:v>6.8027042414108285</c:v>
                </c:pt>
                <c:pt idx="12">
                  <c:v>5.5326701104323694</c:v>
                </c:pt>
                <c:pt idx="13">
                  <c:v>4.6951951644126684</c:v>
                </c:pt>
                <c:pt idx="14">
                  <c:v>4.1238549972361422</c:v>
                </c:pt>
                <c:pt idx="15">
                  <c:v>3.718633524756898</c:v>
                </c:pt>
                <c:pt idx="16">
                  <c:v>3.4172116013695408</c:v>
                </c:pt>
                <c:pt idx="17">
                  <c:v>3.1795953644276786</c:v>
                </c:pt>
                <c:pt idx="18">
                  <c:v>2.9798678588865202</c:v>
                </c:pt>
                <c:pt idx="19">
                  <c:v>2.8017031517032276</c:v>
                </c:pt>
                <c:pt idx="20">
                  <c:v>2.6358082281095929</c:v>
                </c:pt>
                <c:pt idx="21">
                  <c:v>2.4782865577077096</c:v>
                </c:pt>
                <c:pt idx="22">
                  <c:v>2.3294032504233564</c:v>
                </c:pt>
                <c:pt idx="23">
                  <c:v>2.1925447129296782</c:v>
                </c:pt>
                <c:pt idx="24">
                  <c:v>2.0977549880597302</c:v>
                </c:pt>
                <c:pt idx="25">
                  <c:v>2.064656070400428</c:v>
                </c:pt>
                <c:pt idx="26">
                  <c:v>1.9999050217670011</c:v>
                </c:pt>
                <c:pt idx="27">
                  <c:v>1.9840141259176325</c:v>
                </c:pt>
                <c:pt idx="28">
                  <c:v>1.9761126770585613</c:v>
                </c:pt>
                <c:pt idx="29">
                  <c:v>1.9447979779936619</c:v>
                </c:pt>
                <c:pt idx="30">
                  <c:v>1.9293139555529915</c:v>
                </c:pt>
                <c:pt idx="31">
                  <c:v>1.9139444764760594</c:v>
                </c:pt>
                <c:pt idx="32">
                  <c:v>1.8760169861286813</c:v>
                </c:pt>
                <c:pt idx="33">
                  <c:v>1.8610425189886315</c:v>
                </c:pt>
                <c:pt idx="34">
                  <c:v>1.8461792455787385</c:v>
                </c:pt>
                <c:pt idx="35">
                  <c:v>1.8314264321673934</c:v>
                </c:pt>
                <c:pt idx="36">
                  <c:v>1.824091219722046</c:v>
                </c:pt>
                <c:pt idx="37">
                  <c:v>1.8167833488693663</c:v>
                </c:pt>
                <c:pt idx="38">
                  <c:v>1.8314264321673934</c:v>
                </c:pt>
                <c:pt idx="39">
                  <c:v>1.8202476240807841</c:v>
                </c:pt>
                <c:pt idx="40">
                  <c:v>1.7978259744697356</c:v>
                </c:pt>
                <c:pt idx="41">
                  <c:v>1.7756616332163855</c:v>
                </c:pt>
                <c:pt idx="42">
                  <c:v>1.7537519687987779</c:v>
                </c:pt>
                <c:pt idx="43">
                  <c:v>1.7320943712414549</c:v>
                </c:pt>
                <c:pt idx="44">
                  <c:v>1.7106862520295141</c:v>
                </c:pt>
                <c:pt idx="45">
                  <c:v>1.6895250440213005</c:v>
                </c:pt>
                <c:pt idx="46">
                  <c:v>1.6686082013596892</c:v>
                </c:pt>
                <c:pt idx="47">
                  <c:v>1.6479331993822122</c:v>
                </c:pt>
                <c:pt idx="48">
                  <c:v>1.6274975345299536</c:v>
                </c:pt>
                <c:pt idx="49">
                  <c:v>1.6072987242550796</c:v>
                </c:pt>
                <c:pt idx="50">
                  <c:v>1.5873343069273682</c:v>
                </c:pt>
                <c:pt idx="51">
                  <c:v>1.5676018417396187</c:v>
                </c:pt>
                <c:pt idx="52">
                  <c:v>1.5480989086118391</c:v>
                </c:pt>
                <c:pt idx="53">
                  <c:v>1.5288231080945236</c:v>
                </c:pt>
                <c:pt idx="54">
                  <c:v>1.5097720612708421</c:v>
                </c:pt>
                <c:pt idx="55">
                  <c:v>1.4909434096578522</c:v>
                </c:pt>
                <c:pt idx="56">
                  <c:v>1.4723348151068016</c:v>
                </c:pt>
                <c:pt idx="57">
                  <c:v>1.453943959702475</c:v>
                </c:pt>
                <c:pt idx="58">
                  <c:v>1.4357685456617086</c:v>
                </c:pt>
                <c:pt idx="59">
                  <c:v>1.4178062952310055</c:v>
                </c:pt>
                <c:pt idx="60">
                  <c:v>1.4000549505833959</c:v>
                </c:pt>
                <c:pt idx="61">
                  <c:v>1.3825122737144868</c:v>
                </c:pt>
                <c:pt idx="62">
                  <c:v>1.3651760463377793</c:v>
                </c:pt>
                <c:pt idx="63">
                  <c:v>1.3480440697792195</c:v>
                </c:pt>
                <c:pt idx="64">
                  <c:v>1.33111416487115</c:v>
                </c:pt>
                <c:pt idx="65">
                  <c:v>1.3143841718455396</c:v>
                </c:pt>
                <c:pt idx="66">
                  <c:v>1.2978519502266028</c:v>
                </c:pt>
                <c:pt idx="67">
                  <c:v>1.2815153787227973</c:v>
                </c:pt>
                <c:pt idx="68">
                  <c:v>1.2653723551183771</c:v>
                </c:pt>
                <c:pt idx="69">
                  <c:v>1.2494207961641801</c:v>
                </c:pt>
                <c:pt idx="70">
                  <c:v>1.233658637468138</c:v>
                </c:pt>
                <c:pt idx="71">
                  <c:v>1.2180838333851529</c:v>
                </c:pt>
                <c:pt idx="72">
                  <c:v>1.2026943569065418</c:v>
                </c:pt>
                <c:pt idx="73">
                  <c:v>1.1874881995491249</c:v>
                </c:pt>
                <c:pt idx="74">
                  <c:v>1.1724633712438148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E-4408-BE83-2DE791033B10}"/>
            </c:ext>
          </c:extLst>
        </c:ser>
        <c:ser>
          <c:idx val="1"/>
          <c:order val="1"/>
          <c:tx>
            <c:strRef>
              <c:f>'Egg grading'!$E$7:$E$11</c:f>
              <c:strCache>
                <c:ptCount val="5"/>
                <c:pt idx="0">
                  <c:v>M</c:v>
                </c:pt>
                <c:pt idx="2">
                  <c:v>53 - 63 g</c:v>
                </c:pt>
              </c:strCache>
            </c:strRef>
          </c:tx>
          <c:spPr>
            <a:solidFill>
              <a:schemeClr val="bg2">
                <a:lumMod val="60000"/>
                <a:lumOff val="40000"/>
                <a:alpha val="70000"/>
              </a:schemeClr>
            </a:solidFill>
            <a:ln>
              <a:solidFill>
                <a:schemeClr val="bg1"/>
              </a:solidFill>
            </a:ln>
            <a:effectLst/>
          </c:spPr>
          <c:cat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cat>
          <c:val>
            <c:numRef>
              <c:f>'Egg grading'!$E$10:$E$94</c:f>
              <c:numCache>
                <c:formatCode>0.0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9.9712888669569136E-2</c:v>
                </c:pt>
                <c:pt idx="3">
                  <c:v>3.2119853258869049</c:v>
                </c:pt>
                <c:pt idx="4">
                  <c:v>17.231456439284013</c:v>
                </c:pt>
                <c:pt idx="5">
                  <c:v>39.110516193165118</c:v>
                </c:pt>
                <c:pt idx="6">
                  <c:v>57.807459335535839</c:v>
                </c:pt>
                <c:pt idx="7">
                  <c:v>68.389034503168347</c:v>
                </c:pt>
                <c:pt idx="8">
                  <c:v>71.919939147274533</c:v>
                </c:pt>
                <c:pt idx="9">
                  <c:v>71.192711155188078</c:v>
                </c:pt>
                <c:pt idx="10">
                  <c:v>68.526566716474179</c:v>
                </c:pt>
                <c:pt idx="11">
                  <c:v>65.323303926329103</c:v>
                </c:pt>
                <c:pt idx="12">
                  <c:v>62.271666906647361</c:v>
                </c:pt>
                <c:pt idx="13">
                  <c:v>59.63388849171313</c:v>
                </c:pt>
                <c:pt idx="14">
                  <c:v>57.452005904040625</c:v>
                </c:pt>
                <c:pt idx="15">
                  <c:v>55.668449884518182</c:v>
                </c:pt>
                <c:pt idx="16">
                  <c:v>54.189754520031165</c:v>
                </c:pt>
                <c:pt idx="17">
                  <c:v>52.918415567779888</c:v>
                </c:pt>
                <c:pt idx="18">
                  <c:v>51.768381342139037</c:v>
                </c:pt>
                <c:pt idx="19">
                  <c:v>50.672557425977601</c:v>
                </c:pt>
                <c:pt idx="20">
                  <c:v>49.586548377927173</c:v>
                </c:pt>
                <c:pt idx="21">
                  <c:v>48.49063787375519</c:v>
                </c:pt>
                <c:pt idx="22">
                  <c:v>47.390856427141671</c:v>
                </c:pt>
                <c:pt idx="23">
                  <c:v>46.319416325077178</c:v>
                </c:pt>
                <c:pt idx="24">
                  <c:v>45.540224574117175</c:v>
                </c:pt>
                <c:pt idx="25">
                  <c:v>45.260520265044924</c:v>
                </c:pt>
                <c:pt idx="26">
                  <c:v>44.701360664275199</c:v>
                </c:pt>
                <c:pt idx="27">
                  <c:v>44.561640064745752</c:v>
                </c:pt>
                <c:pt idx="28">
                  <c:v>44.491792194270431</c:v>
                </c:pt>
                <c:pt idx="29">
                  <c:v>44.212492122461136</c:v>
                </c:pt>
                <c:pt idx="30">
                  <c:v>44.072902031894259</c:v>
                </c:pt>
                <c:pt idx="31">
                  <c:v>43.933355767399732</c:v>
                </c:pt>
                <c:pt idx="32">
                  <c:v>43.584700694189905</c:v>
                </c:pt>
                <c:pt idx="33">
                  <c:v>43.445330384639966</c:v>
                </c:pt>
                <c:pt idx="34">
                  <c:v>43.306016731639865</c:v>
                </c:pt>
                <c:pt idx="35">
                  <c:v>43.166762544219687</c:v>
                </c:pt>
                <c:pt idx="36">
                  <c:v>43.097158623702214</c:v>
                </c:pt>
                <c:pt idx="37">
                  <c:v>43.027570615965246</c:v>
                </c:pt>
                <c:pt idx="38">
                  <c:v>43.166762544219687</c:v>
                </c:pt>
                <c:pt idx="39">
                  <c:v>43.060589010598115</c:v>
                </c:pt>
                <c:pt idx="40">
                  <c:v>42.84590802823115</c:v>
                </c:pt>
                <c:pt idx="41">
                  <c:v>42.631390485038402</c:v>
                </c:pt>
                <c:pt idx="42">
                  <c:v>42.41704644101042</c:v>
                </c:pt>
                <c:pt idx="43">
                  <c:v>42.202885867375407</c:v>
                </c:pt>
                <c:pt idx="44">
                  <c:v>41.988918646250347</c:v>
                </c:pt>
                <c:pt idx="45">
                  <c:v>41.775154570306618</c:v>
                </c:pt>
                <c:pt idx="46">
                  <c:v>41.561603342450638</c:v>
                </c:pt>
                <c:pt idx="47">
                  <c:v>41.348274575520684</c:v>
                </c:pt>
                <c:pt idx="48">
                  <c:v>41.135177791997215</c:v>
                </c:pt>
                <c:pt idx="49">
                  <c:v>40.922322423728922</c:v>
                </c:pt>
                <c:pt idx="50">
                  <c:v>40.709717811673706</c:v>
                </c:pt>
                <c:pt idx="51">
                  <c:v>40.497373205653666</c:v>
                </c:pt>
                <c:pt idx="52">
                  <c:v>40.285297764124941</c:v>
                </c:pt>
                <c:pt idx="53">
                  <c:v>40.073500553962724</c:v>
                </c:pt>
                <c:pt idx="54">
                  <c:v>39.861990550259499</c:v>
                </c:pt>
                <c:pt idx="55">
                  <c:v>39.650776636138332</c:v>
                </c:pt>
                <c:pt idx="56">
                  <c:v>39.439867602580577</c:v>
                </c:pt>
                <c:pt idx="57">
                  <c:v>39.229272148266823</c:v>
                </c:pt>
                <c:pt idx="58">
                  <c:v>39.018998879432466</c:v>
                </c:pt>
                <c:pt idx="59">
                  <c:v>38.809056309737223</c:v>
                </c:pt>
                <c:pt idx="60">
                  <c:v>38.599452860147757</c:v>
                </c:pt>
                <c:pt idx="61">
                  <c:v>38.390196858834592</c:v>
                </c:pt>
                <c:pt idx="62">
                  <c:v>38.181296541082652</c:v>
                </c:pt>
                <c:pt idx="63">
                  <c:v>37.972760049214529</c:v>
                </c:pt>
                <c:pt idx="64">
                  <c:v>37.764595432527223</c:v>
                </c:pt>
                <c:pt idx="65">
                  <c:v>37.556810647243289</c:v>
                </c:pt>
                <c:pt idx="66">
                  <c:v>37.349413556472989</c:v>
                </c:pt>
                <c:pt idx="67">
                  <c:v>37.142411930190974</c:v>
                </c:pt>
                <c:pt idx="68">
                  <c:v>36.935813445225627</c:v>
                </c:pt>
                <c:pt idx="69">
                  <c:v>36.729625685259883</c:v>
                </c:pt>
                <c:pt idx="70">
                  <c:v>36.523856140846313</c:v>
                </c:pt>
                <c:pt idx="71">
                  <c:v>36.318512209433607</c:v>
                </c:pt>
                <c:pt idx="72">
                  <c:v>36.113601195405373</c:v>
                </c:pt>
                <c:pt idx="73">
                  <c:v>35.909130310132028</c:v>
                </c:pt>
                <c:pt idx="74">
                  <c:v>35.705106672033125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DE-4408-BE83-2DE791033B10}"/>
            </c:ext>
          </c:extLst>
        </c:ser>
        <c:ser>
          <c:idx val="2"/>
          <c:order val="2"/>
          <c:tx>
            <c:strRef>
              <c:f>'Egg grading'!$F$7:$F$11</c:f>
              <c:strCache>
                <c:ptCount val="5"/>
                <c:pt idx="0">
                  <c:v>L</c:v>
                </c:pt>
                <c:pt idx="2">
                  <c:v>63 - 73 g</c:v>
                </c:pt>
              </c:strCache>
            </c:strRef>
          </c:tx>
          <c:spPr>
            <a:solidFill>
              <a:schemeClr val="tx2">
                <a:lumMod val="60000"/>
                <a:lumOff val="40000"/>
                <a:alpha val="70000"/>
              </a:schemeClr>
            </a:solidFill>
            <a:ln>
              <a:solidFill>
                <a:schemeClr val="bg1"/>
              </a:solidFill>
            </a:ln>
            <a:effectLst/>
          </c:spPr>
          <c:cat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cat>
          <c:val>
            <c:numRef>
              <c:f>'Egg grading'!$F$10:$F$94</c:f>
              <c:numCache>
                <c:formatCode>0.0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8.0571298623490877E-8</c:v>
                </c:pt>
                <c:pt idx="3">
                  <c:v>2.5807526139091133E-4</c:v>
                </c:pt>
                <c:pt idx="4">
                  <c:v>2.5005383769064068E-2</c:v>
                </c:pt>
                <c:pt idx="5">
                  <c:v>0.37300798225051968</c:v>
                </c:pt>
                <c:pt idx="6">
                  <c:v>1.9460079754028068</c:v>
                </c:pt>
                <c:pt idx="7">
                  <c:v>5.5007085930736723</c:v>
                </c:pt>
                <c:pt idx="8">
                  <c:v>10.748952534997064</c:v>
                </c:pt>
                <c:pt idx="9">
                  <c:v>16.710050854283136</c:v>
                </c:pt>
                <c:pt idx="10">
                  <c:v>22.465123151766971</c:v>
                </c:pt>
                <c:pt idx="11">
                  <c:v>27.487703392952579</c:v>
                </c:pt>
                <c:pt idx="12">
                  <c:v>31.608441713176155</c:v>
                </c:pt>
                <c:pt idx="13">
                  <c:v>34.872618295089715</c:v>
                </c:pt>
                <c:pt idx="14">
                  <c:v>37.421104715042432</c:v>
                </c:pt>
                <c:pt idx="15">
                  <c:v>39.419808180636053</c:v>
                </c:pt>
                <c:pt idx="16">
                  <c:v>41.025331299157877</c:v>
                </c:pt>
                <c:pt idx="17">
                  <c:v>42.370846960913966</c:v>
                </c:pt>
                <c:pt idx="18">
                  <c:v>43.561405893992969</c:v>
                </c:pt>
                <c:pt idx="19">
                  <c:v>44.67302302411774</c:v>
                </c:pt>
                <c:pt idx="20">
                  <c:v>45.753113879497185</c:v>
                </c:pt>
                <c:pt idx="21">
                  <c:v>46.821513098192149</c:v>
                </c:pt>
                <c:pt idx="22">
                  <c:v>47.872011903119535</c:v>
                </c:pt>
                <c:pt idx="23">
                  <c:v>48.874499027667902</c:v>
                </c:pt>
                <c:pt idx="24">
                  <c:v>49.590466244725548</c:v>
                </c:pt>
                <c:pt idx="25">
                  <c:v>49.844766406671496</c:v>
                </c:pt>
                <c:pt idx="26">
                  <c:v>50.348816687173525</c:v>
                </c:pt>
                <c:pt idx="27">
                  <c:v>50.473861823691458</c:v>
                </c:pt>
                <c:pt idx="28">
                  <c:v>50.536236994412796</c:v>
                </c:pt>
                <c:pt idx="29">
                  <c:v>50.784745415832589</c:v>
                </c:pt>
                <c:pt idx="30">
                  <c:v>50.908398529361889</c:v>
                </c:pt>
                <c:pt idx="31">
                  <c:v>51.031646558238172</c:v>
                </c:pt>
                <c:pt idx="32">
                  <c:v>51.33797310599634</c:v>
                </c:pt>
                <c:pt idx="33">
                  <c:v>51.459777854129655</c:v>
                </c:pt>
                <c:pt idx="34">
                  <c:v>51.581163013062657</c:v>
                </c:pt>
                <c:pt idx="35">
                  <c:v>51.702125398629448</c:v>
                </c:pt>
                <c:pt idx="36">
                  <c:v>51.762447060308347</c:v>
                </c:pt>
                <c:pt idx="37">
                  <c:v>51.822661841158492</c:v>
                </c:pt>
                <c:pt idx="38">
                  <c:v>51.702125398629448</c:v>
                </c:pt>
                <c:pt idx="39">
                  <c:v>51.794102507131257</c:v>
                </c:pt>
                <c:pt idx="40">
                  <c:v>51.979415390057525</c:v>
                </c:pt>
                <c:pt idx="41">
                  <c:v>52.163696788448512</c:v>
                </c:pt>
                <c:pt idx="42">
                  <c:v>52.346935250626622</c:v>
                </c:pt>
                <c:pt idx="43">
                  <c:v>52.529119410655589</c:v>
                </c:pt>
                <c:pt idx="44">
                  <c:v>52.710237989446149</c:v>
                </c:pt>
                <c:pt idx="45">
                  <c:v>52.890279795849018</c:v>
                </c:pt>
                <c:pt idx="46">
                  <c:v>53.069233727734414</c:v>
                </c:pt>
                <c:pt idx="47">
                  <c:v>53.247088773057037</c:v>
                </c:pt>
                <c:pt idx="48">
                  <c:v>53.423834010908507</c:v>
                </c:pt>
                <c:pt idx="49">
                  <c:v>53.59945861255531</c:v>
                </c:pt>
                <c:pt idx="50">
                  <c:v>53.773951842462594</c:v>
                </c:pt>
                <c:pt idx="51">
                  <c:v>53.947303059304687</c:v>
                </c:pt>
                <c:pt idx="52">
                  <c:v>54.119501716961047</c:v>
                </c:pt>
                <c:pt idx="53">
                  <c:v>54.290537365497649</c:v>
                </c:pt>
                <c:pt idx="54">
                  <c:v>54.460399652134917</c:v>
                </c:pt>
                <c:pt idx="55">
                  <c:v>54.629078322200542</c:v>
                </c:pt>
                <c:pt idx="56">
                  <c:v>54.796563220067938</c:v>
                </c:pt>
                <c:pt idx="57">
                  <c:v>54.96284429008049</c:v>
                </c:pt>
                <c:pt idx="58">
                  <c:v>55.127911577460843</c:v>
                </c:pt>
                <c:pt idx="59">
                  <c:v>55.291755229205307</c:v>
                </c:pt>
                <c:pt idx="60">
                  <c:v>55.454365494964073</c:v>
                </c:pt>
                <c:pt idx="61">
                  <c:v>55.615732727905879</c:v>
                </c:pt>
                <c:pt idx="62">
                  <c:v>55.775847385567843</c:v>
                </c:pt>
                <c:pt idx="63">
                  <c:v>55.934700030690699</c:v>
                </c:pt>
                <c:pt idx="64">
                  <c:v>56.092281332038837</c:v>
                </c:pt>
                <c:pt idx="65">
                  <c:v>56.248582065204253</c:v>
                </c:pt>
                <c:pt idx="66">
                  <c:v>56.403593113396866</c:v>
                </c:pt>
                <c:pt idx="67">
                  <c:v>56.557305468218402</c:v>
                </c:pt>
                <c:pt idx="68">
                  <c:v>56.709710230420832</c:v>
                </c:pt>
                <c:pt idx="69">
                  <c:v>56.860798610650761</c:v>
                </c:pt>
                <c:pt idx="70">
                  <c:v>57.010561930176685</c:v>
                </c:pt>
                <c:pt idx="71">
                  <c:v>57.15899162160175</c:v>
                </c:pt>
                <c:pt idx="72">
                  <c:v>57.30607922956095</c:v>
                </c:pt>
                <c:pt idx="73">
                  <c:v>57.451816411402</c:v>
                </c:pt>
                <c:pt idx="74">
                  <c:v>57.596194937851934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DE-4408-BE83-2DE791033B10}"/>
            </c:ext>
          </c:extLst>
        </c:ser>
        <c:ser>
          <c:idx val="3"/>
          <c:order val="3"/>
          <c:tx>
            <c:strRef>
              <c:f>'Egg grading'!$G$7:$G$11</c:f>
              <c:strCache>
                <c:ptCount val="5"/>
                <c:pt idx="0">
                  <c:v>XL</c:v>
                </c:pt>
                <c:pt idx="2">
                  <c:v>73 g +</c:v>
                </c:pt>
              </c:strCache>
            </c:strRef>
          </c:tx>
          <c:spPr>
            <a:solidFill>
              <a:schemeClr val="tx1">
                <a:lumMod val="25000"/>
                <a:lumOff val="75000"/>
                <a:alpha val="70000"/>
              </a:schemeClr>
            </a:solidFill>
            <a:ln>
              <a:solidFill>
                <a:schemeClr val="bg1"/>
              </a:solidFill>
            </a:ln>
            <a:effectLst/>
          </c:spPr>
          <c:cat>
            <c:numRef>
              <c:f>'Graph values'!$A$6:$A$90</c:f>
              <c:numCache>
                <c:formatCode>0</c:formatCode>
                <c:ptCount val="8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</c:numCache>
            </c:numRef>
          </c:cat>
          <c:val>
            <c:numRef>
              <c:f>'Egg grading'!$G$10:$G$94</c:f>
              <c:numCache>
                <c:formatCode>0.0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1.8559376258053817E-11</c:v>
                </c:pt>
                <c:pt idx="4">
                  <c:v>8.8666084252508881E-8</c:v>
                </c:pt>
                <c:pt idx="5">
                  <c:v>1.8441923586465236E-5</c:v>
                </c:pt>
                <c:pt idx="6">
                  <c:v>6.0219384603499293E-4</c:v>
                </c:pt>
                <c:pt idx="7">
                  <c:v>6.2711965285586757E-3</c:v>
                </c:pt>
                <c:pt idx="8">
                  <c:v>3.1428885272219986E-2</c:v>
                </c:pt>
                <c:pt idx="9">
                  <c:v>9.7217183318747402E-2</c:v>
                </c:pt>
                <c:pt idx="10">
                  <c:v>0.2169308617260981</c:v>
                </c:pt>
                <c:pt idx="11">
                  <c:v>0.38628843930749213</c:v>
                </c:pt>
                <c:pt idx="12">
                  <c:v>0.58722126974410571</c:v>
                </c:pt>
                <c:pt idx="13">
                  <c:v>0.7982980487844884</c:v>
                </c:pt>
                <c:pt idx="14">
                  <c:v>1.0030343836807987</c:v>
                </c:pt>
                <c:pt idx="15">
                  <c:v>1.1931084100888683</c:v>
                </c:pt>
                <c:pt idx="16">
                  <c:v>1.3677025794414135</c:v>
                </c:pt>
                <c:pt idx="17">
                  <c:v>1.5311421068784625</c:v>
                </c:pt>
                <c:pt idx="18">
                  <c:v>1.6903449049814725</c:v>
                </c:pt>
                <c:pt idx="19">
                  <c:v>1.8527163982014372</c:v>
                </c:pt>
                <c:pt idx="20">
                  <c:v>2.0245295144660531</c:v>
                </c:pt>
                <c:pt idx="21">
                  <c:v>2.2095624703449488</c:v>
                </c:pt>
                <c:pt idx="22">
                  <c:v>2.4077284193154469</c:v>
                </c:pt>
                <c:pt idx="23">
                  <c:v>2.6135399343252459</c:v>
                </c:pt>
                <c:pt idx="24">
                  <c:v>2.7715541930975434</c:v>
                </c:pt>
                <c:pt idx="25">
                  <c:v>2.8300572578831549</c:v>
                </c:pt>
                <c:pt idx="26">
                  <c:v>2.9499176267842699</c:v>
                </c:pt>
                <c:pt idx="27">
                  <c:v>2.9804839856451508</c:v>
                </c:pt>
                <c:pt idx="28">
                  <c:v>2.9958581342582136</c:v>
                </c:pt>
                <c:pt idx="29">
                  <c:v>3.0579644837126239</c:v>
                </c:pt>
                <c:pt idx="30">
                  <c:v>3.0893854831908527</c:v>
                </c:pt>
                <c:pt idx="31">
                  <c:v>3.1210531978860274</c:v>
                </c:pt>
                <c:pt idx="32">
                  <c:v>3.2013092136850787</c:v>
                </c:pt>
                <c:pt idx="33">
                  <c:v>3.233849242241746</c:v>
                </c:pt>
                <c:pt idx="34">
                  <c:v>3.2666410097187395</c:v>
                </c:pt>
                <c:pt idx="35">
                  <c:v>3.2996856249834821</c:v>
                </c:pt>
                <c:pt idx="36">
                  <c:v>3.3163030962673901</c:v>
                </c:pt>
                <c:pt idx="37">
                  <c:v>3.3329841940068974</c:v>
                </c:pt>
                <c:pt idx="38">
                  <c:v>3.2996856249834821</c:v>
                </c:pt>
                <c:pt idx="39">
                  <c:v>3.3250608581898433</c:v>
                </c:pt>
                <c:pt idx="40">
                  <c:v>3.3768506072415789</c:v>
                </c:pt>
                <c:pt idx="41">
                  <c:v>3.4292510932966991</c:v>
                </c:pt>
                <c:pt idx="42">
                  <c:v>3.4822663395641769</c:v>
                </c:pt>
                <c:pt idx="43">
                  <c:v>3.5359003507275588</c:v>
                </c:pt>
                <c:pt idx="44">
                  <c:v>3.5901571122739995</c:v>
                </c:pt>
                <c:pt idx="45">
                  <c:v>3.6450405898230542</c:v>
                </c:pt>
                <c:pt idx="46">
                  <c:v>3.7005547284552591</c:v>
                </c:pt>
                <c:pt idx="47">
                  <c:v>3.7567034520400568</c:v>
                </c:pt>
                <c:pt idx="48">
                  <c:v>3.8134906625643339</c:v>
                </c:pt>
                <c:pt idx="49">
                  <c:v>3.8709202394606876</c:v>
                </c:pt>
                <c:pt idx="50">
                  <c:v>3.928996038936333</c:v>
                </c:pt>
                <c:pt idx="51">
                  <c:v>3.9877218933020231</c:v>
                </c:pt>
                <c:pt idx="52">
                  <c:v>4.0471016103021782</c:v>
                </c:pt>
                <c:pt idx="53">
                  <c:v>4.1071389724451137</c:v>
                </c:pt>
                <c:pt idx="54">
                  <c:v>4.1678377363347465</c:v>
                </c:pt>
                <c:pt idx="55">
                  <c:v>4.2292016320032815</c:v>
                </c:pt>
                <c:pt idx="56">
                  <c:v>4.2912343622446798</c:v>
                </c:pt>
                <c:pt idx="57">
                  <c:v>4.3539396019502021</c:v>
                </c:pt>
                <c:pt idx="58">
                  <c:v>4.417320997444989</c:v>
                </c:pt>
                <c:pt idx="59">
                  <c:v>4.4813821658264601</c:v>
                </c:pt>
                <c:pt idx="60">
                  <c:v>4.5461266943047747</c:v>
                </c:pt>
                <c:pt idx="61">
                  <c:v>4.6115581395450391</c:v>
                </c:pt>
                <c:pt idx="62">
                  <c:v>4.6776800270117178</c:v>
                </c:pt>
                <c:pt idx="63">
                  <c:v>4.744495850315559</c:v>
                </c:pt>
                <c:pt idx="64">
                  <c:v>4.8120090705627945</c:v>
                </c:pt>
                <c:pt idx="65">
                  <c:v>4.8802231157069116</c:v>
                </c:pt>
                <c:pt idx="66">
                  <c:v>4.9491413799035513</c:v>
                </c:pt>
                <c:pt idx="67">
                  <c:v>5.0187672228678366</c:v>
                </c:pt>
                <c:pt idx="68">
                  <c:v>5.0891039692351683</c:v>
                </c:pt>
                <c:pt idx="69">
                  <c:v>5.1601549079251754</c:v>
                </c:pt>
                <c:pt idx="70">
                  <c:v>5.2319232915088634</c:v>
                </c:pt>
                <c:pt idx="71">
                  <c:v>5.3044123355794852</c:v>
                </c:pt>
                <c:pt idx="72">
                  <c:v>5.377625218127136</c:v>
                </c:pt>
                <c:pt idx="73">
                  <c:v>5.4515650789168433</c:v>
                </c:pt>
                <c:pt idx="74">
                  <c:v>5.5262350188711196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DE-4408-BE83-2DE791033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302144"/>
        <c:axId val="1067302704"/>
      </c:areaChart>
      <c:catAx>
        <c:axId val="106730214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30270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06730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>
              <a:solidFill>
                <a:schemeClr val="bg1">
                  <a:lumMod val="85000"/>
                </a:schemeClr>
              </a:solidFill>
            </a:ln>
          </c:spPr>
        </c:minorGridlines>
        <c:numFmt formatCode="0%" sourceLinked="1"/>
        <c:majorTickMark val="out"/>
        <c:minorTickMark val="none"/>
        <c:tickLblPos val="nextTo"/>
        <c:spPr>
          <a:ln w="9525">
            <a:solidFill>
              <a:schemeClr val="tx1"/>
            </a:solidFill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30214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/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Chart1">
    <tabColor theme="1"/>
  </sheetPr>
  <sheetViews>
    <sheetView workbookViewId="0"/>
  </sheetViews>
  <pageMargins left="0.75" right="0.75" top="1" bottom="1" header="0.4921259845" footer="0.492125984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 codeName="Chart2">
    <tabColor theme="3"/>
  </sheetPr>
  <sheetViews>
    <sheetView workbookViewId="0"/>
  </sheetViews>
  <pageMargins left="0.75" right="0.75" top="1" bottom="1" header="0.4921259845" footer="0.4921259845"/>
  <pageSetup paperSize="9"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 codeName="Chart5">
    <tabColor theme="3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 codeName="Chart6">
    <tabColor theme="3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Chart7">
    <tabColor theme="3"/>
  </sheetPr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 codeName="Chart3">
    <tabColor theme="0" tint="-0.499984740745262"/>
  </sheetPr>
  <sheetViews>
    <sheetView workbookViewId="0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10</xdr:row>
      <xdr:rowOff>114300</xdr:rowOff>
    </xdr:from>
    <xdr:to>
      <xdr:col>7</xdr:col>
      <xdr:colOff>76200</xdr:colOff>
      <xdr:row>11</xdr:row>
      <xdr:rowOff>152400</xdr:rowOff>
    </xdr:to>
    <xdr:sp macro="" textlink="">
      <xdr:nvSpPr>
        <xdr:cNvPr id="1136" name="Text Box 6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 txBox="1">
          <a:spLocks noChangeArrowheads="1"/>
        </xdr:cNvSpPr>
      </xdr:nvSpPr>
      <xdr:spPr bwMode="auto">
        <a:xfrm>
          <a:off x="5486400" y="1571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114300</xdr:rowOff>
    </xdr:from>
    <xdr:to>
      <xdr:col>7</xdr:col>
      <xdr:colOff>76200</xdr:colOff>
      <xdr:row>11</xdr:row>
      <xdr:rowOff>114300</xdr:rowOff>
    </xdr:to>
    <xdr:sp macro="" textlink="">
      <xdr:nvSpPr>
        <xdr:cNvPr id="1137" name="Text Box 6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 txBox="1">
          <a:spLocks noChangeArrowheads="1"/>
        </xdr:cNvSpPr>
      </xdr:nvSpPr>
      <xdr:spPr bwMode="auto">
        <a:xfrm>
          <a:off x="5486400" y="1571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114300</xdr:rowOff>
    </xdr:from>
    <xdr:to>
      <xdr:col>7</xdr:col>
      <xdr:colOff>76200</xdr:colOff>
      <xdr:row>11</xdr:row>
      <xdr:rowOff>47625</xdr:rowOff>
    </xdr:to>
    <xdr:sp macro="" textlink="">
      <xdr:nvSpPr>
        <xdr:cNvPr id="1138" name="Text Box 6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 txBox="1">
          <a:spLocks noChangeArrowheads="1"/>
        </xdr:cNvSpPr>
      </xdr:nvSpPr>
      <xdr:spPr bwMode="auto">
        <a:xfrm>
          <a:off x="5486400" y="1571625"/>
          <a:ext cx="76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478790</xdr:colOff>
      <xdr:row>10</xdr:row>
      <xdr:rowOff>173355</xdr:rowOff>
    </xdr:from>
    <xdr:to>
      <xdr:col>5</xdr:col>
      <xdr:colOff>769354</xdr:colOff>
      <xdr:row>14</xdr:row>
      <xdr:rowOff>132855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9ADD2B-DE01-4151-ACFF-B9B8FC1837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1940" y="2173605"/>
          <a:ext cx="1709789" cy="75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718185</xdr:colOff>
      <xdr:row>1</xdr:row>
      <xdr:rowOff>0</xdr:rowOff>
    </xdr:from>
    <xdr:to>
      <xdr:col>13</xdr:col>
      <xdr:colOff>225794</xdr:colOff>
      <xdr:row>4</xdr:row>
      <xdr:rowOff>161430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28CEDE-36A9-46E6-932A-DBE13AA750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4860" y="200025"/>
          <a:ext cx="1707884" cy="7615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01150" cy="5591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absSizeAnchor xmlns:cdr="http://schemas.openxmlformats.org/drawingml/2006/chartDrawing">
    <cdr:from>
      <cdr:x>0.0478</cdr:x>
      <cdr:y>0.0307</cdr:y>
    </cdr:from>
    <cdr:ext cx="1206455" cy="242713"/>
    <cdr:sp macro="" textlink="">
      <cdr:nvSpPr>
        <cdr:cNvPr id="1022006" name="TextBox 1022005"/>
        <cdr:cNvSpPr txBox="1"/>
      </cdr:nvSpPr>
      <cdr:spPr>
        <a:xfrm xmlns:a="http://schemas.openxmlformats.org/drawingml/2006/main">
          <a:off x="440531" y="172641"/>
          <a:ext cx="1208485" cy="2440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/>
        </a:p>
      </cdr:txBody>
    </cdr:sp>
  </cdr:absSizeAnchor>
  <cdr:absSizeAnchor xmlns:cdr="http://schemas.openxmlformats.org/drawingml/2006/chartDrawing">
    <cdr:from>
      <cdr:x>0.67364</cdr:x>
      <cdr:y>0.02396</cdr:y>
    </cdr:from>
    <cdr:ext cx="1798181" cy="358171"/>
    <cdr:grpSp>
      <cdr:nvGrpSpPr>
        <cdr:cNvPr id="97" name="Group 96">
          <a:extLst xmlns:a="http://schemas.openxmlformats.org/drawingml/2006/main">
            <a:ext uri="{FF2B5EF4-FFF2-40B4-BE49-F238E27FC236}">
              <a16:creationId xmlns:a16="http://schemas.microsoft.com/office/drawing/2014/main" id="{B4CD7AC7-C4C6-44C8-AD48-30791305CFEF}"/>
            </a:ext>
          </a:extLst>
        </cdr:cNvPr>
        <cdr:cNvGrpSpPr/>
      </cdr:nvGrpSpPr>
      <cdr:grpSpPr>
        <a:xfrm xmlns:a="http://schemas.openxmlformats.org/drawingml/2006/main">
          <a:off x="6198263" y="133965"/>
          <a:ext cx="1798181" cy="358171"/>
          <a:chOff x="50800" y="50800"/>
          <a:chExt cx="3320993" cy="642675"/>
        </a:xfrm>
      </cdr:grpSpPr>
      <cdr:grpSp>
        <cdr:nvGrpSpPr>
          <cdr:cNvPr id="106" name="Group 1022007">
            <a:extLst xmlns:a="http://schemas.openxmlformats.org/drawingml/2006/main">
              <a:ext uri="{FF2B5EF4-FFF2-40B4-BE49-F238E27FC236}">
                <a16:creationId xmlns:a16="http://schemas.microsoft.com/office/drawing/2014/main" id="{514AC369-8EFE-407C-A0E1-6E7131EFE30F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50800" y="50800"/>
            <a:ext cx="1660922" cy="642675"/>
            <a:chOff x="50800" y="50800"/>
            <a:chExt cx="1660922" cy="642675"/>
          </a:xfrm>
        </cdr:grpSpPr>
      </cdr:grpSp>
      <cdr:grpSp>
        <cdr:nvGrpSpPr>
          <cdr:cNvPr id="23229" name="Group 1022007">
            <a:extLst xmlns:a="http://schemas.openxmlformats.org/drawingml/2006/main">
              <a:ext uri="{FF2B5EF4-FFF2-40B4-BE49-F238E27FC236}">
                <a16:creationId xmlns:a16="http://schemas.microsoft.com/office/drawing/2014/main" id="{07DEE030-A2C0-4807-B539-23C526530983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50800" y="50800"/>
            <a:ext cx="1660922" cy="642675"/>
            <a:chOff x="50800" y="50800"/>
            <a:chExt cx="1660922" cy="642675"/>
          </a:xfrm>
        </cdr:grpSpPr>
        <cdr:sp macro="" textlink="Language!$B$302">
          <cdr:nvSpPr>
            <cdr:cNvPr id="152" name="TextBox 1"/>
            <cdr:cNvSpPr txBox="1"/>
          </cdr:nvSpPr>
          <cdr:spPr>
            <a:xfrm xmlns:a="http://schemas.openxmlformats.org/drawingml/2006/main">
              <a:off x="50800" y="50800"/>
              <a:ext cx="1660922" cy="214313"/>
            </a:xfrm>
            <a:prstGeom xmlns:a="http://schemas.openxmlformats.org/drawingml/2006/main" prst="rect">
              <a:avLst/>
            </a:prstGeom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CB7F6B22-1385-462D-9613-BEE4924E31B5}" type="TxLink">
                <a:rPr lang="en-US" altLang="ko-KR" sz="800" b="0">
                  <a:solidFill>
                    <a:schemeClr val="tx1">
                      <a:lumMod val="90000"/>
                      <a:lumOff val="10000"/>
                    </a:schemeClr>
                  </a:solidFill>
                  <a:latin typeface="+mn-lt"/>
                </a:rPr>
                <a:pPr algn="l"/>
                <a:t>Hatch date</a:t>
              </a:fld>
              <a:endParaRPr lang="en-US" sz="800" b="0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endParaRPr>
            </a:p>
          </cdr:txBody>
        </cdr:sp>
        <cdr:sp macro="" textlink="Language!$B$303">
          <cdr:nvSpPr>
            <cdr:cNvPr id="153" name="TextBox 1"/>
            <cdr:cNvSpPr txBox="1"/>
          </cdr:nvSpPr>
          <cdr:spPr>
            <a:xfrm xmlns:a="http://schemas.openxmlformats.org/drawingml/2006/main">
              <a:off x="50800" y="264897"/>
              <a:ext cx="1660922" cy="214313"/>
            </a:xfrm>
            <a:prstGeom xmlns:a="http://schemas.openxmlformats.org/drawingml/2006/main" prst="rect">
              <a:avLst/>
            </a:prstGeom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FA902D9E-8698-4118-82A6-0FE3EF46CF85}" type="TxLink">
                <a:rPr lang="en-US" altLang="ko-KR" sz="800" b="0">
                  <a:solidFill>
                    <a:schemeClr val="tx1">
                      <a:lumMod val="90000"/>
                      <a:lumOff val="10000"/>
                    </a:schemeClr>
                  </a:solidFill>
                  <a:latin typeface="+mn-lt"/>
                </a:rPr>
                <a:pPr algn="l"/>
                <a:t>Breed</a:t>
              </a:fld>
              <a:endParaRPr lang="en-US" sz="800" b="0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endParaRPr>
            </a:p>
          </cdr:txBody>
        </cdr:sp>
        <cdr:sp macro="" textlink="Language!$B$304">
          <cdr:nvSpPr>
            <cdr:cNvPr id="154" name="TextBox 1"/>
            <cdr:cNvSpPr txBox="1"/>
          </cdr:nvSpPr>
          <cdr:spPr>
            <a:xfrm xmlns:a="http://schemas.openxmlformats.org/drawingml/2006/main">
              <a:off x="50800" y="479162"/>
              <a:ext cx="1660922" cy="214313"/>
            </a:xfrm>
            <a:prstGeom xmlns:a="http://schemas.openxmlformats.org/drawingml/2006/main" prst="rect">
              <a:avLst/>
            </a:prstGeom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080BCDDC-B4BA-4715-8D34-9D81BAA40208}" type="TxLink">
                <a:rPr lang="en-US" altLang="ja-JP" sz="800" b="0">
                  <a:solidFill>
                    <a:schemeClr val="tx1">
                      <a:lumMod val="90000"/>
                      <a:lumOff val="10000"/>
                    </a:schemeClr>
                  </a:solidFill>
                  <a:latin typeface="+mn-lt"/>
                </a:rPr>
                <a:pPr algn="l"/>
                <a:t>DOC number</a:t>
              </a:fld>
              <a:endParaRPr lang="en-US" sz="800" b="0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endParaRPr>
            </a:p>
          </cdr:txBody>
        </cdr:sp>
      </cdr:grpSp>
      <cdr:grpSp>
        <cdr:nvGrpSpPr>
          <cdr:cNvPr id="108" name="Group 155">
            <a:extLst xmlns:a="http://schemas.openxmlformats.org/drawingml/2006/main">
              <a:ext uri="{FF2B5EF4-FFF2-40B4-BE49-F238E27FC236}">
                <a16:creationId xmlns:a16="http://schemas.microsoft.com/office/drawing/2014/main" id="{095B336B-34B6-46A9-99F5-2C0BF143826B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1710871" y="50800"/>
            <a:ext cx="1660922" cy="642675"/>
            <a:chOff x="0" y="0"/>
            <a:chExt cx="1660922" cy="642675"/>
          </a:xfrm>
        </cdr:grpSpPr>
      </cdr:grpSp>
      <cdr:grpSp>
        <cdr:nvGrpSpPr>
          <cdr:cNvPr id="23231" name="Group 155">
            <a:extLst xmlns:a="http://schemas.openxmlformats.org/drawingml/2006/main">
              <a:ext uri="{FF2B5EF4-FFF2-40B4-BE49-F238E27FC236}">
                <a16:creationId xmlns:a16="http://schemas.microsoft.com/office/drawing/2014/main" id="{E4CB294D-42B6-4DA2-8422-98D90CB686B5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1710871" y="50800"/>
            <a:ext cx="1660922" cy="642675"/>
            <a:chOff x="0" y="0"/>
            <a:chExt cx="1660922" cy="642675"/>
          </a:xfrm>
        </cdr:grpSpPr>
        <cdr:sp macro="" textlink="'General Input'!$B$14">
          <cdr:nvSpPr>
            <cdr:cNvPr id="157" name="TextBox 1"/>
            <cdr:cNvSpPr txBox="1"/>
          </cdr:nvSpPr>
          <cdr:spPr>
            <a:xfrm xmlns:a="http://schemas.openxmlformats.org/drawingml/2006/main">
              <a:off x="0" y="0"/>
              <a:ext cx="1660922" cy="214313"/>
            </a:xfrm>
            <a:prstGeom xmlns:a="http://schemas.openxmlformats.org/drawingml/2006/main" prst="rect">
              <a:avLst/>
            </a:prstGeom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2E87CE90-B8F5-4BE6-8366-82E0F83F0346}" type="TxLink">
                <a:rPr lang="en-US" sz="800" b="0" i="0" u="none" strike="noStrike">
                  <a:solidFill>
                    <a:srgbClr val="575751"/>
                  </a:solidFill>
                  <a:latin typeface="Calibri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17">
          <cdr:nvSpPr>
            <cdr:cNvPr id="158" name="TextBox 1"/>
            <cdr:cNvSpPr txBox="1"/>
          </cdr:nvSpPr>
          <cdr:spPr>
            <a:xfrm xmlns:a="http://schemas.openxmlformats.org/drawingml/2006/main">
              <a:off x="0" y="214097"/>
              <a:ext cx="1660922" cy="214313"/>
            </a:xfrm>
            <a:prstGeom xmlns:a="http://schemas.openxmlformats.org/drawingml/2006/main" prst="rect">
              <a:avLst/>
            </a:prstGeom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699CC127-EE5B-4099-8FFA-D97D02C0C3E0}" type="TxLink">
                <a:rPr lang="en-US" sz="800" b="0">
                  <a:solidFill>
                    <a:schemeClr val="tx1">
                      <a:lumMod val="90000"/>
                      <a:lumOff val="10000"/>
                    </a:schemeClr>
                  </a:solidFill>
                  <a:latin typeface="+mn-lt"/>
                </a:rPr>
                <a:pPr algn="l"/>
                <a:t>ISA BROWN</a:t>
              </a:fld>
              <a:endParaRPr lang="en-US" sz="800" b="0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endParaRPr>
            </a:p>
          </cdr:txBody>
        </cdr:sp>
        <cdr:sp macro="" textlink="'Input Rearing'!$G$3">
          <cdr:nvSpPr>
            <cdr:cNvPr id="159" name="TextBox 1"/>
            <cdr:cNvSpPr txBox="1"/>
          </cdr:nvSpPr>
          <cdr:spPr>
            <a:xfrm xmlns:a="http://schemas.openxmlformats.org/drawingml/2006/main">
              <a:off x="0" y="428362"/>
              <a:ext cx="1660922" cy="214313"/>
            </a:xfrm>
            <a:prstGeom xmlns:a="http://schemas.openxmlformats.org/drawingml/2006/main" prst="rect">
              <a:avLst/>
            </a:prstGeom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20CA7A5B-9E49-47F1-AC45-1E57F9326D3B}" type="TxLink">
                <a:rPr lang="en-US" sz="800" b="0">
                  <a:solidFill>
                    <a:schemeClr val="tx1">
                      <a:lumMod val="90000"/>
                      <a:lumOff val="10000"/>
                    </a:schemeClr>
                  </a:solidFill>
                  <a:latin typeface="+mn-lt"/>
                </a:rPr>
                <a:pPr algn="l"/>
                <a:t>10,000</a:t>
              </a:fld>
              <a:endParaRPr lang="en-US" sz="800" b="0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endParaRPr>
            </a:p>
          </cdr:txBody>
        </cdr:sp>
      </cdr:grpSp>
    </cdr:grpSp>
  </cdr:absSizeAnchor>
  <cdr:absSizeAnchor xmlns:cdr="http://schemas.openxmlformats.org/drawingml/2006/chartDrawing">
    <cdr:from>
      <cdr:x>0.12648</cdr:x>
      <cdr:y>0.02396</cdr:y>
    </cdr:from>
    <cdr:ext cx="1798181" cy="358171"/>
    <cdr:grpSp>
      <cdr:nvGrpSpPr>
        <cdr:cNvPr id="98" name="Group 97">
          <a:extLst xmlns:a="http://schemas.openxmlformats.org/drawingml/2006/main">
            <a:ext uri="{FF2B5EF4-FFF2-40B4-BE49-F238E27FC236}">
              <a16:creationId xmlns:a16="http://schemas.microsoft.com/office/drawing/2014/main" id="{3785D9BB-8452-4573-A147-CFAF695E8C92}"/>
            </a:ext>
          </a:extLst>
        </cdr:cNvPr>
        <cdr:cNvGrpSpPr/>
      </cdr:nvGrpSpPr>
      <cdr:grpSpPr>
        <a:xfrm xmlns:a="http://schemas.openxmlformats.org/drawingml/2006/main">
          <a:off x="1163761" y="133965"/>
          <a:ext cx="1798181" cy="358171"/>
          <a:chOff x="0" y="0"/>
          <a:chExt cx="4995052" cy="642675"/>
        </a:xfrm>
      </cdr:grpSpPr>
      <cdr:grpSp>
        <cdr:nvGrpSpPr>
          <cdr:cNvPr id="102" name="Group 161">
            <a:extLst xmlns:a="http://schemas.openxmlformats.org/drawingml/2006/main">
              <a:ext uri="{FF2B5EF4-FFF2-40B4-BE49-F238E27FC236}">
                <a16:creationId xmlns:a16="http://schemas.microsoft.com/office/drawing/2014/main" id="{993AE002-47BC-4A0F-BA04-1F8EFC3F3969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0" y="0"/>
            <a:ext cx="2498166" cy="642675"/>
            <a:chOff x="0" y="0"/>
            <a:chExt cx="1660922" cy="642675"/>
          </a:xfrm>
        </cdr:grpSpPr>
      </cdr:grpSp>
      <cdr:grpSp>
        <cdr:nvGrpSpPr>
          <cdr:cNvPr id="23219" name="Group 161">
            <a:extLst xmlns:a="http://schemas.openxmlformats.org/drawingml/2006/main">
              <a:ext uri="{FF2B5EF4-FFF2-40B4-BE49-F238E27FC236}">
                <a16:creationId xmlns:a16="http://schemas.microsoft.com/office/drawing/2014/main" id="{8B8356DF-0F31-40CD-A889-B2DCFF5D90C1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0" y="0"/>
            <a:ext cx="2498166" cy="642675"/>
            <a:chOff x="0" y="0"/>
            <a:chExt cx="1660922" cy="642675"/>
          </a:xfrm>
        </cdr:grpSpPr>
        <cdr:sp macro="" textlink="Language!$B$299">
          <cdr:nvSpPr>
            <cdr:cNvPr id="167" name="TextBox 1"/>
            <cdr:cNvSpPr txBox="1"/>
          </cdr:nvSpPr>
          <cdr:spPr>
            <a:xfrm xmlns:a="http://schemas.openxmlformats.org/drawingml/2006/main">
              <a:off x="0" y="0"/>
              <a:ext cx="1660922" cy="214314"/>
            </a:xfrm>
            <a:prstGeom xmlns:a="http://schemas.openxmlformats.org/drawingml/2006/main" prst="rect">
              <a:avLst/>
            </a:prstGeom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squar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3663D272-B438-44FB-8187-774E1C35F660}" type="TxLink">
                <a:rPr lang="en-US" altLang="ko-KR" sz="800" b="0">
                  <a:solidFill>
                    <a:schemeClr val="tx1">
                      <a:lumMod val="90000"/>
                      <a:lumOff val="10000"/>
                    </a:schemeClr>
                  </a:solidFill>
                  <a:latin typeface="+mn-lt"/>
                </a:rPr>
                <a:pPr algn="l"/>
                <a:t>Farm</a:t>
              </a:fld>
              <a:endParaRPr lang="en-US" sz="800" b="0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endParaRPr>
            </a:p>
          </cdr:txBody>
        </cdr:sp>
        <cdr:sp macro="" textlink="Language!$B$300">
          <cdr:nvSpPr>
            <cdr:cNvPr id="168" name="TextBox 1"/>
            <cdr:cNvSpPr txBox="1"/>
          </cdr:nvSpPr>
          <cdr:spPr>
            <a:xfrm xmlns:a="http://schemas.openxmlformats.org/drawingml/2006/main">
              <a:off x="0" y="214097"/>
              <a:ext cx="1660922" cy="214314"/>
            </a:xfrm>
            <a:prstGeom xmlns:a="http://schemas.openxmlformats.org/drawingml/2006/main" prst="rect">
              <a:avLst/>
            </a:prstGeom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squar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E4486D2B-5C6B-4039-B3F5-95BC8A19D0E2}" type="TxLink">
                <a:rPr lang="en-US" altLang="ko-KR" sz="800">
                  <a:solidFill>
                    <a:schemeClr val="tx1">
                      <a:lumMod val="90000"/>
                      <a:lumOff val="10000"/>
                    </a:schemeClr>
                  </a:solidFill>
                  <a:latin typeface="+mn-lt"/>
                </a:rPr>
                <a:pPr algn="l"/>
                <a:t>House number</a:t>
              </a:fld>
              <a:endParaRPr lang="en-US" sz="800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endParaRPr>
            </a:p>
          </cdr:txBody>
        </cdr:sp>
        <cdr:sp macro="" textlink="Language!$B$301">
          <cdr:nvSpPr>
            <cdr:cNvPr id="169" name="TextBox 1"/>
            <cdr:cNvSpPr txBox="1"/>
          </cdr:nvSpPr>
          <cdr:spPr>
            <a:xfrm xmlns:a="http://schemas.openxmlformats.org/drawingml/2006/main">
              <a:off x="0" y="428361"/>
              <a:ext cx="1660922" cy="214314"/>
            </a:xfrm>
            <a:prstGeom xmlns:a="http://schemas.openxmlformats.org/drawingml/2006/main" prst="rect">
              <a:avLst/>
            </a:prstGeom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squar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>
                <a:lnSpc>
                  <a:spcPts val="700"/>
                </a:lnSpc>
              </a:pPr>
              <a:fld id="{F41A830E-E814-4FBD-86B0-C9FD28B296B1}" type="TxLink">
                <a:rPr lang="en-US" altLang="ko-KR" sz="800">
                  <a:solidFill>
                    <a:schemeClr val="tx1">
                      <a:lumMod val="90000"/>
                      <a:lumOff val="10000"/>
                    </a:schemeClr>
                  </a:solidFill>
                  <a:latin typeface="+mn-lt"/>
                </a:rPr>
                <a:pPr algn="l">
                  <a:lnSpc>
                    <a:spcPts val="700"/>
                  </a:lnSpc>
                </a:pPr>
                <a:t>Housing system</a:t>
              </a:fld>
              <a:endParaRPr lang="en-US" sz="800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endParaRPr>
            </a:p>
          </cdr:txBody>
        </cdr:sp>
      </cdr:grpSp>
      <cdr:grpSp>
        <cdr:nvGrpSpPr>
          <cdr:cNvPr id="104" name="Group 162">
            <a:extLst xmlns:a="http://schemas.openxmlformats.org/drawingml/2006/main">
              <a:ext uri="{FF2B5EF4-FFF2-40B4-BE49-F238E27FC236}">
                <a16:creationId xmlns:a16="http://schemas.microsoft.com/office/drawing/2014/main" id="{FA2B89A8-8A63-4267-B1B9-BBE5504C0441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2496886" y="0"/>
            <a:ext cx="2498166" cy="642675"/>
            <a:chOff x="1660071" y="0"/>
            <a:chExt cx="1660922" cy="642675"/>
          </a:xfrm>
        </cdr:grpSpPr>
      </cdr:grpSp>
      <cdr:grpSp>
        <cdr:nvGrpSpPr>
          <cdr:cNvPr id="23221" name="Group 162">
            <a:extLst xmlns:a="http://schemas.openxmlformats.org/drawingml/2006/main">
              <a:ext uri="{FF2B5EF4-FFF2-40B4-BE49-F238E27FC236}">
                <a16:creationId xmlns:a16="http://schemas.microsoft.com/office/drawing/2014/main" id="{0AAF6D8E-DD60-4D8E-9FED-CD323F194EC1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2496886" y="0"/>
            <a:ext cx="2498166" cy="642675"/>
            <a:chOff x="1660071" y="0"/>
            <a:chExt cx="1660922" cy="642675"/>
          </a:xfrm>
        </cdr:grpSpPr>
        <cdr:sp macro="" textlink="'Input Rearing'!$G$1">
          <cdr:nvSpPr>
            <cdr:cNvPr id="164" name="TextBox 1"/>
            <cdr:cNvSpPr txBox="1"/>
          </cdr:nvSpPr>
          <cdr:spPr>
            <a:xfrm xmlns:a="http://schemas.openxmlformats.org/drawingml/2006/main">
              <a:off x="1660071" y="0"/>
              <a:ext cx="1660922" cy="214314"/>
            </a:xfrm>
            <a:prstGeom xmlns:a="http://schemas.openxmlformats.org/drawingml/2006/main" prst="rect">
              <a:avLst/>
            </a:prstGeom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squar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0A108EBF-25E9-4B94-947C-A8F6D89A8E20}" type="TxLink">
                <a:rPr lang="en-US" sz="800">
                  <a:solidFill>
                    <a:schemeClr val="tx1">
                      <a:lumMod val="90000"/>
                      <a:lumOff val="10000"/>
                    </a:schemeClr>
                  </a:solidFill>
                  <a:latin typeface="+mn-lt"/>
                </a:rPr>
                <a:pPr algn="l"/>
                <a:t> </a:t>
              </a:fld>
              <a:endParaRPr lang="en-US" sz="800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endParaRPr>
            </a:p>
          </cdr:txBody>
        </cdr:sp>
        <cdr:sp macro="" textlink="'Input Rearing'!$G$7">
          <cdr:nvSpPr>
            <cdr:cNvPr id="165" name="TextBox 1"/>
            <cdr:cNvSpPr txBox="1"/>
          </cdr:nvSpPr>
          <cdr:spPr>
            <a:xfrm xmlns:a="http://schemas.openxmlformats.org/drawingml/2006/main">
              <a:off x="1660071" y="214097"/>
              <a:ext cx="1660922" cy="214314"/>
            </a:xfrm>
            <a:prstGeom xmlns:a="http://schemas.openxmlformats.org/drawingml/2006/main" prst="rect">
              <a:avLst/>
            </a:prstGeom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squar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9FAC5BE5-3848-4E31-A958-1416BCD0FE1F}" type="TxLink">
                <a:rPr lang="en-US" sz="800">
                  <a:solidFill>
                    <a:schemeClr val="tx1">
                      <a:lumMod val="90000"/>
                      <a:lumOff val="10000"/>
                    </a:schemeClr>
                  </a:solidFill>
                  <a:latin typeface="+mn-lt"/>
                </a:rPr>
                <a:pPr algn="l"/>
                <a:t> </a:t>
              </a:fld>
              <a:endParaRPr lang="en-US" sz="800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endParaRPr>
            </a:p>
          </cdr:txBody>
        </cdr:sp>
        <cdr:sp macro="" textlink="'Input Rearing'!$G$5">
          <cdr:nvSpPr>
            <cdr:cNvPr id="166" name="TextBox 1"/>
            <cdr:cNvSpPr txBox="1"/>
          </cdr:nvSpPr>
          <cdr:spPr>
            <a:xfrm xmlns:a="http://schemas.openxmlformats.org/drawingml/2006/main">
              <a:off x="1660071" y="428361"/>
              <a:ext cx="1660922" cy="214314"/>
            </a:xfrm>
            <a:prstGeom xmlns:a="http://schemas.openxmlformats.org/drawingml/2006/main" prst="rect">
              <a:avLst/>
            </a:prstGeom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squar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4F8B1F6B-90FD-43FD-B9D9-229EA737C4BC}" type="TxLink">
                <a:rPr lang="en-US" sz="800">
                  <a:solidFill>
                    <a:schemeClr val="tx1">
                      <a:lumMod val="90000"/>
                      <a:lumOff val="10000"/>
                    </a:schemeClr>
                  </a:solidFill>
                  <a:latin typeface="+mn-lt"/>
                </a:rPr>
                <a:pPr algn="l"/>
                <a:t> </a:t>
              </a:fld>
              <a:endParaRPr lang="en-US" sz="800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endParaRPr>
            </a:p>
          </cdr:txBody>
        </cdr:sp>
      </cdr:grpSp>
    </cdr:grpSp>
  </cdr:absSizeAnchor>
  <cdr:absSizeAnchor xmlns:cdr="http://schemas.openxmlformats.org/drawingml/2006/chartDrawing">
    <cdr:from>
      <cdr:x>0.32236</cdr:x>
      <cdr:y>0.02396</cdr:y>
    </cdr:from>
    <cdr:ext cx="3235400" cy="358115"/>
    <cdr:sp macro="" textlink="Language!$B$305">
      <cdr:nvSpPr>
        <cdr:cNvPr id="1022014" name="TextBox 1022013"/>
        <cdr:cNvSpPr txBox="1"/>
      </cdr:nvSpPr>
      <cdr:spPr>
        <a:xfrm xmlns:a="http://schemas.openxmlformats.org/drawingml/2006/main">
          <a:off x="2969140" y="134622"/>
          <a:ext cx="3238750" cy="360000"/>
        </a:xfrm>
        <a:prstGeom xmlns:a="http://schemas.openxmlformats.org/drawingml/2006/main" prst="rect">
          <a:avLst/>
        </a:prstGeom>
        <a:ln xmlns:a="http://schemas.openxmlformats.org/drawingml/2006/main" w="0">
          <a:noFill/>
        </a:ln>
      </cdr:spPr>
      <cdr:txBody>
        <a:bodyPr xmlns:a="http://schemas.openxmlformats.org/drawingml/2006/main" rot="0" vertOverflow="clip" horzOverflow="clip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fld id="{882748A7-B0B2-48DD-ACA0-DFBE037F59F5}" type="TxLink">
            <a:rPr lang="en-US" altLang="ko-KR" sz="2000" u="none">
              <a:ln w="3175">
                <a:noFill/>
              </a:ln>
              <a:solidFill>
                <a:schemeClr val="tx2"/>
              </a:solidFill>
            </a:rPr>
            <a:pPr algn="ctr"/>
            <a:t>Rearing performances</a:t>
          </a:fld>
          <a:endParaRPr lang="en-US" sz="2000" u="none">
            <a:ln w="3175">
              <a:noFill/>
            </a:ln>
            <a:solidFill>
              <a:schemeClr val="tx2"/>
            </a:solidFill>
          </a:endParaRPr>
        </a:p>
      </cdr:txBody>
    </cdr:sp>
  </cdr:absSizeAnchor>
  <cdr:absSizeAnchor xmlns:cdr="http://schemas.openxmlformats.org/drawingml/2006/chartDrawing">
    <cdr:from>
      <cdr:x>0.81662</cdr:x>
      <cdr:y>0.14583</cdr:y>
    </cdr:from>
    <cdr:ext cx="1230653" cy="226331"/>
    <cdr:sp macro="" textlink="Language!$B$308">
      <cdr:nvSpPr>
        <cdr:cNvPr id="217" name="TextBox 1"/>
        <cdr:cNvSpPr txBox="1"/>
      </cdr:nvSpPr>
      <cdr:spPr>
        <a:xfrm xmlns:a="http://schemas.openxmlformats.org/drawingml/2006/main">
          <a:off x="7513809" y="815366"/>
          <a:ext cx="1230653" cy="226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fld id="{D8AE2C73-51D3-45CE-9805-C6A3B988DB16}" type="TxLink">
            <a:rPr lang="en-US" altLang="ko-KR" sz="800" b="0">
              <a:solidFill>
                <a:schemeClr val="tx1">
                  <a:lumMod val="90000"/>
                  <a:lumOff val="10000"/>
                </a:schemeClr>
              </a:solidFill>
            </a:rPr>
            <a:pPr algn="r"/>
            <a:t>Cum feed cons in g</a:t>
          </a:fld>
          <a:endParaRPr lang="en-US" sz="800" b="0">
            <a:solidFill>
              <a:schemeClr val="tx1">
                <a:lumMod val="90000"/>
                <a:lumOff val="10000"/>
              </a:schemeClr>
            </a:solidFill>
          </a:endParaRPr>
        </a:p>
      </cdr:txBody>
    </cdr:sp>
  </cdr:absSizeAnchor>
  <cdr:absSizeAnchor xmlns:cdr="http://schemas.openxmlformats.org/drawingml/2006/chartDrawing">
    <cdr:from>
      <cdr:x>0.09817</cdr:x>
      <cdr:y>0.11177</cdr:y>
    </cdr:from>
    <cdr:ext cx="1232862" cy="226331"/>
    <cdr:sp macro="" textlink="Language!$B$307">
      <cdr:nvSpPr>
        <cdr:cNvPr id="218" name="TextBox 1"/>
        <cdr:cNvSpPr txBox="1"/>
      </cdr:nvSpPr>
      <cdr:spPr>
        <a:xfrm xmlns:a="http://schemas.openxmlformats.org/drawingml/2006/main">
          <a:off x="903283" y="624906"/>
          <a:ext cx="1232862" cy="226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fld id="{B2897662-DC19-42E5-B528-25253CDF3B45}" type="TxLink">
            <a:rPr lang="en-US" altLang="ko-KR" sz="800" b="0">
              <a:solidFill>
                <a:schemeClr val="tx2"/>
              </a:solidFill>
            </a:rPr>
            <a:pPr algn="l"/>
            <a:t>Body weight in g</a:t>
          </a:fld>
          <a:endParaRPr lang="en-US" sz="800" b="0">
            <a:solidFill>
              <a:schemeClr val="tx2"/>
            </a:solidFill>
          </a:endParaRPr>
        </a:p>
      </cdr:txBody>
    </cdr:sp>
  </cdr:absSizeAnchor>
  <cdr:absSizeAnchor xmlns:cdr="http://schemas.openxmlformats.org/drawingml/2006/chartDrawing">
    <cdr:from>
      <cdr:x>0.31919</cdr:x>
      <cdr:y>0.07212</cdr:y>
    </cdr:from>
    <cdr:ext cx="3236873" cy="358618"/>
    <cdr:sp macro="" textlink="Std!$B$1">
      <cdr:nvSpPr>
        <cdr:cNvPr id="28" name="TextBox 1"/>
        <cdr:cNvSpPr txBox="1"/>
      </cdr:nvSpPr>
      <cdr:spPr>
        <a:xfrm xmlns:a="http://schemas.openxmlformats.org/drawingml/2006/main">
          <a:off x="2936875" y="403225"/>
          <a:ext cx="3236872" cy="3586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txBody>
        <a:bodyPr xmlns:a="http://schemas.openxmlformats.org/drawingml/2006/main" rot="0" wrap="square" lIns="0" tIns="0" rIns="0" bIns="0" rtlCol="0" anchor="ctr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26D33AE-3059-43F8-B94C-CF135D575A68}" type="TxLink">
            <a:rPr lang="en-US" sz="800" b="1" i="0" u="none" strike="noStrike">
              <a:ln w="3175">
                <a:noFill/>
              </a:ln>
              <a:solidFill>
                <a:schemeClr val="tx1">
                  <a:lumMod val="90000"/>
                  <a:lumOff val="10000"/>
                </a:schemeClr>
              </a:solidFill>
              <a:latin typeface="Calibri"/>
            </a:rPr>
            <a:pPr algn="ctr"/>
            <a:t>ISA BROWN Baiada ALT 2021</a:t>
          </a:fld>
          <a:endParaRPr lang="en-US" sz="2000" b="1" u="sng">
            <a:ln w="3175">
              <a:noFill/>
            </a:ln>
            <a:solidFill>
              <a:schemeClr val="tx1">
                <a:lumMod val="90000"/>
                <a:lumOff val="10000"/>
              </a:schemeClr>
            </a:solidFill>
          </a:endParaRPr>
        </a:p>
      </cdr:txBody>
    </cdr:sp>
  </cdr:absSizeAnchor>
  <cdr:absSizeAnchor xmlns:cdr="http://schemas.openxmlformats.org/drawingml/2006/chartDrawing">
    <cdr:from>
      <cdr:x>0.84669</cdr:x>
      <cdr:y>0.18866</cdr:y>
    </cdr:from>
    <cdr:ext cx="686706" cy="504823"/>
    <cdr:sp macro="" textlink="">
      <cdr:nvSpPr>
        <cdr:cNvPr id="2" name="TextBox 1"/>
        <cdr:cNvSpPr txBox="1">
          <a:spLocks xmlns:a="http://schemas.openxmlformats.org/drawingml/2006/main" noChangeAspect="1"/>
        </cdr:cNvSpPr>
      </cdr:nvSpPr>
      <cdr:spPr bwMode="auto">
        <a:xfrm xmlns:a="http://schemas.openxmlformats.org/drawingml/2006/main">
          <a:off x="7790544" y="1054813"/>
          <a:ext cx="686706" cy="50482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3175">
          <a:noFill/>
        </a:ln>
      </cdr:spPr>
      <cdr:style>
        <a:lnRef xmlns:a="http://schemas.openxmlformats.org/drawingml/2006/main" idx="2">
          <a:schemeClr val="accent5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endParaRPr lang="en-GB" sz="800">
            <a:solidFill>
              <a:schemeClr val="tx1"/>
            </a:solidFill>
            <a:latin typeface="+mn-lt"/>
          </a:endParaRPr>
        </a:p>
      </cdr:txBody>
    </cdr:sp>
  </cdr:absSizeAnchor>
  <cdr:relSizeAnchor xmlns:cdr="http://schemas.openxmlformats.org/drawingml/2006/chartDrawing">
    <cdr:from>
      <cdr:x>0.02946</cdr:x>
      <cdr:y>0.18058</cdr:y>
    </cdr:from>
    <cdr:to>
      <cdr:x>0.08033</cdr:x>
      <cdr:y>0.62652</cdr:y>
    </cdr:to>
    <cdr:grpSp>
      <cdr:nvGrpSpPr>
        <cdr:cNvPr id="99" name="Group 98">
          <a:extLst xmlns:a="http://schemas.openxmlformats.org/drawingml/2006/main">
            <a:ext uri="{FF2B5EF4-FFF2-40B4-BE49-F238E27FC236}">
              <a16:creationId xmlns:a16="http://schemas.microsoft.com/office/drawing/2014/main" id="{76CDC729-E123-4C54-8CFD-F79A9000508B}"/>
            </a:ext>
          </a:extLst>
        </cdr:cNvPr>
        <cdr:cNvGrpSpPr/>
      </cdr:nvGrpSpPr>
      <cdr:grpSpPr>
        <a:xfrm xmlns:a="http://schemas.openxmlformats.org/drawingml/2006/main">
          <a:off x="271066" y="1009654"/>
          <a:ext cx="468062" cy="2493329"/>
          <a:chOff x="271066" y="1015413"/>
          <a:chExt cx="468062" cy="2487570"/>
        </a:xfrm>
      </cdr:grpSpPr>
      <cdr:sp macro="" textlink="">
        <cdr:nvSpPr>
          <cdr:cNvPr id="3" name="TextBox 2"/>
          <cdr:cNvSpPr txBox="1">
            <a:spLocks xmlns:a="http://schemas.openxmlformats.org/drawingml/2006/main" noChangeAspect="1"/>
          </cdr:cNvSpPr>
        </cdr:nvSpPr>
        <cdr:spPr bwMode="auto">
          <a:xfrm xmlns:a="http://schemas.openxmlformats.org/drawingml/2006/main">
            <a:off x="271066" y="1015413"/>
            <a:ext cx="468062" cy="180036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3175">
            <a:noFill/>
          </a:ln>
        </cdr:spPr>
        <cdr:style>
          <a:lnRef xmlns:a="http://schemas.openxmlformats.org/drawingml/2006/main" idx="2">
            <a:schemeClr val="accent5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5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vertOverflow="overflow" horzOverflow="overflow" wrap="none" lIns="0" tIns="0" rIns="0" bIns="0" rtlCol="0" anchor="ctr"/>
          <a:lstStyle xmlns:a="http://schemas.openxmlformats.org/drawingml/2006/main"/>
          <a:p xmlns:a="http://schemas.openxmlformats.org/drawingml/2006/main">
            <a:pPr algn="r"/>
            <a:r>
              <a:rPr lang="en-GB" sz="800" b="1">
                <a:solidFill>
                  <a:schemeClr val="tx2"/>
                </a:solidFill>
                <a:latin typeface="+mn-lt"/>
              </a:rPr>
              <a:t>100 %</a:t>
            </a:r>
          </a:p>
        </cdr:txBody>
      </cdr:sp>
      <cdr:sp macro="" textlink="">
        <cdr:nvSpPr>
          <cdr:cNvPr id="32" name="TextBox 1"/>
          <cdr:cNvSpPr txBox="1">
            <a:spLocks xmlns:a="http://schemas.openxmlformats.org/drawingml/2006/main" noChangeAspect="1"/>
          </cdr:cNvSpPr>
        </cdr:nvSpPr>
        <cdr:spPr bwMode="auto">
          <a:xfrm xmlns:a="http://schemas.openxmlformats.org/drawingml/2006/main">
            <a:off x="271066" y="1407802"/>
            <a:ext cx="468062" cy="180036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3175">
            <a:noFill/>
          </a:ln>
        </cdr:spPr>
        <cdr:style>
          <a:lnRef xmlns:a="http://schemas.openxmlformats.org/drawingml/2006/main" idx="2">
            <a:schemeClr val="accent5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5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lIns="0" tIns="0" rIns="0" bIns="0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n-GB" sz="800" b="1">
                <a:solidFill>
                  <a:schemeClr val="tx2"/>
                </a:solidFill>
                <a:latin typeface="+mn-lt"/>
              </a:rPr>
              <a:t>90</a:t>
            </a:r>
            <a:r>
              <a:rPr lang="en-GB" sz="800" b="1" baseline="0">
                <a:solidFill>
                  <a:schemeClr val="tx2"/>
                </a:solidFill>
                <a:latin typeface="+mn-lt"/>
              </a:rPr>
              <a:t> </a:t>
            </a:r>
            <a:r>
              <a:rPr lang="en-GB" sz="800" b="1">
                <a:solidFill>
                  <a:schemeClr val="tx2"/>
                </a:solidFill>
                <a:latin typeface="+mn-lt"/>
              </a:rPr>
              <a:t>%</a:t>
            </a:r>
          </a:p>
        </cdr:txBody>
      </cdr:sp>
      <cdr:sp macro="" textlink="">
        <cdr:nvSpPr>
          <cdr:cNvPr id="33" name="TextBox 1"/>
          <cdr:cNvSpPr txBox="1">
            <a:spLocks xmlns:a="http://schemas.openxmlformats.org/drawingml/2006/main" noChangeAspect="1"/>
          </cdr:cNvSpPr>
        </cdr:nvSpPr>
        <cdr:spPr bwMode="auto">
          <a:xfrm xmlns:a="http://schemas.openxmlformats.org/drawingml/2006/main">
            <a:off x="271066" y="1785877"/>
            <a:ext cx="468062" cy="17998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3175">
            <a:noFill/>
          </a:ln>
        </cdr:spPr>
        <cdr:style>
          <a:lnRef xmlns:a="http://schemas.openxmlformats.org/drawingml/2006/main" idx="2">
            <a:schemeClr val="accent5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5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lIns="0" tIns="0" rIns="0" bIns="0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n-GB" sz="800" b="1">
                <a:solidFill>
                  <a:schemeClr val="tx2"/>
                </a:solidFill>
                <a:latin typeface="+mn-lt"/>
              </a:rPr>
              <a:t>80 %</a:t>
            </a:r>
          </a:p>
        </cdr:txBody>
      </cdr:sp>
      <cdr:sp macro="" textlink="">
        <cdr:nvSpPr>
          <cdr:cNvPr id="34" name="TextBox 1"/>
          <cdr:cNvSpPr txBox="1">
            <a:spLocks xmlns:a="http://schemas.openxmlformats.org/drawingml/2006/main" noChangeAspect="1"/>
          </cdr:cNvSpPr>
        </cdr:nvSpPr>
        <cdr:spPr bwMode="auto">
          <a:xfrm xmlns:a="http://schemas.openxmlformats.org/drawingml/2006/main">
            <a:off x="271066" y="2177036"/>
            <a:ext cx="468062" cy="180036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3175">
            <a:noFill/>
          </a:ln>
        </cdr:spPr>
        <cdr:style>
          <a:lnRef xmlns:a="http://schemas.openxmlformats.org/drawingml/2006/main" idx="2">
            <a:schemeClr val="accent5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5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lIns="0" tIns="0" rIns="0" bIns="0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n-GB" sz="800" b="1">
                <a:solidFill>
                  <a:schemeClr val="tx2"/>
                </a:solidFill>
                <a:latin typeface="+mn-lt"/>
              </a:rPr>
              <a:t>70 %</a:t>
            </a:r>
          </a:p>
        </cdr:txBody>
      </cdr:sp>
      <cdr:sp macro="" textlink="">
        <cdr:nvSpPr>
          <cdr:cNvPr id="35" name="TextBox 1"/>
          <cdr:cNvSpPr txBox="1">
            <a:spLocks xmlns:a="http://schemas.openxmlformats.org/drawingml/2006/main" noChangeAspect="1"/>
          </cdr:cNvSpPr>
        </cdr:nvSpPr>
        <cdr:spPr bwMode="auto">
          <a:xfrm xmlns:a="http://schemas.openxmlformats.org/drawingml/2006/main">
            <a:off x="271066" y="2554440"/>
            <a:ext cx="468062" cy="17998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3175">
            <a:noFill/>
          </a:ln>
        </cdr:spPr>
        <cdr:style>
          <a:lnRef xmlns:a="http://schemas.openxmlformats.org/drawingml/2006/main" idx="2">
            <a:schemeClr val="accent5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5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lIns="0" tIns="0" rIns="0" bIns="0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n-GB" sz="800" b="1">
                <a:solidFill>
                  <a:schemeClr val="tx2"/>
                </a:solidFill>
                <a:latin typeface="+mn-lt"/>
              </a:rPr>
              <a:t>60 %</a:t>
            </a:r>
          </a:p>
        </cdr:txBody>
      </cdr:sp>
      <cdr:sp macro="" textlink="">
        <cdr:nvSpPr>
          <cdr:cNvPr id="36" name="TextBox 1"/>
          <cdr:cNvSpPr txBox="1">
            <a:spLocks xmlns:a="http://schemas.openxmlformats.org/drawingml/2006/main" noChangeAspect="1"/>
          </cdr:cNvSpPr>
        </cdr:nvSpPr>
        <cdr:spPr bwMode="auto">
          <a:xfrm xmlns:a="http://schemas.openxmlformats.org/drawingml/2006/main">
            <a:off x="271066" y="2942020"/>
            <a:ext cx="468062" cy="17998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3175">
            <a:noFill/>
          </a:ln>
        </cdr:spPr>
        <cdr:style>
          <a:lnRef xmlns:a="http://schemas.openxmlformats.org/drawingml/2006/main" idx="2">
            <a:schemeClr val="accent5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5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lIns="0" tIns="0" rIns="0" bIns="0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n-GB" sz="800" b="1">
                <a:solidFill>
                  <a:schemeClr val="tx2"/>
                </a:solidFill>
                <a:latin typeface="+mn-lt"/>
              </a:rPr>
              <a:t>50 %</a:t>
            </a:r>
          </a:p>
        </cdr:txBody>
      </cdr:sp>
      <cdr:sp macro="" textlink="">
        <cdr:nvSpPr>
          <cdr:cNvPr id="37" name="TextBox 1"/>
          <cdr:cNvSpPr txBox="1">
            <a:spLocks xmlns:a="http://schemas.openxmlformats.org/drawingml/2006/main" noChangeAspect="1"/>
          </cdr:cNvSpPr>
        </cdr:nvSpPr>
        <cdr:spPr bwMode="auto">
          <a:xfrm xmlns:a="http://schemas.openxmlformats.org/drawingml/2006/main">
            <a:off x="271066" y="3323003"/>
            <a:ext cx="468062" cy="17998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3175">
            <a:noFill/>
          </a:ln>
        </cdr:spPr>
        <cdr:style>
          <a:lnRef xmlns:a="http://schemas.openxmlformats.org/drawingml/2006/main" idx="2">
            <a:schemeClr val="accent5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5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lIns="0" tIns="0" rIns="0" bIns="0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n-GB" sz="800" b="1">
                <a:solidFill>
                  <a:schemeClr val="tx2"/>
                </a:solidFill>
                <a:latin typeface="+mn-lt"/>
              </a:rPr>
              <a:t>40</a:t>
            </a:r>
            <a:r>
              <a:rPr lang="en-GB" sz="800" b="1" baseline="0">
                <a:solidFill>
                  <a:schemeClr val="tx2"/>
                </a:solidFill>
                <a:latin typeface="+mn-lt"/>
              </a:rPr>
              <a:t> </a:t>
            </a:r>
            <a:r>
              <a:rPr lang="en-GB" sz="800" b="1">
                <a:solidFill>
                  <a:schemeClr val="tx2"/>
                </a:solidFill>
                <a:latin typeface="+mn-lt"/>
              </a:rPr>
              <a:t>%</a:t>
            </a:r>
          </a:p>
        </cdr:txBody>
      </cdr:sp>
    </cdr:grpSp>
  </cdr:relSizeAnchor>
  <cdr:absSizeAnchor xmlns:cdr="http://schemas.openxmlformats.org/drawingml/2006/chartDrawing">
    <cdr:from>
      <cdr:x>0.87913</cdr:x>
      <cdr:y>0.45627</cdr:y>
    </cdr:from>
    <cdr:ext cx="467997" cy="2487567"/>
    <cdr:grpSp>
      <cdr:nvGrpSpPr>
        <cdr:cNvPr id="100" name="Group 99">
          <a:extLst xmlns:a="http://schemas.openxmlformats.org/drawingml/2006/main">
            <a:ext uri="{FF2B5EF4-FFF2-40B4-BE49-F238E27FC236}">
              <a16:creationId xmlns:a16="http://schemas.microsoft.com/office/drawing/2014/main" id="{84383321-0214-48B0-8E9B-C7203576D0EF}"/>
            </a:ext>
          </a:extLst>
        </cdr:cNvPr>
        <cdr:cNvGrpSpPr>
          <a:grpSpLocks xmlns:a="http://schemas.openxmlformats.org/drawingml/2006/main" noChangeAspect="1"/>
        </cdr:cNvGrpSpPr>
      </cdr:nvGrpSpPr>
      <cdr:grpSpPr>
        <a:xfrm xmlns:a="http://schemas.openxmlformats.org/drawingml/2006/main">
          <a:off x="8089007" y="2551085"/>
          <a:ext cx="467997" cy="2487567"/>
          <a:chOff x="0" y="0"/>
          <a:chExt cx="467997" cy="2487567"/>
        </a:xfrm>
      </cdr:grpSpPr>
      <cdr:sp macro="" textlink="">
        <cdr:nvSpPr>
          <cdr:cNvPr id="40" name="TextBox 2"/>
          <cdr:cNvSpPr txBox="1">
            <a:spLocks xmlns:a="http://schemas.openxmlformats.org/drawingml/2006/main" noChangeAspect="1"/>
          </cdr:cNvSpPr>
        </cdr:nvSpPr>
        <cdr:spPr bwMode="auto">
          <a:xfrm xmlns:a="http://schemas.openxmlformats.org/drawingml/2006/main">
            <a:off x="0" y="0"/>
            <a:ext cx="467997" cy="18000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3175">
            <a:noFill/>
          </a:ln>
        </cdr:spPr>
        <cdr:style>
          <a:lnRef xmlns:a="http://schemas.openxmlformats.org/drawingml/2006/main" idx="2">
            <a:schemeClr val="accent5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5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lIns="0" tIns="0" rIns="0" bIns="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n-GB" sz="800" b="1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rPr>
              <a:t>6 %</a:t>
            </a:r>
          </a:p>
        </cdr:txBody>
      </cdr:sp>
      <cdr:sp macro="" textlink="">
        <cdr:nvSpPr>
          <cdr:cNvPr id="41" name="TextBox 1"/>
          <cdr:cNvSpPr txBox="1">
            <a:spLocks xmlns:a="http://schemas.openxmlformats.org/drawingml/2006/main" noChangeAspect="1"/>
          </cdr:cNvSpPr>
        </cdr:nvSpPr>
        <cdr:spPr bwMode="auto">
          <a:xfrm xmlns:a="http://schemas.openxmlformats.org/drawingml/2006/main">
            <a:off x="0" y="392385"/>
            <a:ext cx="467997" cy="18000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3175">
            <a:noFill/>
          </a:ln>
        </cdr:spPr>
        <cdr:style>
          <a:lnRef xmlns:a="http://schemas.openxmlformats.org/drawingml/2006/main" idx="2">
            <a:schemeClr val="accent5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5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lIns="0" tIns="0" rIns="0" bIns="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n-GB" sz="800" b="1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rPr>
              <a:t>5 %</a:t>
            </a:r>
          </a:p>
        </cdr:txBody>
      </cdr:sp>
      <cdr:sp macro="" textlink="">
        <cdr:nvSpPr>
          <cdr:cNvPr id="42" name="TextBox 1"/>
          <cdr:cNvSpPr txBox="1">
            <a:spLocks xmlns:a="http://schemas.openxmlformats.org/drawingml/2006/main" noChangeAspect="1"/>
          </cdr:cNvSpPr>
        </cdr:nvSpPr>
        <cdr:spPr bwMode="auto">
          <a:xfrm xmlns:a="http://schemas.openxmlformats.org/drawingml/2006/main">
            <a:off x="0" y="770429"/>
            <a:ext cx="467997" cy="18000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3175">
            <a:noFill/>
          </a:ln>
        </cdr:spPr>
        <cdr:style>
          <a:lnRef xmlns:a="http://schemas.openxmlformats.org/drawingml/2006/main" idx="2">
            <a:schemeClr val="accent5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5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lIns="0" tIns="0" rIns="0" bIns="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n-GB" sz="800" b="1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rPr>
              <a:t>4 %</a:t>
            </a:r>
          </a:p>
        </cdr:txBody>
      </cdr:sp>
      <cdr:sp macro="" textlink="">
        <cdr:nvSpPr>
          <cdr:cNvPr id="43" name="TextBox 1"/>
          <cdr:cNvSpPr txBox="1">
            <a:spLocks xmlns:a="http://schemas.openxmlformats.org/drawingml/2006/main" noChangeAspect="1"/>
          </cdr:cNvSpPr>
        </cdr:nvSpPr>
        <cdr:spPr bwMode="auto">
          <a:xfrm xmlns:a="http://schemas.openxmlformats.org/drawingml/2006/main">
            <a:off x="0" y="1161611"/>
            <a:ext cx="467997" cy="18000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3175">
            <a:noFill/>
          </a:ln>
        </cdr:spPr>
        <cdr:style>
          <a:lnRef xmlns:a="http://schemas.openxmlformats.org/drawingml/2006/main" idx="2">
            <a:schemeClr val="accent5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5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lIns="0" tIns="0" rIns="0" bIns="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n-GB" sz="800" b="1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rPr>
              <a:t>3 %</a:t>
            </a:r>
          </a:p>
        </cdr:txBody>
      </cdr:sp>
      <cdr:sp macro="" textlink="">
        <cdr:nvSpPr>
          <cdr:cNvPr id="44" name="TextBox 1"/>
          <cdr:cNvSpPr txBox="1">
            <a:spLocks xmlns:a="http://schemas.openxmlformats.org/drawingml/2006/main" noChangeAspect="1"/>
          </cdr:cNvSpPr>
        </cdr:nvSpPr>
        <cdr:spPr bwMode="auto">
          <a:xfrm xmlns:a="http://schemas.openxmlformats.org/drawingml/2006/main">
            <a:off x="0" y="1538998"/>
            <a:ext cx="467997" cy="18000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3175">
            <a:noFill/>
          </a:ln>
        </cdr:spPr>
        <cdr:style>
          <a:lnRef xmlns:a="http://schemas.openxmlformats.org/drawingml/2006/main" idx="2">
            <a:schemeClr val="accent5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5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lIns="0" tIns="0" rIns="0" bIns="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n-GB" sz="800" b="1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rPr>
              <a:t>2 %</a:t>
            </a:r>
          </a:p>
        </cdr:txBody>
      </cdr:sp>
      <cdr:sp macro="" textlink="">
        <cdr:nvSpPr>
          <cdr:cNvPr id="45" name="TextBox 1"/>
          <cdr:cNvSpPr txBox="1">
            <a:spLocks xmlns:a="http://schemas.openxmlformats.org/drawingml/2006/main" noChangeAspect="1"/>
          </cdr:cNvSpPr>
        </cdr:nvSpPr>
        <cdr:spPr bwMode="auto">
          <a:xfrm xmlns:a="http://schemas.openxmlformats.org/drawingml/2006/main">
            <a:off x="0" y="1926567"/>
            <a:ext cx="467997" cy="18000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3175">
            <a:noFill/>
          </a:ln>
        </cdr:spPr>
        <cdr:style>
          <a:lnRef xmlns:a="http://schemas.openxmlformats.org/drawingml/2006/main" idx="2">
            <a:schemeClr val="accent5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5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lIns="0" tIns="0" rIns="0" bIns="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n-GB" sz="800" b="1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rPr>
              <a:t>1 %</a:t>
            </a:r>
          </a:p>
        </cdr:txBody>
      </cdr:sp>
      <cdr:sp macro="" textlink="">
        <cdr:nvSpPr>
          <cdr:cNvPr id="46" name="TextBox 1"/>
          <cdr:cNvSpPr txBox="1">
            <a:spLocks xmlns:a="http://schemas.openxmlformats.org/drawingml/2006/main" noChangeAspect="1"/>
          </cdr:cNvSpPr>
        </cdr:nvSpPr>
        <cdr:spPr bwMode="auto">
          <a:xfrm xmlns:a="http://schemas.openxmlformats.org/drawingml/2006/main">
            <a:off x="0" y="2307567"/>
            <a:ext cx="467997" cy="18000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3175">
            <a:noFill/>
          </a:ln>
        </cdr:spPr>
        <cdr:style>
          <a:lnRef xmlns:a="http://schemas.openxmlformats.org/drawingml/2006/main" idx="2">
            <a:schemeClr val="accent5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5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none" lIns="0" tIns="0" rIns="0" bIns="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/>
            <a:r>
              <a:rPr lang="en-GB" sz="800" b="1">
                <a:solidFill>
                  <a:schemeClr val="tx1">
                    <a:lumMod val="90000"/>
                    <a:lumOff val="10000"/>
                  </a:schemeClr>
                </a:solidFill>
                <a:latin typeface="+mn-lt"/>
              </a:rPr>
              <a:t>0 %</a:t>
            </a:r>
          </a:p>
        </cdr:txBody>
      </cdr:sp>
    </cdr:grpSp>
  </cdr:absSizeAnchor>
  <cdr:absSizeAnchor xmlns:cdr="http://schemas.openxmlformats.org/drawingml/2006/chartDrawing">
    <cdr:from>
      <cdr:x>0.84697</cdr:x>
      <cdr:y>0.41794</cdr:y>
    </cdr:from>
    <cdr:ext cx="1232861" cy="226325"/>
    <cdr:sp macro="" textlink="Language!$B$69">
      <cdr:nvSpPr>
        <cdr:cNvPr id="47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7793070" y="2336799"/>
          <a:ext cx="1232861" cy="226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lIns="0" tIns="0" rIns="0" bIns="0" rtlCol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fld id="{FB8842B2-D4FF-4F15-B45F-FFC05A6ECDF5}" type="TxLink">
            <a:rPr lang="en-US" altLang="ko-KR" sz="800" b="1" i="0" u="none" strike="noStrike">
              <a:solidFill>
                <a:schemeClr val="tx1">
                  <a:lumMod val="90000"/>
                  <a:lumOff val="10000"/>
                </a:schemeClr>
              </a:solidFill>
              <a:latin typeface="Calibri"/>
            </a:rPr>
            <a:pPr algn="r"/>
            <a:t>Mortality %</a:t>
          </a:fld>
          <a:endParaRPr lang="en-US" sz="600" b="1">
            <a:solidFill>
              <a:schemeClr val="tx1">
                <a:lumMod val="90000"/>
                <a:lumOff val="10000"/>
              </a:schemeClr>
            </a:solidFill>
          </a:endParaRPr>
        </a:p>
      </cdr:txBody>
    </cdr:sp>
  </cdr:absSizeAnchor>
  <cdr:relSizeAnchor xmlns:cdr="http://schemas.openxmlformats.org/drawingml/2006/chartDrawing">
    <cdr:from>
      <cdr:x>0.0435</cdr:x>
      <cdr:y>0.14583</cdr:y>
    </cdr:from>
    <cdr:to>
      <cdr:x>0.09436</cdr:x>
      <cdr:y>0.17803</cdr:y>
    </cdr:to>
    <cdr:sp macro="" textlink="Language!$B$73">
      <cdr:nvSpPr>
        <cdr:cNvPr id="48" name="TextBox 1"/>
        <cdr:cNvSpPr txBox="1">
          <a:spLocks xmlns:a="http://schemas.openxmlformats.org/drawingml/2006/main" noChangeAspect="1"/>
        </cdr:cNvSpPr>
      </cdr:nvSpPr>
      <cdr:spPr bwMode="auto">
        <a:xfrm xmlns:a="http://schemas.openxmlformats.org/drawingml/2006/main">
          <a:off x="400275" y="815366"/>
          <a:ext cx="467970" cy="1800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175">
          <a:noFill/>
        </a:ln>
      </cdr:spPr>
      <cdr:style>
        <a:lnRef xmlns:a="http://schemas.openxmlformats.org/drawingml/2006/main" idx="2">
          <a:schemeClr val="accent5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lIns="0" tIns="0" rIns="0" bIns="0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fld id="{DACC9FBF-545D-419C-BA73-78A8B6CA296A}" type="TxLink">
            <a:rPr lang="en-US" altLang="ko-KR" sz="800" b="1" i="0" u="none" strike="noStrike">
              <a:solidFill>
                <a:schemeClr val="tx2"/>
              </a:solidFill>
              <a:latin typeface="Calibri"/>
            </a:rPr>
            <a:pPr algn="r"/>
            <a:t>Unif. %</a:t>
          </a:fld>
          <a:endParaRPr lang="en-GB" sz="600" b="1">
            <a:solidFill>
              <a:schemeClr val="tx2"/>
            </a:solidFill>
            <a:latin typeface="+mn-lt"/>
          </a:endParaRPr>
        </a:p>
      </cdr:txBody>
    </cdr:sp>
  </cdr:relSizeAnchor>
  <cdr:relSizeAnchor xmlns:cdr="http://schemas.openxmlformats.org/drawingml/2006/chartDrawing">
    <cdr:from>
      <cdr:x>0.00552</cdr:x>
      <cdr:y>0.00909</cdr:y>
    </cdr:from>
    <cdr:to>
      <cdr:x>0.11233</cdr:x>
      <cdr:y>0.08635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3759BC0F-C8F8-4273-9E2A-6AE8697698DA}"/>
            </a:ext>
          </a:extLst>
        </cdr:cNvPr>
        <cdr:cNvPicPr>
          <a:picLocks xmlns:a="http://schemas.openxmlformats.org/drawingml/2006/main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982800" cy="431999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712470</xdr:colOff>
      <xdr:row>1</xdr:row>
      <xdr:rowOff>0</xdr:rowOff>
    </xdr:from>
    <xdr:to>
      <xdr:col>14</xdr:col>
      <xdr:colOff>220079</xdr:colOff>
      <xdr:row>4</xdr:row>
      <xdr:rowOff>161430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0CBCBF-C1F3-42B4-8403-8E1019AFF0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3520" y="200025"/>
          <a:ext cx="1707884" cy="7615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01150" cy="5591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absSizeAnchor xmlns:cdr="http://schemas.openxmlformats.org/drawingml/2006/chartDrawing">
    <cdr:from>
      <cdr:x>0.32219</cdr:x>
      <cdr:y>0.01656</cdr:y>
    </cdr:from>
    <cdr:ext cx="3236873" cy="358618"/>
    <cdr:sp macro="" textlink="Language!$B$314">
      <cdr:nvSpPr>
        <cdr:cNvPr id="1022014" name="TextBox 1022013"/>
        <cdr:cNvSpPr txBox="1"/>
      </cdr:nvSpPr>
      <cdr:spPr>
        <a:xfrm xmlns:a="http://schemas.openxmlformats.org/drawingml/2006/main">
          <a:off x="2964500" y="92590"/>
          <a:ext cx="3236872" cy="3586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txBody>
        <a:bodyPr xmlns:a="http://schemas.openxmlformats.org/drawingml/2006/main" rot="0" vertOverflow="overflow" horzOverflow="overflow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fld id="{C38B5AF5-D3D1-48E1-BD99-80FDB9FC959B}" type="TxLink">
            <a:rPr lang="en-US" altLang="ko-KR" sz="1800" u="none">
              <a:ln w="3175">
                <a:noFill/>
              </a:ln>
              <a:solidFill>
                <a:schemeClr val="tx2"/>
              </a:solidFill>
            </a:rPr>
            <a:pPr algn="ctr"/>
            <a:t>Laying performances</a:t>
          </a:fld>
          <a:endParaRPr lang="en-US" sz="1800" u="none">
            <a:ln w="3175">
              <a:noFill/>
            </a:ln>
            <a:solidFill>
              <a:schemeClr val="tx2"/>
            </a:solidFill>
          </a:endParaRPr>
        </a:p>
      </cdr:txBody>
    </cdr:sp>
  </cdr:absSizeAnchor>
  <cdr:absSizeAnchor xmlns:cdr="http://schemas.openxmlformats.org/drawingml/2006/chartDrawing">
    <cdr:from>
      <cdr:x>0.01194</cdr:x>
      <cdr:y>0.1813</cdr:y>
    </cdr:from>
    <cdr:ext cx="998877" cy="197033"/>
    <cdr:sp macro="" textlink="Language!$B$318">
      <cdr:nvSpPr>
        <cdr:cNvPr id="571" name="TextBox 1"/>
        <cdr:cNvSpPr txBox="1"/>
      </cdr:nvSpPr>
      <cdr:spPr>
        <a:xfrm xmlns:a="http://schemas.openxmlformats.org/drawingml/2006/main">
          <a:off x="109904" y="1013691"/>
          <a:ext cx="998877" cy="1970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66F662DD-CE7F-4A6D-8932-795F01A88690}" type="TxLink">
            <a:rPr lang="en-US" altLang="ko-KR" sz="800">
              <a:solidFill>
                <a:schemeClr val="tx2"/>
              </a:solidFill>
            </a:rPr>
            <a:pPr algn="ctr"/>
            <a:t>Laying rate</a:t>
          </a:fld>
          <a:endParaRPr lang="en-US" sz="800">
            <a:solidFill>
              <a:schemeClr val="tx2"/>
            </a:solidFill>
          </a:endParaRPr>
        </a:p>
      </cdr:txBody>
    </cdr:sp>
  </cdr:absSizeAnchor>
  <cdr:absSizeAnchor xmlns:cdr="http://schemas.openxmlformats.org/drawingml/2006/chartDrawing">
    <cdr:from>
      <cdr:x>0.01334</cdr:x>
      <cdr:y>0.14552</cdr:y>
    </cdr:from>
    <cdr:ext cx="998877" cy="197089"/>
    <cdr:sp macro="" textlink="Language!$B$316">
      <cdr:nvSpPr>
        <cdr:cNvPr id="217" name="TextBox 1"/>
        <cdr:cNvSpPr txBox="1"/>
      </cdr:nvSpPr>
      <cdr:spPr>
        <a:xfrm xmlns:a="http://schemas.openxmlformats.org/drawingml/2006/main">
          <a:off x="122758" y="813655"/>
          <a:ext cx="998877" cy="1970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80990C5-1D0B-4AB3-A320-C87F8FDEEC0F}" type="TxLink">
            <a:rPr lang="en-US" altLang="ko-KR" sz="800">
              <a:solidFill>
                <a:schemeClr val="tx1">
                  <a:lumMod val="90000"/>
                  <a:lumOff val="10000"/>
                </a:schemeClr>
              </a:solidFill>
            </a:rPr>
            <a:pPr algn="ctr"/>
            <a:t>Liveability %</a:t>
          </a:fld>
          <a:endParaRPr lang="en-US" sz="800">
            <a:solidFill>
              <a:schemeClr val="tx1">
                <a:lumMod val="90000"/>
                <a:lumOff val="10000"/>
              </a:schemeClr>
            </a:solidFill>
          </a:endParaRPr>
        </a:p>
      </cdr:txBody>
    </cdr:sp>
  </cdr:absSizeAnchor>
  <cdr:absSizeAnchor xmlns:cdr="http://schemas.openxmlformats.org/drawingml/2006/chartDrawing">
    <cdr:from>
      <cdr:x>0.84209</cdr:x>
      <cdr:y>0.15918</cdr:y>
    </cdr:from>
    <cdr:ext cx="994276" cy="197089"/>
    <cdr:sp macro="" textlink="Language!$B$317">
      <cdr:nvSpPr>
        <cdr:cNvPr id="218" name="TextBox 1"/>
        <cdr:cNvSpPr txBox="1"/>
      </cdr:nvSpPr>
      <cdr:spPr>
        <a:xfrm xmlns:a="http://schemas.openxmlformats.org/drawingml/2006/main">
          <a:off x="7748184" y="890030"/>
          <a:ext cx="994276" cy="1970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D474312-822A-4D7C-B992-D87CD85ABF87}" type="TxLink">
            <a:rPr lang="en-US" altLang="ko-KR" sz="800">
              <a:solidFill>
                <a:schemeClr val="bg1">
                  <a:lumMod val="50000"/>
                </a:schemeClr>
              </a:solidFill>
            </a:rPr>
            <a:pPr algn="ctr"/>
            <a:t>Average Egg weight</a:t>
          </a:fld>
          <a:endParaRPr lang="en-US" sz="800">
            <a:solidFill>
              <a:schemeClr val="bg1">
                <a:lumMod val="50000"/>
              </a:schemeClr>
            </a:solidFill>
          </a:endParaRPr>
        </a:p>
      </cdr:txBody>
    </cdr:sp>
  </cdr:absSizeAnchor>
  <cdr:absSizeAnchor xmlns:cdr="http://schemas.openxmlformats.org/drawingml/2006/chartDrawing">
    <cdr:from>
      <cdr:x>0.01185</cdr:x>
      <cdr:y>0.6012</cdr:y>
    </cdr:from>
    <cdr:ext cx="232789" cy="972138"/>
    <cdr:sp macro="" textlink="Language!$B$319">
      <cdr:nvSpPr>
        <cdr:cNvPr id="756" name="TextBox 1"/>
        <cdr:cNvSpPr txBox="1"/>
      </cdr:nvSpPr>
      <cdr:spPr>
        <a:xfrm xmlns:a="http://schemas.openxmlformats.org/drawingml/2006/main" rot="16200000">
          <a:off x="-260609" y="3731104"/>
          <a:ext cx="972138" cy="2327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vert="horz" wrap="square" rtlCol="0" anchor="ctr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B97F904-6A8F-4CC8-BFED-CFD17A3C8D11}" type="TxLink">
            <a:rPr lang="en-US" altLang="ko-KR" sz="800" b="0">
              <a:solidFill>
                <a:schemeClr val="tx1">
                  <a:lumMod val="90000"/>
                  <a:lumOff val="10000"/>
                </a:schemeClr>
              </a:solidFill>
            </a:rPr>
            <a:pPr algn="ctr"/>
            <a:t>Body weight</a:t>
          </a:fld>
          <a:endParaRPr lang="en-US" sz="800" b="0">
            <a:solidFill>
              <a:schemeClr val="tx1">
                <a:lumMod val="90000"/>
                <a:lumOff val="10000"/>
              </a:schemeClr>
            </a:solidFill>
          </a:endParaRPr>
        </a:p>
      </cdr:txBody>
    </cdr:sp>
  </cdr:absSizeAnchor>
  <cdr:absSizeAnchor xmlns:cdr="http://schemas.openxmlformats.org/drawingml/2006/chartDrawing">
    <cdr:from>
      <cdr:x>0.00942</cdr:x>
      <cdr:y>0.54013</cdr:y>
    </cdr:from>
    <cdr:ext cx="994000" cy="1628262"/>
    <cdr:grpSp>
      <cdr:nvGrpSpPr>
        <cdr:cNvPr id="175" name="Group 174">
          <a:extLst xmlns:a="http://schemas.openxmlformats.org/drawingml/2006/main">
            <a:ext uri="{FF2B5EF4-FFF2-40B4-BE49-F238E27FC236}">
              <a16:creationId xmlns:a16="http://schemas.microsoft.com/office/drawing/2014/main" id="{C3FB9A97-2B25-4777-B3DD-7FC8610C2A96}"/>
            </a:ext>
          </a:extLst>
        </cdr:cNvPr>
        <cdr:cNvGrpSpPr/>
      </cdr:nvGrpSpPr>
      <cdr:grpSpPr>
        <a:xfrm xmlns:a="http://schemas.openxmlformats.org/drawingml/2006/main">
          <a:off x="86675" y="3019961"/>
          <a:ext cx="994000" cy="1628262"/>
          <a:chOff x="254595" y="2958703"/>
          <a:chExt cx="994174" cy="1705769"/>
        </a:xfrm>
      </cdr:grpSpPr>
      <cdr:cxnSp macro="">
        <cdr:nvCxnSpPr>
          <cdr:cNvPr id="229" name="Straight Connector 228">
            <a:extLst xmlns:a="http://schemas.openxmlformats.org/drawingml/2006/main">
              <a:ext uri="{FF2B5EF4-FFF2-40B4-BE49-F238E27FC236}">
                <a16:creationId xmlns:a16="http://schemas.microsoft.com/office/drawing/2014/main" id="{D00E2DE2-6F24-447A-B39E-C593C1FD4AF2}"/>
              </a:ext>
            </a:extLst>
          </cdr:cNvPr>
          <cdr:cNvCxnSpPr/>
        </cdr:nvCxnSpPr>
        <cdr:spPr bwMode="auto">
          <a:xfrm xmlns:a="http://schemas.openxmlformats.org/drawingml/2006/main">
            <a:off x="935723" y="3038493"/>
            <a:ext cx="10567" cy="1581385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chemeClr val="tx2"/>
            </a:solidFill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accent3"/>
          </a:lnRef>
          <a:fillRef xmlns:a="http://schemas.openxmlformats.org/drawingml/2006/main" idx="0">
            <a:schemeClr val="accent3"/>
          </a:fillRef>
          <a:effectRef xmlns:a="http://schemas.openxmlformats.org/drawingml/2006/main" idx="0">
            <a:schemeClr val="accent3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195" name="Group 9">
            <a:extLst xmlns:a="http://schemas.openxmlformats.org/drawingml/2006/main">
              <a:ext uri="{FF2B5EF4-FFF2-40B4-BE49-F238E27FC236}">
                <a16:creationId xmlns:a16="http://schemas.microsoft.com/office/drawing/2014/main" id="{FEB6CE21-6E88-4FC7-9E62-6FD610647438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254595" y="2958703"/>
            <a:ext cx="994174" cy="1705769"/>
            <a:chOff x="254595" y="2958703"/>
            <a:chExt cx="994174" cy="1705769"/>
          </a:xfrm>
        </cdr:grpSpPr>
      </cdr:grpSp>
      <cdr:grpSp>
        <cdr:nvGrpSpPr>
          <cdr:cNvPr id="25183" name="Group 9">
            <a:extLst xmlns:a="http://schemas.openxmlformats.org/drawingml/2006/main">
              <a:ext uri="{FF2B5EF4-FFF2-40B4-BE49-F238E27FC236}">
                <a16:creationId xmlns:a16="http://schemas.microsoft.com/office/drawing/2014/main" id="{91F4B6D2-C18F-49AE-B641-5296FB97BAAE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254595" y="2958703"/>
            <a:ext cx="994174" cy="1705769"/>
            <a:chOff x="254595" y="2958703"/>
            <a:chExt cx="994174" cy="1705769"/>
          </a:xfrm>
        </cdr:grpSpPr>
        <cdr:sp macro="" textlink="">
          <cdr:nvSpPr>
            <cdr:cNvPr id="9" name="TextBox 8"/>
            <cdr:cNvSpPr txBox="1"/>
          </cdr:nvSpPr>
          <cdr:spPr>
            <a:xfrm xmlns:a="http://schemas.openxmlformats.org/drawingml/2006/main">
              <a:off x="254595" y="2958703"/>
              <a:ext cx="994174" cy="154781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horzOverflow="clip" wrap="square" rtlCol="0" anchor="ctr"/>
            <a:lstStyle xmlns:a="http://schemas.openxmlformats.org/drawingml/2006/main"/>
            <a:p xmlns:a="http://schemas.openxmlformats.org/drawingml/2006/main">
              <a:pPr algn="ctr"/>
              <a:r>
                <a:rPr lang="en-US" sz="800">
                  <a:solidFill>
                    <a:schemeClr val="tx1">
                      <a:lumMod val="90000"/>
                      <a:lumOff val="10000"/>
                    </a:schemeClr>
                  </a:solidFill>
                </a:rPr>
                <a:t>2250</a:t>
              </a:r>
            </a:p>
          </cdr:txBody>
        </cdr:sp>
        <cdr:sp macro="" textlink="">
          <cdr:nvSpPr>
            <cdr:cNvPr id="793" name="TextBox 1"/>
            <cdr:cNvSpPr txBox="1"/>
          </cdr:nvSpPr>
          <cdr:spPr>
            <a:xfrm xmlns:a="http://schemas.openxmlformats.org/drawingml/2006/main">
              <a:off x="254595" y="3346450"/>
              <a:ext cx="994174" cy="154781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horzOverflow="clip" wrap="square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800">
                  <a:solidFill>
                    <a:schemeClr val="tx1">
                      <a:lumMod val="90000"/>
                      <a:lumOff val="10000"/>
                    </a:schemeClr>
                  </a:solidFill>
                </a:rPr>
                <a:t>2000</a:t>
              </a:r>
            </a:p>
          </cdr:txBody>
        </cdr:sp>
        <cdr:sp macro="" textlink="">
          <cdr:nvSpPr>
            <cdr:cNvPr id="794" name="TextBox 1"/>
            <cdr:cNvSpPr txBox="1"/>
          </cdr:nvSpPr>
          <cdr:spPr>
            <a:xfrm xmlns:a="http://schemas.openxmlformats.org/drawingml/2006/main">
              <a:off x="254595" y="3734197"/>
              <a:ext cx="994174" cy="154781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horzOverflow="clip" wrap="square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800">
                  <a:solidFill>
                    <a:schemeClr val="tx1">
                      <a:lumMod val="90000"/>
                      <a:lumOff val="10000"/>
                    </a:schemeClr>
                  </a:solidFill>
                </a:rPr>
                <a:t>1750</a:t>
              </a:r>
            </a:p>
          </cdr:txBody>
        </cdr:sp>
        <cdr:sp macro="" textlink="">
          <cdr:nvSpPr>
            <cdr:cNvPr id="795" name="TextBox 1"/>
            <cdr:cNvSpPr txBox="1"/>
          </cdr:nvSpPr>
          <cdr:spPr>
            <a:xfrm xmlns:a="http://schemas.openxmlformats.org/drawingml/2006/main">
              <a:off x="254595" y="4121944"/>
              <a:ext cx="994174" cy="154781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horzOverflow="clip" wrap="square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800">
                  <a:solidFill>
                    <a:schemeClr val="tx1">
                      <a:lumMod val="90000"/>
                      <a:lumOff val="10000"/>
                    </a:schemeClr>
                  </a:solidFill>
                </a:rPr>
                <a:t>1500</a:t>
              </a:r>
            </a:p>
          </cdr:txBody>
        </cdr:sp>
        <cdr:sp macro="" textlink="">
          <cdr:nvSpPr>
            <cdr:cNvPr id="796" name="TextBox 1"/>
            <cdr:cNvSpPr txBox="1"/>
          </cdr:nvSpPr>
          <cdr:spPr>
            <a:xfrm xmlns:a="http://schemas.openxmlformats.org/drawingml/2006/main">
              <a:off x="254595" y="4509691"/>
              <a:ext cx="994174" cy="154781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horzOverflow="clip" wrap="square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800">
                  <a:solidFill>
                    <a:schemeClr val="tx1">
                      <a:lumMod val="90000"/>
                      <a:lumOff val="10000"/>
                    </a:schemeClr>
                  </a:solidFill>
                </a:rPr>
                <a:t>1250</a:t>
              </a:r>
            </a:p>
          </cdr:txBody>
        </cdr:sp>
      </cdr:grpSp>
    </cdr:grpSp>
  </cdr:absSizeAnchor>
  <cdr:absSizeAnchor xmlns:cdr="http://schemas.openxmlformats.org/drawingml/2006/chartDrawing">
    <cdr:from>
      <cdr:x>0.87928</cdr:x>
      <cdr:y>0.20273</cdr:y>
    </cdr:from>
    <cdr:ext cx="992619" cy="4000485"/>
    <cdr:grpSp>
      <cdr:nvGrpSpPr>
        <cdr:cNvPr id="176" name="Group 175">
          <a:extLst xmlns:a="http://schemas.openxmlformats.org/drawingml/2006/main">
            <a:ext uri="{FF2B5EF4-FFF2-40B4-BE49-F238E27FC236}">
              <a16:creationId xmlns:a16="http://schemas.microsoft.com/office/drawing/2014/main" id="{17A82035-785C-44F5-9AB6-F4019FCA1797}"/>
            </a:ext>
          </a:extLst>
        </cdr:cNvPr>
        <cdr:cNvGrpSpPr/>
      </cdr:nvGrpSpPr>
      <cdr:grpSpPr>
        <a:xfrm xmlns:a="http://schemas.openxmlformats.org/drawingml/2006/main">
          <a:off x="8090387" y="1133499"/>
          <a:ext cx="992619" cy="4000485"/>
          <a:chOff x="7990388" y="1038392"/>
          <a:chExt cx="994174" cy="4024939"/>
        </a:xfrm>
      </cdr:grpSpPr>
      <cdr:sp macro="" textlink="">
        <cdr:nvSpPr>
          <cdr:cNvPr id="110" name="TextBox 5"/>
          <cdr:cNvSpPr txBox="1"/>
        </cdr:nvSpPr>
        <cdr:spPr bwMode="auto">
          <a:xfrm xmlns:a="http://schemas.openxmlformats.org/drawingml/2006/main">
            <a:off x="7990388" y="1038392"/>
            <a:ext cx="994174" cy="15478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horzOverflow="clip" wrap="square" lIns="0" tIns="0" rIns="0" bIns="0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800">
                <a:solidFill>
                  <a:schemeClr val="tx1">
                    <a:lumMod val="90000"/>
                    <a:lumOff val="10000"/>
                  </a:schemeClr>
                </a:solidFill>
              </a:rPr>
              <a:t>1.0</a:t>
            </a:r>
          </a:p>
        </cdr:txBody>
      </cdr:sp>
      <cdr:sp macro="" textlink="">
        <cdr:nvSpPr>
          <cdr:cNvPr id="111" name="TextBox 1"/>
          <cdr:cNvSpPr txBox="1"/>
        </cdr:nvSpPr>
        <cdr:spPr bwMode="auto">
          <a:xfrm xmlns:a="http://schemas.openxmlformats.org/drawingml/2006/main">
            <a:off x="7990388" y="1426139"/>
            <a:ext cx="994174" cy="15478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horzOverflow="clip" wrap="square" lIns="0" tIns="0" rIns="0" bIns="0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800">
                <a:solidFill>
                  <a:schemeClr val="tx1">
                    <a:lumMod val="90000"/>
                    <a:lumOff val="10000"/>
                  </a:schemeClr>
                </a:solidFill>
              </a:rPr>
              <a:t>0.9</a:t>
            </a:r>
          </a:p>
        </cdr:txBody>
      </cdr:sp>
      <cdr:sp macro="" textlink="">
        <cdr:nvSpPr>
          <cdr:cNvPr id="112" name="TextBox 1"/>
          <cdr:cNvSpPr txBox="1"/>
        </cdr:nvSpPr>
        <cdr:spPr bwMode="auto">
          <a:xfrm xmlns:a="http://schemas.openxmlformats.org/drawingml/2006/main">
            <a:off x="7990388" y="1813886"/>
            <a:ext cx="994174" cy="15478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horzOverflow="clip" wrap="square" lIns="0" tIns="0" rIns="0" bIns="0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800">
                <a:solidFill>
                  <a:schemeClr val="tx1">
                    <a:lumMod val="90000"/>
                    <a:lumOff val="10000"/>
                  </a:schemeClr>
                </a:solidFill>
              </a:rPr>
              <a:t>0.8</a:t>
            </a:r>
          </a:p>
        </cdr:txBody>
      </cdr:sp>
      <cdr:sp macro="" textlink="">
        <cdr:nvSpPr>
          <cdr:cNvPr id="113" name="TextBox 1"/>
          <cdr:cNvSpPr txBox="1"/>
        </cdr:nvSpPr>
        <cdr:spPr bwMode="auto">
          <a:xfrm xmlns:a="http://schemas.openxmlformats.org/drawingml/2006/main">
            <a:off x="7990388" y="2201633"/>
            <a:ext cx="994174" cy="15478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horzOverflow="clip" wrap="square" lIns="0" tIns="0" rIns="0" bIns="0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800">
                <a:solidFill>
                  <a:schemeClr val="tx1">
                    <a:lumMod val="90000"/>
                    <a:lumOff val="10000"/>
                  </a:schemeClr>
                </a:solidFill>
              </a:rPr>
              <a:t>0.7</a:t>
            </a:r>
          </a:p>
        </cdr:txBody>
      </cdr:sp>
      <cdr:sp macro="" textlink="">
        <cdr:nvSpPr>
          <cdr:cNvPr id="114" name="TextBox 1"/>
          <cdr:cNvSpPr txBox="1"/>
        </cdr:nvSpPr>
        <cdr:spPr bwMode="auto">
          <a:xfrm xmlns:a="http://schemas.openxmlformats.org/drawingml/2006/main">
            <a:off x="7990388" y="2589380"/>
            <a:ext cx="994174" cy="15478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horzOverflow="clip" wrap="square" lIns="0" tIns="0" rIns="0" bIns="0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800">
                <a:solidFill>
                  <a:schemeClr val="tx1">
                    <a:lumMod val="90000"/>
                    <a:lumOff val="10000"/>
                  </a:schemeClr>
                </a:solidFill>
              </a:rPr>
              <a:t>0.6</a:t>
            </a:r>
          </a:p>
        </cdr:txBody>
      </cdr:sp>
      <cdr:sp macro="" textlink="">
        <cdr:nvSpPr>
          <cdr:cNvPr id="118" name="TextBox 5"/>
          <cdr:cNvSpPr txBox="1"/>
        </cdr:nvSpPr>
        <cdr:spPr bwMode="auto">
          <a:xfrm xmlns:a="http://schemas.openxmlformats.org/drawingml/2006/main">
            <a:off x="7990388" y="2963445"/>
            <a:ext cx="994174" cy="15478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horzOverflow="clip" wrap="square" lIns="0" tIns="0" rIns="0" bIns="0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800">
                <a:solidFill>
                  <a:schemeClr val="tx1">
                    <a:lumMod val="90000"/>
                    <a:lumOff val="10000"/>
                  </a:schemeClr>
                </a:solidFill>
              </a:rPr>
              <a:t>0.5</a:t>
            </a:r>
          </a:p>
        </cdr:txBody>
      </cdr:sp>
      <cdr:sp macro="" textlink="">
        <cdr:nvSpPr>
          <cdr:cNvPr id="119" name="TextBox 1"/>
          <cdr:cNvSpPr txBox="1"/>
        </cdr:nvSpPr>
        <cdr:spPr bwMode="auto">
          <a:xfrm xmlns:a="http://schemas.openxmlformats.org/drawingml/2006/main">
            <a:off x="7990388" y="3351192"/>
            <a:ext cx="994174" cy="15478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horzOverflow="clip" wrap="square" lIns="0" tIns="0" rIns="0" bIns="0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800">
                <a:solidFill>
                  <a:schemeClr val="tx1">
                    <a:lumMod val="90000"/>
                    <a:lumOff val="10000"/>
                  </a:schemeClr>
                </a:solidFill>
              </a:rPr>
              <a:t>0.4</a:t>
            </a:r>
          </a:p>
        </cdr:txBody>
      </cdr:sp>
      <cdr:sp macro="" textlink="">
        <cdr:nvSpPr>
          <cdr:cNvPr id="120" name="TextBox 1"/>
          <cdr:cNvSpPr txBox="1"/>
        </cdr:nvSpPr>
        <cdr:spPr bwMode="auto">
          <a:xfrm xmlns:a="http://schemas.openxmlformats.org/drawingml/2006/main">
            <a:off x="7990388" y="3738939"/>
            <a:ext cx="994174" cy="15478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horzOverflow="clip" wrap="square" lIns="0" tIns="0" rIns="0" bIns="0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800">
                <a:solidFill>
                  <a:schemeClr val="tx1">
                    <a:lumMod val="90000"/>
                    <a:lumOff val="10000"/>
                  </a:schemeClr>
                </a:solidFill>
              </a:rPr>
              <a:t>0.3</a:t>
            </a:r>
          </a:p>
        </cdr:txBody>
      </cdr:sp>
      <cdr:sp macro="" textlink="">
        <cdr:nvSpPr>
          <cdr:cNvPr id="121" name="TextBox 1"/>
          <cdr:cNvSpPr txBox="1"/>
        </cdr:nvSpPr>
        <cdr:spPr bwMode="auto">
          <a:xfrm xmlns:a="http://schemas.openxmlformats.org/drawingml/2006/main">
            <a:off x="7990388" y="4126686"/>
            <a:ext cx="994174" cy="15478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horzOverflow="clip" wrap="square" lIns="0" tIns="0" rIns="0" bIns="0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800">
                <a:solidFill>
                  <a:schemeClr val="tx1">
                    <a:lumMod val="90000"/>
                    <a:lumOff val="10000"/>
                  </a:schemeClr>
                </a:solidFill>
              </a:rPr>
              <a:t>0.2</a:t>
            </a:r>
          </a:p>
        </cdr:txBody>
      </cdr:sp>
      <cdr:sp macro="" textlink="">
        <cdr:nvSpPr>
          <cdr:cNvPr id="122" name="TextBox 1"/>
          <cdr:cNvSpPr txBox="1"/>
        </cdr:nvSpPr>
        <cdr:spPr bwMode="auto">
          <a:xfrm xmlns:a="http://schemas.openxmlformats.org/drawingml/2006/main">
            <a:off x="7990388" y="4514433"/>
            <a:ext cx="994174" cy="15478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horzOverflow="clip" wrap="square" lIns="0" tIns="0" rIns="0" bIns="0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800">
                <a:solidFill>
                  <a:schemeClr val="tx1">
                    <a:lumMod val="90000"/>
                    <a:lumOff val="10000"/>
                  </a:schemeClr>
                </a:solidFill>
              </a:rPr>
              <a:t>0.1</a:t>
            </a:r>
          </a:p>
        </cdr:txBody>
      </cdr:sp>
      <cdr:sp macro="" textlink="">
        <cdr:nvSpPr>
          <cdr:cNvPr id="143" name="TextBox 1"/>
          <cdr:cNvSpPr txBox="1"/>
        </cdr:nvSpPr>
        <cdr:spPr bwMode="auto">
          <a:xfrm xmlns:a="http://schemas.openxmlformats.org/drawingml/2006/main">
            <a:off x="7990388" y="4908550"/>
            <a:ext cx="994174" cy="15478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horzOverflow="clip" wrap="square" lIns="0" tIns="0" rIns="0" bIns="0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800">
                <a:solidFill>
                  <a:schemeClr val="tx1">
                    <a:lumMod val="90000"/>
                    <a:lumOff val="10000"/>
                  </a:schemeClr>
                </a:solidFill>
              </a:rPr>
              <a:t>0.0</a:t>
            </a:r>
          </a:p>
        </cdr:txBody>
      </cdr:sp>
    </cdr:grpSp>
  </cdr:absSizeAnchor>
  <cdr:absSizeAnchor xmlns:cdr="http://schemas.openxmlformats.org/drawingml/2006/chartDrawing">
    <cdr:from>
      <cdr:x>0.95833</cdr:x>
      <cdr:y>0.38515</cdr:y>
    </cdr:from>
    <cdr:ext cx="232789" cy="1951823"/>
    <cdr:sp macro="" textlink="Language!$B$320">
      <cdr:nvSpPr>
        <cdr:cNvPr id="145" name="TextBox 1"/>
        <cdr:cNvSpPr txBox="1"/>
      </cdr:nvSpPr>
      <cdr:spPr>
        <a:xfrm xmlns:a="http://schemas.openxmlformats.org/drawingml/2006/main" rot="5400000">
          <a:off x="7958238" y="3012976"/>
          <a:ext cx="1951823" cy="2327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vert="horz" wrap="square" rtlCol="0" anchor="ctr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124CA84-403E-4318-961D-2A719374738F}" type="TxLink">
            <a:rPr lang="en-US" altLang="ko-KR" sz="800" b="0">
              <a:solidFill>
                <a:schemeClr val="tx1">
                  <a:lumMod val="90000"/>
                  <a:lumOff val="10000"/>
                </a:schemeClr>
              </a:solidFill>
            </a:rPr>
            <a:pPr algn="ctr"/>
            <a:t>Weekly mortality %</a:t>
          </a:fld>
          <a:endParaRPr lang="en-US" sz="800" b="0">
            <a:solidFill>
              <a:schemeClr val="tx1">
                <a:lumMod val="90000"/>
                <a:lumOff val="10000"/>
              </a:schemeClr>
            </a:solidFill>
          </a:endParaRPr>
        </a:p>
      </cdr:txBody>
    </cdr:sp>
  </cdr:absSizeAnchor>
  <cdr:absSizeAnchor xmlns:cdr="http://schemas.openxmlformats.org/drawingml/2006/chartDrawing">
    <cdr:from>
      <cdr:x>0.20086</cdr:x>
      <cdr:y>0.10562</cdr:y>
    </cdr:from>
    <cdr:ext cx="5518758" cy="524061"/>
    <cdr:grpSp>
      <cdr:nvGrpSpPr>
        <cdr:cNvPr id="177" name="Group 176">
          <a:extLst xmlns:a="http://schemas.openxmlformats.org/drawingml/2006/main">
            <a:ext uri="{FF2B5EF4-FFF2-40B4-BE49-F238E27FC236}">
              <a16:creationId xmlns:a16="http://schemas.microsoft.com/office/drawing/2014/main" id="{689EE24A-63DE-4FB5-BDE7-328A1A7B5DAB}"/>
            </a:ext>
          </a:extLst>
        </cdr:cNvPr>
        <cdr:cNvGrpSpPr/>
      </cdr:nvGrpSpPr>
      <cdr:grpSpPr>
        <a:xfrm xmlns:a="http://schemas.openxmlformats.org/drawingml/2006/main">
          <a:off x="1848143" y="590540"/>
          <a:ext cx="5518758" cy="524061"/>
          <a:chOff x="1819275" y="867722"/>
          <a:chExt cx="5524500" cy="404678"/>
        </a:xfrm>
      </cdr:grpSpPr>
      <cdr:grpSp>
        <cdr:nvGrpSpPr>
          <cdr:cNvPr id="189" name="Group 484">
            <a:extLst xmlns:a="http://schemas.openxmlformats.org/drawingml/2006/main">
              <a:ext uri="{FF2B5EF4-FFF2-40B4-BE49-F238E27FC236}">
                <a16:creationId xmlns:a16="http://schemas.microsoft.com/office/drawing/2014/main" id="{B3A1D343-42AB-414C-9159-ED1DE5AA2B69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1895649" y="867722"/>
            <a:ext cx="5374153" cy="404678"/>
            <a:chOff x="1881498" y="821850"/>
            <a:chExt cx="5381005" cy="405081"/>
          </a:xfrm>
        </cdr:grpSpPr>
      </cdr:grpSp>
      <cdr:grpSp>
        <cdr:nvGrpSpPr>
          <cdr:cNvPr id="25152" name="Group 484">
            <a:extLst xmlns:a="http://schemas.openxmlformats.org/drawingml/2006/main">
              <a:ext uri="{FF2B5EF4-FFF2-40B4-BE49-F238E27FC236}">
                <a16:creationId xmlns:a16="http://schemas.microsoft.com/office/drawing/2014/main" id="{ED5A2862-91F6-4548-80A1-91B60585DE75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1895649" y="867722"/>
            <a:ext cx="5374153" cy="404678"/>
            <a:chOff x="1881498" y="821850"/>
            <a:chExt cx="5381005" cy="405081"/>
          </a:xfrm>
        </cdr:grpSpPr>
        <cdr:grpSp>
          <cdr:nvGrpSpPr>
            <cdr:cNvPr id="191" name="Group 7">
              <a:extLst xmlns:a="http://schemas.openxmlformats.org/drawingml/2006/main">
                <a:ext uri="{FF2B5EF4-FFF2-40B4-BE49-F238E27FC236}">
                  <a16:creationId xmlns:a16="http://schemas.microsoft.com/office/drawing/2014/main" id="{0C3417D7-1329-45C6-A6FF-AD5C56E41EFE}"/>
                </a:ext>
              </a:extLst>
            </cdr:cNvPr>
            <cdr:cNvGrpSpPr>
              <a:grpSpLocks xmlns:a="http://schemas.openxmlformats.org/drawingml/2006/main"/>
            </cdr:cNvGrpSpPr>
          </cdr:nvGrpSpPr>
          <cdr:grpSpPr bwMode="auto">
            <a:xfrm xmlns:a="http://schemas.openxmlformats.org/drawingml/2006/main">
              <a:off x="1881498" y="821850"/>
              <a:ext cx="5381005" cy="265043"/>
              <a:chOff x="2460312" y="803967"/>
              <a:chExt cx="4572726" cy="265043"/>
            </a:xfrm>
          </cdr:grpSpPr>
        </cdr:grpSp>
        <cdr:grpSp>
          <cdr:nvGrpSpPr>
            <cdr:cNvPr id="25155" name="Group 7">
              <a:extLst xmlns:a="http://schemas.openxmlformats.org/drawingml/2006/main">
                <a:ext uri="{FF2B5EF4-FFF2-40B4-BE49-F238E27FC236}">
                  <a16:creationId xmlns:a16="http://schemas.microsoft.com/office/drawing/2014/main" id="{38580076-9242-4117-B398-3C081B094828}"/>
                </a:ext>
              </a:extLst>
            </cdr:cNvPr>
            <cdr:cNvGrpSpPr>
              <a:grpSpLocks xmlns:a="http://schemas.openxmlformats.org/drawingml/2006/main"/>
            </cdr:cNvGrpSpPr>
          </cdr:nvGrpSpPr>
          <cdr:grpSpPr bwMode="auto">
            <a:xfrm xmlns:a="http://schemas.openxmlformats.org/drawingml/2006/main">
              <a:off x="1881498" y="821850"/>
              <a:ext cx="5381005" cy="265043"/>
              <a:chOff x="2460312" y="803967"/>
              <a:chExt cx="4572726" cy="265043"/>
            </a:xfrm>
          </cdr:grpSpPr>
          <cdr:sp macro="" textlink="'Graph values'!$G$117">
            <cdr:nvSpPr>
              <cdr:cNvPr id="7" name="TextBox 6"/>
              <cdr:cNvSpPr txBox="1"/>
            </cdr:nvSpPr>
            <cdr:spPr>
              <a:xfrm xmlns:a="http://schemas.openxmlformats.org/drawingml/2006/main">
                <a:off x="2460312" y="803967"/>
                <a:ext cx="762000" cy="265043"/>
              </a:xfrm>
              <a:prstGeom xmlns:a="http://schemas.openxmlformats.org/drawingml/2006/main" prst="rect">
                <a:avLst/>
              </a:prstGeom>
              <a:ln xmlns:a="http://schemas.openxmlformats.org/drawingml/2006/main">
                <a:noFill/>
              </a:ln>
            </cdr:spPr>
            <cdr:txBody>
              <a:bodyPr xmlns:a="http://schemas.openxmlformats.org/drawingml/2006/main" vertOverflow="overflow" horzOverflow="overflow" wrap="none" lIns="0" tIns="0" rIns="0" bIns="0" rtlCol="0" anchor="ctr"/>
              <a:lstStyle xmlns:a="http://schemas.openxmlformats.org/drawingml/2006/main"/>
              <a:p xmlns:a="http://schemas.openxmlformats.org/drawingml/2006/main">
                <a:pPr algn="ctr"/>
                <a:fld id="{4E175530-C764-4E84-AFD8-838E90D9BD82}" type="TxLink">
                  <a:rPr lang="ko-KR" altLang="en-US" sz="800" b="1">
                    <a:solidFill>
                      <a:schemeClr val="tx1">
                        <a:lumMod val="90000"/>
                        <a:lumOff val="10000"/>
                      </a:schemeClr>
                    </a:solidFill>
                  </a:rPr>
                  <a:pPr algn="ctr"/>
                  <a:t>Week</a:t>
                </a:fld>
                <a:endParaRPr lang="en-US" sz="800" b="1">
                  <a:solidFill>
                    <a:schemeClr val="tx1">
                      <a:lumMod val="90000"/>
                      <a:lumOff val="10000"/>
                    </a:schemeClr>
                  </a:solidFill>
                </a:endParaRPr>
              </a:p>
            </cdr:txBody>
          </cdr:sp>
          <cdr:sp macro="" textlink="'Graph values'!$F$117">
            <cdr:nvSpPr>
              <cdr:cNvPr id="555" name="TextBox 1"/>
              <cdr:cNvSpPr txBox="1"/>
            </cdr:nvSpPr>
            <cdr:spPr>
              <a:xfrm xmlns:a="http://schemas.openxmlformats.org/drawingml/2006/main">
                <a:off x="3219859" y="803967"/>
                <a:ext cx="762000" cy="265043"/>
              </a:xfrm>
              <a:prstGeom xmlns:a="http://schemas.openxmlformats.org/drawingml/2006/main" prst="rect">
                <a:avLst/>
              </a:prstGeom>
              <a:ln xmlns:a="http://schemas.openxmlformats.org/drawingml/2006/main">
                <a:noFill/>
              </a:ln>
            </cdr:spPr>
            <cdr:txBody>
              <a:bodyPr xmlns:a="http://schemas.openxmlformats.org/drawingml/2006/main" vertOverflow="overflow" horzOverflow="overflow" wrap="none" lIns="0" tIns="0" rIns="0" bIns="0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7FD74F94-90D5-4690-A2AF-D81964BD1E40}" type="TxLink">
                  <a:rPr lang="en-US" altLang="ko-KR" sz="800" b="1">
                    <a:solidFill>
                      <a:schemeClr val="tx1">
                        <a:lumMod val="90000"/>
                        <a:lumOff val="10000"/>
                      </a:schemeClr>
                    </a:solidFill>
                  </a:rPr>
                  <a:pPr algn="ctr"/>
                  <a:t>Cum feed cons</a:t>
                </a:fld>
                <a:endParaRPr lang="en-US" sz="800" b="1">
                  <a:solidFill>
                    <a:schemeClr val="tx1">
                      <a:lumMod val="90000"/>
                      <a:lumOff val="10000"/>
                    </a:schemeClr>
                  </a:solidFill>
                </a:endParaRPr>
              </a:p>
            </cdr:txBody>
          </cdr:sp>
          <cdr:sp macro="" textlink="'Graph values'!$C$117">
            <cdr:nvSpPr>
              <cdr:cNvPr id="556" name="TextBox 1"/>
              <cdr:cNvSpPr txBox="1"/>
            </cdr:nvSpPr>
            <cdr:spPr>
              <a:xfrm xmlns:a="http://schemas.openxmlformats.org/drawingml/2006/main">
                <a:off x="3983736" y="803967"/>
                <a:ext cx="762000" cy="265043"/>
              </a:xfrm>
              <a:prstGeom xmlns:a="http://schemas.openxmlformats.org/drawingml/2006/main" prst="rect">
                <a:avLst/>
              </a:prstGeom>
              <a:ln xmlns:a="http://schemas.openxmlformats.org/drawingml/2006/main">
                <a:noFill/>
              </a:ln>
            </cdr:spPr>
            <cdr:txBody>
              <a:bodyPr xmlns:a="http://schemas.openxmlformats.org/drawingml/2006/main" vertOverflow="overflow" horzOverflow="overflow" wrap="none" lIns="0" tIns="0" rIns="0" bIns="0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4327BF74-48AD-413D-98EF-FA2A429B2F9B}" type="TxLink">
                  <a:rPr lang="en-US" altLang="ko-KR" sz="800" b="1">
                    <a:solidFill>
                      <a:schemeClr val="tx1">
                        <a:lumMod val="90000"/>
                        <a:lumOff val="10000"/>
                      </a:schemeClr>
                    </a:solidFill>
                  </a:rPr>
                  <a:pPr algn="ctr"/>
                  <a:t>Egg/hh</a:t>
                </a:fld>
                <a:endParaRPr lang="en-US" sz="800" b="1">
                  <a:solidFill>
                    <a:schemeClr val="tx1">
                      <a:lumMod val="90000"/>
                      <a:lumOff val="10000"/>
                    </a:schemeClr>
                  </a:solidFill>
                </a:endParaRPr>
              </a:p>
            </cdr:txBody>
          </cdr:sp>
          <cdr:sp macro="" textlink="'Graph values'!$B$117">
            <cdr:nvSpPr>
              <cdr:cNvPr id="557" name="TextBox 1"/>
              <cdr:cNvSpPr txBox="1"/>
            </cdr:nvSpPr>
            <cdr:spPr>
              <a:xfrm xmlns:a="http://schemas.openxmlformats.org/drawingml/2006/main">
                <a:off x="4743284" y="803967"/>
                <a:ext cx="762000" cy="265043"/>
              </a:xfrm>
              <a:prstGeom xmlns:a="http://schemas.openxmlformats.org/drawingml/2006/main" prst="rect">
                <a:avLst/>
              </a:prstGeom>
              <a:ln xmlns:a="http://schemas.openxmlformats.org/drawingml/2006/main">
                <a:noFill/>
              </a:ln>
            </cdr:spPr>
            <cdr:txBody>
              <a:bodyPr xmlns:a="http://schemas.openxmlformats.org/drawingml/2006/main" vertOverflow="overflow" horzOverflow="overflow" wrap="none" lIns="0" tIns="0" rIns="0" bIns="0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46FEDD5E-41C0-4A34-8E53-55DF392FB125}" type="TxLink">
                  <a:rPr lang="en-US" altLang="ja-JP" sz="800" b="1">
                    <a:solidFill>
                      <a:schemeClr val="tx1">
                        <a:lumMod val="90000"/>
                        <a:lumOff val="10000"/>
                      </a:schemeClr>
                    </a:solidFill>
                  </a:rPr>
                  <a:pPr algn="ctr"/>
                  <a:t>AEW</a:t>
                </a:fld>
                <a:endParaRPr lang="en-US" sz="800" b="1">
                  <a:solidFill>
                    <a:schemeClr val="tx1">
                      <a:lumMod val="90000"/>
                      <a:lumOff val="10000"/>
                    </a:schemeClr>
                  </a:solidFill>
                </a:endParaRPr>
              </a:p>
            </cdr:txBody>
          </cdr:sp>
          <cdr:sp macro="" textlink="'Graph values'!$D$117">
            <cdr:nvSpPr>
              <cdr:cNvPr id="558" name="TextBox 1"/>
              <cdr:cNvSpPr txBox="1"/>
            </cdr:nvSpPr>
            <cdr:spPr>
              <a:xfrm xmlns:a="http://schemas.openxmlformats.org/drawingml/2006/main">
                <a:off x="5507161" y="803967"/>
                <a:ext cx="762000" cy="265043"/>
              </a:xfrm>
              <a:prstGeom xmlns:a="http://schemas.openxmlformats.org/drawingml/2006/main" prst="rect">
                <a:avLst/>
              </a:prstGeom>
              <a:ln xmlns:a="http://schemas.openxmlformats.org/drawingml/2006/main">
                <a:noFill/>
              </a:ln>
            </cdr:spPr>
            <cdr:txBody>
              <a:bodyPr xmlns:a="http://schemas.openxmlformats.org/drawingml/2006/main" vertOverflow="overflow" horzOverflow="overflow" wrap="none" lIns="0" tIns="0" rIns="0" bIns="0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94B5BB7B-B171-4EE3-B2F8-8A7688E816AC}" type="TxLink">
                  <a:rPr lang="en-US" altLang="ko-KR" sz="800" b="1">
                    <a:solidFill>
                      <a:schemeClr val="tx1">
                        <a:lumMod val="90000"/>
                        <a:lumOff val="10000"/>
                      </a:schemeClr>
                    </a:solidFill>
                  </a:rPr>
                  <a:pPr algn="ctr"/>
                  <a:t>FCR</a:t>
                </a:fld>
                <a:endParaRPr lang="en-US" sz="800" b="1">
                  <a:solidFill>
                    <a:schemeClr val="tx1">
                      <a:lumMod val="90000"/>
                      <a:lumOff val="10000"/>
                    </a:schemeClr>
                  </a:solidFill>
                </a:endParaRPr>
              </a:p>
            </cdr:txBody>
          </cdr:sp>
          <cdr:sp macro="" textlink="'Graph values'!$E$117">
            <cdr:nvSpPr>
              <cdr:cNvPr id="559" name="TextBox 1"/>
              <cdr:cNvSpPr txBox="1"/>
            </cdr:nvSpPr>
            <cdr:spPr>
              <a:xfrm xmlns:a="http://schemas.openxmlformats.org/drawingml/2006/main">
                <a:off x="6271038" y="803967"/>
                <a:ext cx="762000" cy="265043"/>
              </a:xfrm>
              <a:prstGeom xmlns:a="http://schemas.openxmlformats.org/drawingml/2006/main" prst="rect">
                <a:avLst/>
              </a:prstGeom>
              <a:ln xmlns:a="http://schemas.openxmlformats.org/drawingml/2006/main">
                <a:noFill/>
              </a:ln>
            </cdr:spPr>
            <cdr:txBody>
              <a:bodyPr xmlns:a="http://schemas.openxmlformats.org/drawingml/2006/main" vertOverflow="overflow" horzOverflow="overflow" wrap="none" lIns="0" tIns="0" rIns="0" bIns="0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47A37760-DE28-4FA7-95D7-89E1CDA0490A}" type="TxLink">
                  <a:rPr lang="en-US" altLang="ko-KR" sz="800" b="1">
                    <a:solidFill>
                      <a:schemeClr val="tx1">
                        <a:lumMod val="90000"/>
                        <a:lumOff val="10000"/>
                      </a:schemeClr>
                    </a:solidFill>
                  </a:rPr>
                  <a:pPr algn="ctr"/>
                  <a:t>FCR egg</a:t>
                </a:fld>
                <a:endParaRPr lang="en-US" sz="800" b="1">
                  <a:solidFill>
                    <a:schemeClr val="tx1">
                      <a:lumMod val="90000"/>
                      <a:lumOff val="10000"/>
                    </a:schemeClr>
                  </a:solidFill>
                </a:endParaRPr>
              </a:p>
            </cdr:txBody>
          </cdr:sp>
        </cdr:grpSp>
        <cdr:grpSp>
          <cdr:nvGrpSpPr>
            <cdr:cNvPr id="193" name="Group 559">
              <a:extLst xmlns:a="http://schemas.openxmlformats.org/drawingml/2006/main">
                <a:ext uri="{FF2B5EF4-FFF2-40B4-BE49-F238E27FC236}">
                  <a16:creationId xmlns:a16="http://schemas.microsoft.com/office/drawing/2014/main" id="{D46555FB-9EEE-43F9-919C-CA967996E6F6}"/>
                </a:ext>
              </a:extLst>
            </cdr:cNvPr>
            <cdr:cNvGrpSpPr>
              <a:grpSpLocks xmlns:a="http://schemas.openxmlformats.org/drawingml/2006/main"/>
            </cdr:cNvGrpSpPr>
          </cdr:nvGrpSpPr>
          <cdr:grpSpPr bwMode="auto">
            <a:xfrm xmlns:a="http://schemas.openxmlformats.org/drawingml/2006/main">
              <a:off x="1881498" y="961888"/>
              <a:ext cx="5381005" cy="265043"/>
              <a:chOff x="0" y="0"/>
              <a:chExt cx="4572726" cy="265043"/>
            </a:xfrm>
          </cdr:grpSpPr>
        </cdr:grpSp>
        <cdr:grpSp>
          <cdr:nvGrpSpPr>
            <cdr:cNvPr id="25157" name="Group 559">
              <a:extLst xmlns:a="http://schemas.openxmlformats.org/drawingml/2006/main">
                <a:ext uri="{FF2B5EF4-FFF2-40B4-BE49-F238E27FC236}">
                  <a16:creationId xmlns:a16="http://schemas.microsoft.com/office/drawing/2014/main" id="{83ECE963-EC4D-4A6B-943F-AA306A570CD6}"/>
                </a:ext>
              </a:extLst>
            </cdr:cNvPr>
            <cdr:cNvGrpSpPr>
              <a:grpSpLocks xmlns:a="http://schemas.openxmlformats.org/drawingml/2006/main"/>
            </cdr:cNvGrpSpPr>
          </cdr:nvGrpSpPr>
          <cdr:grpSpPr bwMode="auto">
            <a:xfrm xmlns:a="http://schemas.openxmlformats.org/drawingml/2006/main">
              <a:off x="1881498" y="961888"/>
              <a:ext cx="5381005" cy="265043"/>
              <a:chOff x="0" y="0"/>
              <a:chExt cx="4572726" cy="265043"/>
            </a:xfrm>
          </cdr:grpSpPr>
          <cdr:sp macro="" textlink="'Graph values'!$G$118">
            <cdr:nvSpPr>
              <cdr:cNvPr id="561" name="TextBox 2"/>
              <cdr:cNvSpPr txBox="1"/>
            </cdr:nvSpPr>
            <cdr:spPr>
              <a:xfrm xmlns:a="http://schemas.openxmlformats.org/drawingml/2006/main">
                <a:off x="0" y="0"/>
                <a:ext cx="762000" cy="265043"/>
              </a:xfrm>
              <a:prstGeom xmlns:a="http://schemas.openxmlformats.org/drawingml/2006/main" prst="rect">
                <a:avLst/>
              </a:prstGeom>
              <a:ln xmlns:a="http://schemas.openxmlformats.org/drawingml/2006/main">
                <a:noFill/>
              </a:ln>
            </cdr:spPr>
            <cdr:txBody>
              <a:bodyPr xmlns:a="http://schemas.openxmlformats.org/drawingml/2006/main" vertOverflow="overflow" horzOverflow="overflow" wrap="none" lIns="0" tIns="0" rIns="0" bIns="0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7C5BBBD8-78FE-43FD-8858-A9FF0BF1CEA1}" type="TxLink">
                  <a:rPr lang="en-US" sz="800">
                    <a:solidFill>
                      <a:schemeClr val="tx1">
                        <a:lumMod val="90000"/>
                        <a:lumOff val="10000"/>
                      </a:schemeClr>
                    </a:solidFill>
                  </a:rPr>
                  <a:pPr algn="ctr"/>
                  <a:t>0</a:t>
                </a:fld>
                <a:endParaRPr lang="en-US" sz="800">
                  <a:solidFill>
                    <a:schemeClr val="tx1">
                      <a:lumMod val="90000"/>
                      <a:lumOff val="10000"/>
                    </a:schemeClr>
                  </a:solidFill>
                </a:endParaRPr>
              </a:p>
            </cdr:txBody>
          </cdr:sp>
          <cdr:sp macro="" textlink="'Graph values'!$F$118">
            <cdr:nvSpPr>
              <cdr:cNvPr id="562" name="TextBox 1"/>
              <cdr:cNvSpPr txBox="1"/>
            </cdr:nvSpPr>
            <cdr:spPr>
              <a:xfrm xmlns:a="http://schemas.openxmlformats.org/drawingml/2006/main">
                <a:off x="759547" y="0"/>
                <a:ext cx="762000" cy="265043"/>
              </a:xfrm>
              <a:prstGeom xmlns:a="http://schemas.openxmlformats.org/drawingml/2006/main" prst="rect">
                <a:avLst/>
              </a:prstGeom>
              <a:ln xmlns:a="http://schemas.openxmlformats.org/drawingml/2006/main">
                <a:noFill/>
              </a:ln>
            </cdr:spPr>
            <cdr:txBody>
              <a:bodyPr xmlns:a="http://schemas.openxmlformats.org/drawingml/2006/main" vertOverflow="overflow" horzOverflow="overflow" wrap="none" lIns="0" tIns="0" rIns="0" bIns="0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2FC6F80A-AE5A-49D5-9DEB-0B0B7DB246F7}" type="TxLink">
                  <a:rPr lang="en-US" sz="800">
                    <a:solidFill>
                      <a:schemeClr val="tx1">
                        <a:lumMod val="90000"/>
                        <a:lumOff val="10000"/>
                      </a:schemeClr>
                    </a:solidFill>
                  </a:rPr>
                  <a:pPr algn="ctr"/>
                  <a:t>0</a:t>
                </a:fld>
                <a:endParaRPr lang="en-US" sz="800">
                  <a:solidFill>
                    <a:schemeClr val="tx1">
                      <a:lumMod val="90000"/>
                      <a:lumOff val="10000"/>
                    </a:schemeClr>
                  </a:solidFill>
                </a:endParaRPr>
              </a:p>
            </cdr:txBody>
          </cdr:sp>
          <cdr:sp macro="" textlink="'Graph values'!$C$118">
            <cdr:nvSpPr>
              <cdr:cNvPr id="563" name="TextBox 1"/>
              <cdr:cNvSpPr txBox="1"/>
            </cdr:nvSpPr>
            <cdr:spPr>
              <a:xfrm xmlns:a="http://schemas.openxmlformats.org/drawingml/2006/main">
                <a:off x="1523424" y="0"/>
                <a:ext cx="762000" cy="265043"/>
              </a:xfrm>
              <a:prstGeom xmlns:a="http://schemas.openxmlformats.org/drawingml/2006/main" prst="rect">
                <a:avLst/>
              </a:prstGeom>
              <a:ln xmlns:a="http://schemas.openxmlformats.org/drawingml/2006/main">
                <a:noFill/>
              </a:ln>
            </cdr:spPr>
            <cdr:txBody>
              <a:bodyPr xmlns:a="http://schemas.openxmlformats.org/drawingml/2006/main" vertOverflow="overflow" horzOverflow="overflow" wrap="none" lIns="0" tIns="0" rIns="0" bIns="0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CEB0D823-B41A-4C92-84CD-18868A3E0F55}" type="TxLink">
                  <a:rPr lang="en-US" sz="800">
                    <a:solidFill>
                      <a:schemeClr val="tx1">
                        <a:lumMod val="90000"/>
                        <a:lumOff val="10000"/>
                      </a:schemeClr>
                    </a:solidFill>
                  </a:rPr>
                  <a:pPr algn="ctr"/>
                  <a:t>0.0</a:t>
                </a:fld>
                <a:endParaRPr lang="en-US" sz="800">
                  <a:solidFill>
                    <a:schemeClr val="tx1">
                      <a:lumMod val="90000"/>
                      <a:lumOff val="10000"/>
                    </a:schemeClr>
                  </a:solidFill>
                </a:endParaRPr>
              </a:p>
            </cdr:txBody>
          </cdr:sp>
          <cdr:sp macro="" textlink="'Graph values'!$B$118">
            <cdr:nvSpPr>
              <cdr:cNvPr id="564" name="TextBox 1"/>
              <cdr:cNvSpPr txBox="1"/>
            </cdr:nvSpPr>
            <cdr:spPr>
              <a:xfrm xmlns:a="http://schemas.openxmlformats.org/drawingml/2006/main">
                <a:off x="2282972" y="0"/>
                <a:ext cx="762000" cy="265043"/>
              </a:xfrm>
              <a:prstGeom xmlns:a="http://schemas.openxmlformats.org/drawingml/2006/main" prst="rect">
                <a:avLst/>
              </a:prstGeom>
              <a:ln xmlns:a="http://schemas.openxmlformats.org/drawingml/2006/main">
                <a:noFill/>
              </a:ln>
            </cdr:spPr>
            <cdr:txBody>
              <a:bodyPr xmlns:a="http://schemas.openxmlformats.org/drawingml/2006/main" vertOverflow="overflow" horzOverflow="overflow" wrap="none" lIns="0" tIns="0" rIns="0" bIns="0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FDB38D9B-37A0-4582-BF09-949B42228611}" type="TxLink">
                  <a:rPr lang="en-US" sz="800">
                    <a:solidFill>
                      <a:schemeClr val="tx1">
                        <a:lumMod val="90000"/>
                        <a:lumOff val="10000"/>
                      </a:schemeClr>
                    </a:solidFill>
                  </a:rPr>
                  <a:pPr algn="ctr"/>
                  <a:t>0.0</a:t>
                </a:fld>
                <a:endParaRPr lang="en-US" sz="800">
                  <a:solidFill>
                    <a:schemeClr val="tx1">
                      <a:lumMod val="90000"/>
                      <a:lumOff val="10000"/>
                    </a:schemeClr>
                  </a:solidFill>
                </a:endParaRPr>
              </a:p>
            </cdr:txBody>
          </cdr:sp>
          <cdr:sp macro="" textlink="'Graph values'!$D$118">
            <cdr:nvSpPr>
              <cdr:cNvPr id="565" name="TextBox 1"/>
              <cdr:cNvSpPr txBox="1"/>
            </cdr:nvSpPr>
            <cdr:spPr>
              <a:xfrm xmlns:a="http://schemas.openxmlformats.org/drawingml/2006/main">
                <a:off x="3046849" y="0"/>
                <a:ext cx="762000" cy="265043"/>
              </a:xfrm>
              <a:prstGeom xmlns:a="http://schemas.openxmlformats.org/drawingml/2006/main" prst="rect">
                <a:avLst/>
              </a:prstGeom>
              <a:ln xmlns:a="http://schemas.openxmlformats.org/drawingml/2006/main">
                <a:noFill/>
              </a:ln>
            </cdr:spPr>
            <cdr:txBody>
              <a:bodyPr xmlns:a="http://schemas.openxmlformats.org/drawingml/2006/main" vertOverflow="overflow" horzOverflow="overflow" wrap="none" lIns="0" tIns="0" rIns="0" bIns="0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E8676638-D80A-4C74-8BB8-703123BB710D}" type="TxLink">
                  <a:rPr lang="en-US" sz="800">
                    <a:solidFill>
                      <a:schemeClr val="tx1">
                        <a:lumMod val="90000"/>
                        <a:lumOff val="10000"/>
                      </a:schemeClr>
                    </a:solidFill>
                  </a:rPr>
                  <a:pPr algn="ctr"/>
                  <a:t>#N/A</a:t>
                </a:fld>
                <a:endParaRPr lang="en-US" sz="800">
                  <a:solidFill>
                    <a:schemeClr val="tx1">
                      <a:lumMod val="90000"/>
                      <a:lumOff val="10000"/>
                    </a:schemeClr>
                  </a:solidFill>
                </a:endParaRPr>
              </a:p>
            </cdr:txBody>
          </cdr:sp>
          <cdr:sp macro="" textlink="'Graph values'!$E$118">
            <cdr:nvSpPr>
              <cdr:cNvPr id="566" name="TextBox 1"/>
              <cdr:cNvSpPr txBox="1"/>
            </cdr:nvSpPr>
            <cdr:spPr>
              <a:xfrm xmlns:a="http://schemas.openxmlformats.org/drawingml/2006/main">
                <a:off x="3810726" y="0"/>
                <a:ext cx="762000" cy="265043"/>
              </a:xfrm>
              <a:prstGeom xmlns:a="http://schemas.openxmlformats.org/drawingml/2006/main" prst="rect">
                <a:avLst/>
              </a:prstGeom>
              <a:ln xmlns:a="http://schemas.openxmlformats.org/drawingml/2006/main">
                <a:noFill/>
              </a:ln>
            </cdr:spPr>
            <cdr:txBody>
              <a:bodyPr xmlns:a="http://schemas.openxmlformats.org/drawingml/2006/main" vertOverflow="overflow" horzOverflow="overflow" wrap="none" lIns="0" tIns="0" rIns="0" bIns="0" rtlCol="0" anchor="ctr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fld id="{C5876080-7AF5-4822-92C7-1A71AF07F81A}" type="TxLink">
                  <a:rPr lang="en-US" sz="800">
                    <a:solidFill>
                      <a:schemeClr val="tx1">
                        <a:lumMod val="90000"/>
                        <a:lumOff val="10000"/>
                      </a:schemeClr>
                    </a:solidFill>
                  </a:rPr>
                  <a:pPr algn="ctr"/>
                  <a:t>#N/A</a:t>
                </a:fld>
                <a:endParaRPr lang="en-US" sz="800">
                  <a:solidFill>
                    <a:schemeClr val="tx1">
                      <a:lumMod val="90000"/>
                      <a:lumOff val="10000"/>
                    </a:schemeClr>
                  </a:solidFill>
                </a:endParaRPr>
              </a:p>
            </cdr:txBody>
          </cdr:sp>
        </cdr:grpSp>
      </cdr:grpSp>
      <cdr:cxnSp macro="">
        <cdr:nvCxnSpPr>
          <cdr:cNvPr id="3" name="Straight Connector 2">
            <a:extLst xmlns:a="http://schemas.openxmlformats.org/drawingml/2006/main">
              <a:ext uri="{FF2B5EF4-FFF2-40B4-BE49-F238E27FC236}">
                <a16:creationId xmlns:a16="http://schemas.microsoft.com/office/drawing/2014/main" id="{D8D70B93-12E3-40C5-A0B0-259E52682DF2}"/>
              </a:ext>
            </a:extLst>
          </cdr:cNvPr>
          <cdr:cNvCxnSpPr/>
        </cdr:nvCxnSpPr>
        <cdr:spPr bwMode="auto">
          <a:xfrm xmlns:a="http://schemas.openxmlformats.org/drawingml/2006/main">
            <a:off x="1819275" y="1066800"/>
            <a:ext cx="5524500" cy="0"/>
          </a:xfrm>
          <a:prstGeom xmlns:a="http://schemas.openxmlformats.org/drawingml/2006/main" prst="line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3175" cap="flat" cmpd="sng" algn="ctr">
            <a:solidFill>
              <a:schemeClr val="bg2"/>
            </a:solidFill>
            <a:prstDash val="solid"/>
            <a:round/>
            <a:headEnd type="none" w="med" len="med"/>
            <a:tailEnd type="none" w="med" len="med"/>
          </a:ln>
          <a:effectLst xmlns:a="http://schemas.openxmlformats.org/drawingml/2006/main"/>
        </cdr:spPr>
      </cdr:cxnSp>
    </cdr:grpSp>
  </cdr:absSizeAnchor>
  <cdr:absSizeAnchor xmlns:cdr="http://schemas.openxmlformats.org/drawingml/2006/chartDrawing">
    <cdr:from>
      <cdr:x>0.67538</cdr:x>
      <cdr:y>0.01656</cdr:y>
    </cdr:from>
    <cdr:ext cx="1798273" cy="358618"/>
    <cdr:grpSp>
      <cdr:nvGrpSpPr>
        <cdr:cNvPr id="178" name="Group 177">
          <a:extLst xmlns:a="http://schemas.openxmlformats.org/drawingml/2006/main">
            <a:ext uri="{FF2B5EF4-FFF2-40B4-BE49-F238E27FC236}">
              <a16:creationId xmlns:a16="http://schemas.microsoft.com/office/drawing/2014/main" id="{74D25E4D-BEB7-435B-8E0E-7112BE89074B}"/>
            </a:ext>
          </a:extLst>
        </cdr:cNvPr>
        <cdr:cNvGrpSpPr/>
      </cdr:nvGrpSpPr>
      <cdr:grpSpPr>
        <a:xfrm xmlns:a="http://schemas.openxmlformats.org/drawingml/2006/main">
          <a:off x="6214273" y="92590"/>
          <a:ext cx="1798273" cy="358618"/>
          <a:chOff x="0" y="0"/>
          <a:chExt cx="6595942" cy="977378"/>
        </a:xfrm>
        <a:noFill xmlns:a="http://schemas.openxmlformats.org/drawingml/2006/main"/>
      </cdr:grpSpPr>
      <cdr:grpSp>
        <cdr:nvGrpSpPr>
          <cdr:cNvPr id="185" name="Group 80">
            <a:extLst xmlns:a="http://schemas.openxmlformats.org/drawingml/2006/main">
              <a:ext uri="{FF2B5EF4-FFF2-40B4-BE49-F238E27FC236}">
                <a16:creationId xmlns:a16="http://schemas.microsoft.com/office/drawing/2014/main" id="{F1BB9F36-8875-41B5-A20C-995AC1D065FD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0" y="0"/>
            <a:ext cx="3298816" cy="977378"/>
            <a:chOff x="0" y="0"/>
            <a:chExt cx="1660922" cy="642675"/>
          </a:xfrm>
        </cdr:grpSpPr>
      </cdr:grpSp>
      <cdr:grpSp>
        <cdr:nvGrpSpPr>
          <cdr:cNvPr id="25142" name="Group 80">
            <a:extLst xmlns:a="http://schemas.openxmlformats.org/drawingml/2006/main">
              <a:ext uri="{FF2B5EF4-FFF2-40B4-BE49-F238E27FC236}">
                <a16:creationId xmlns:a16="http://schemas.microsoft.com/office/drawing/2014/main" id="{99E28B69-7221-4962-8955-2C129518A301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0" y="0"/>
            <a:ext cx="3298816" cy="977378"/>
            <a:chOff x="0" y="0"/>
            <a:chExt cx="1660922" cy="642675"/>
          </a:xfrm>
        </cdr:grpSpPr>
        <cdr:sp macro="" textlink="Language!$B$295">
          <cdr:nvSpPr>
            <cdr:cNvPr id="88" name="TextBox 1"/>
            <cdr:cNvSpPr txBox="1"/>
          </cdr:nvSpPr>
          <cdr:spPr>
            <a:xfrm xmlns:a="http://schemas.openxmlformats.org/drawingml/2006/main">
              <a:off x="0" y="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DEE3E882-3F11-4A66-B2E7-EEA53F5C3C8E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Hatch date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6">
          <cdr:nvSpPr>
            <cdr:cNvPr id="89" name="TextBox 1"/>
            <cdr:cNvSpPr txBox="1"/>
          </cdr:nvSpPr>
          <cdr:spPr>
            <a:xfrm xmlns:a="http://schemas.openxmlformats.org/drawingml/2006/main">
              <a:off x="0" y="214097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0ECCF118-109E-4C25-8284-84C71B5C6AA7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Breed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7">
          <cdr:nvSpPr>
            <cdr:cNvPr id="90" name="TextBox 1"/>
            <cdr:cNvSpPr txBox="1"/>
          </cdr:nvSpPr>
          <cdr:spPr>
            <a:xfrm xmlns:a="http://schemas.openxmlformats.org/drawingml/2006/main">
              <a:off x="0" y="428362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03CE86C6-E3B4-4C41-9B02-EC8DC77651C6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Birds housed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  <cdr:grpSp>
        <cdr:nvGrpSpPr>
          <cdr:cNvPr id="187" name="Group 82">
            <a:extLst xmlns:a="http://schemas.openxmlformats.org/drawingml/2006/main">
              <a:ext uri="{FF2B5EF4-FFF2-40B4-BE49-F238E27FC236}">
                <a16:creationId xmlns:a16="http://schemas.microsoft.com/office/drawing/2014/main" id="{0436D3AD-C9A7-45AF-92DC-B84210632E65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3297126" y="0"/>
            <a:ext cx="3298816" cy="977378"/>
            <a:chOff x="1660071" y="0"/>
            <a:chExt cx="1660922" cy="642675"/>
          </a:xfrm>
        </cdr:grpSpPr>
      </cdr:grpSp>
      <cdr:grpSp>
        <cdr:nvGrpSpPr>
          <cdr:cNvPr id="25144" name="Group 82">
            <a:extLst xmlns:a="http://schemas.openxmlformats.org/drawingml/2006/main">
              <a:ext uri="{FF2B5EF4-FFF2-40B4-BE49-F238E27FC236}">
                <a16:creationId xmlns:a16="http://schemas.microsoft.com/office/drawing/2014/main" id="{94280AE0-D21E-49FF-8E31-414E574B721F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3297126" y="0"/>
            <a:ext cx="3298816" cy="977378"/>
            <a:chOff x="1660071" y="0"/>
            <a:chExt cx="1660922" cy="642675"/>
          </a:xfrm>
        </cdr:grpSpPr>
        <cdr:sp macro="" textlink="'General Input'!$B$14">
          <cdr:nvSpPr>
            <cdr:cNvPr id="84" name="TextBox 1"/>
            <cdr:cNvSpPr txBox="1"/>
          </cdr:nvSpPr>
          <cdr:spPr>
            <a:xfrm xmlns:a="http://schemas.openxmlformats.org/drawingml/2006/main">
              <a:off x="1660071" y="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0866D694-5E34-4D03-B1B8-C12232BEE5FB}" type="TxLink">
                <a:rPr lang="en-US" sz="800" b="0" i="0" u="none" strike="noStrike">
                  <a:solidFill>
                    <a:schemeClr val="tx1"/>
                  </a:solidFill>
                  <a:latin typeface="Calibri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17">
          <cdr:nvSpPr>
            <cdr:cNvPr id="85" name="TextBox 1"/>
            <cdr:cNvSpPr txBox="1"/>
          </cdr:nvSpPr>
          <cdr:spPr>
            <a:xfrm xmlns:a="http://schemas.openxmlformats.org/drawingml/2006/main">
              <a:off x="1660071" y="214098"/>
              <a:ext cx="1660922" cy="2143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39CA955A-6D8A-46C8-AC6D-243F898594AE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ISA BROWN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Input Laying'!$G$6">
          <cdr:nvSpPr>
            <cdr:cNvPr id="86" name="TextBox 1"/>
            <cdr:cNvSpPr txBox="1"/>
          </cdr:nvSpPr>
          <cdr:spPr>
            <a:xfrm xmlns:a="http://schemas.openxmlformats.org/drawingml/2006/main">
              <a:off x="1660071" y="428363"/>
              <a:ext cx="1660922" cy="2143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4EF8A4BC-BEF9-44F4-8DFF-32FA6833903B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</cdr:grpSp>
  </cdr:absSizeAnchor>
  <cdr:absSizeAnchor xmlns:cdr="http://schemas.openxmlformats.org/drawingml/2006/chartDrawing">
    <cdr:from>
      <cdr:x>0.12724</cdr:x>
      <cdr:y>0.01656</cdr:y>
    </cdr:from>
    <cdr:ext cx="1802137" cy="358618"/>
    <cdr:grpSp>
      <cdr:nvGrpSpPr>
        <cdr:cNvPr id="179" name="Group 178">
          <a:extLst xmlns:a="http://schemas.openxmlformats.org/drawingml/2006/main">
            <a:ext uri="{FF2B5EF4-FFF2-40B4-BE49-F238E27FC236}">
              <a16:creationId xmlns:a16="http://schemas.microsoft.com/office/drawing/2014/main" id="{F58149F2-F56E-47B1-93FC-88447BF716F4}"/>
            </a:ext>
          </a:extLst>
        </cdr:cNvPr>
        <cdr:cNvGrpSpPr/>
      </cdr:nvGrpSpPr>
      <cdr:grpSpPr>
        <a:xfrm xmlns:a="http://schemas.openxmlformats.org/drawingml/2006/main">
          <a:off x="1170754" y="92590"/>
          <a:ext cx="1802137" cy="358618"/>
          <a:chOff x="0" y="-8"/>
          <a:chExt cx="24221561" cy="2653530"/>
        </a:xfrm>
        <a:noFill xmlns:a="http://schemas.openxmlformats.org/drawingml/2006/main"/>
      </cdr:grpSpPr>
      <cdr:grpSp>
        <cdr:nvGrpSpPr>
          <cdr:cNvPr id="181" name="Group 573">
            <a:extLst xmlns:a="http://schemas.openxmlformats.org/drawingml/2006/main">
              <a:ext uri="{FF2B5EF4-FFF2-40B4-BE49-F238E27FC236}">
                <a16:creationId xmlns:a16="http://schemas.microsoft.com/office/drawing/2014/main" id="{6F5AEE58-E618-466D-A571-4307617844D4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27193" y="-8"/>
            <a:ext cx="12085141" cy="2606292"/>
            <a:chOff x="3738" y="-2"/>
            <a:chExt cx="1660498" cy="631236"/>
          </a:xfrm>
        </cdr:grpSpPr>
      </cdr:grpSp>
      <cdr:grpSp>
        <cdr:nvGrpSpPr>
          <cdr:cNvPr id="25132" name="Group 573">
            <a:extLst xmlns:a="http://schemas.openxmlformats.org/drawingml/2006/main">
              <a:ext uri="{FF2B5EF4-FFF2-40B4-BE49-F238E27FC236}">
                <a16:creationId xmlns:a16="http://schemas.microsoft.com/office/drawing/2014/main" id="{62973976-9FB3-4ACC-BA19-663515C70A2F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27193" y="-8"/>
            <a:ext cx="12085141" cy="2606292"/>
            <a:chOff x="3738" y="-2"/>
            <a:chExt cx="1660498" cy="631236"/>
          </a:xfrm>
        </cdr:grpSpPr>
        <cdr:sp macro="" textlink="Language!$B$292">
          <cdr:nvSpPr>
            <cdr:cNvPr id="580" name="TextBox 1"/>
            <cdr:cNvSpPr txBox="1"/>
          </cdr:nvSpPr>
          <cdr:spPr>
            <a:xfrm xmlns:a="http://schemas.openxmlformats.org/drawingml/2006/main">
              <a:off x="3738" y="-2"/>
              <a:ext cx="1660496" cy="21208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1B0ADEC0-BCC0-4D91-B59B-3C0AFF904ADE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Farm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3">
          <cdr:nvSpPr>
            <cdr:cNvPr id="581" name="TextBox 1"/>
            <cdr:cNvSpPr txBox="1"/>
          </cdr:nvSpPr>
          <cdr:spPr>
            <a:xfrm xmlns:a="http://schemas.openxmlformats.org/drawingml/2006/main">
              <a:off x="3738" y="202311"/>
              <a:ext cx="1660496" cy="21208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E6EF9B3E-8DE4-4019-9F17-CD7729BB12F8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House number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4">
          <cdr:nvSpPr>
            <cdr:cNvPr id="582" name="TextBox 1"/>
            <cdr:cNvSpPr txBox="1"/>
          </cdr:nvSpPr>
          <cdr:spPr>
            <a:xfrm xmlns:a="http://schemas.openxmlformats.org/drawingml/2006/main">
              <a:off x="3738" y="419151"/>
              <a:ext cx="1660498" cy="21208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DAAF97ED-B6E1-4572-98C6-E866CA1C543D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Housing system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  <cdr:grpSp>
        <cdr:nvGrpSpPr>
          <cdr:cNvPr id="183" name="Group 575">
            <a:extLst xmlns:a="http://schemas.openxmlformats.org/drawingml/2006/main">
              <a:ext uri="{FF2B5EF4-FFF2-40B4-BE49-F238E27FC236}">
                <a16:creationId xmlns:a16="http://schemas.microsoft.com/office/drawing/2014/main" id="{0720BCCD-2630-4809-B85E-56A4352A2B06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12136432" y="-8"/>
            <a:ext cx="12085129" cy="2606289"/>
            <a:chOff x="3304602" y="-2"/>
            <a:chExt cx="1660498" cy="631236"/>
          </a:xfrm>
        </cdr:grpSpPr>
      </cdr:grpSp>
      <cdr:grpSp>
        <cdr:nvGrpSpPr>
          <cdr:cNvPr id="25134" name="Group 575">
            <a:extLst xmlns:a="http://schemas.openxmlformats.org/drawingml/2006/main">
              <a:ext uri="{FF2B5EF4-FFF2-40B4-BE49-F238E27FC236}">
                <a16:creationId xmlns:a16="http://schemas.microsoft.com/office/drawing/2014/main" id="{6496BEE7-E9ED-4C0B-900A-45BF5C4ACCC9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12136432" y="-8"/>
            <a:ext cx="12085129" cy="2606289"/>
            <a:chOff x="3304602" y="-2"/>
            <a:chExt cx="1660498" cy="631236"/>
          </a:xfrm>
        </cdr:grpSpPr>
        <cdr:sp macro="" textlink="'General Input'!$B$20">
          <cdr:nvSpPr>
            <cdr:cNvPr id="577" name="TextBox 1"/>
            <cdr:cNvSpPr txBox="1"/>
          </cdr:nvSpPr>
          <cdr:spPr>
            <a:xfrm xmlns:a="http://schemas.openxmlformats.org/drawingml/2006/main">
              <a:off x="3304602" y="-2"/>
              <a:ext cx="1660496" cy="21208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12A87C0F-75D0-4401-A0D3-A68767646EBD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21:$D$21">
          <cdr:nvSpPr>
            <cdr:cNvPr id="578" name="TextBox 1"/>
            <cdr:cNvSpPr txBox="1"/>
          </cdr:nvSpPr>
          <cdr:spPr>
            <a:xfrm xmlns:a="http://schemas.openxmlformats.org/drawingml/2006/main">
              <a:off x="3304602" y="202311"/>
              <a:ext cx="1660496" cy="21208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ECEEDC44-341B-447D-9CA9-3114B2E55EED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18">
          <cdr:nvSpPr>
            <cdr:cNvPr id="579" name="TextBox 1"/>
            <cdr:cNvSpPr txBox="1"/>
          </cdr:nvSpPr>
          <cdr:spPr>
            <a:xfrm xmlns:a="http://schemas.openxmlformats.org/drawingml/2006/main">
              <a:off x="3304602" y="419151"/>
              <a:ext cx="1660498" cy="21208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9513DF6F-D6B7-46A4-8E05-E6BCC98A43AB}" type="TxLink">
                <a:rPr lang="en-US" altLang="ko-KR" sz="800" b="0" i="0" u="none" strike="noStrike">
                  <a:solidFill>
                    <a:schemeClr val="tx1"/>
                  </a:solidFill>
                  <a:latin typeface="Calibri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</cdr:grpSp>
  </cdr:absSizeAnchor>
  <cdr:absSizeAnchor xmlns:cdr="http://schemas.openxmlformats.org/drawingml/2006/chartDrawing">
    <cdr:from>
      <cdr:x>0.32115</cdr:x>
      <cdr:y>0.0636</cdr:y>
    </cdr:from>
    <cdr:ext cx="3236873" cy="358618"/>
    <cdr:sp macro="" textlink="Std!$B$1">
      <cdr:nvSpPr>
        <cdr:cNvPr id="73" name="TextBox 1"/>
        <cdr:cNvSpPr txBox="1"/>
      </cdr:nvSpPr>
      <cdr:spPr>
        <a:xfrm xmlns:a="http://schemas.openxmlformats.org/drawingml/2006/main">
          <a:off x="2954975" y="355600"/>
          <a:ext cx="3236872" cy="3586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txBody>
        <a:bodyPr xmlns:a="http://schemas.openxmlformats.org/drawingml/2006/main" rot="0" wrap="square" lIns="0" tIns="0" rIns="0" bIns="0" rtlCol="0" anchor="ctr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27A5909-AA79-4B83-88F8-E91B76C1553F}" type="TxLink">
            <a:rPr lang="en-US" sz="800" b="1" i="0" u="none" strike="noStrike">
              <a:ln w="3175">
                <a:noFill/>
              </a:ln>
              <a:solidFill>
                <a:schemeClr val="tx1">
                  <a:lumMod val="90000"/>
                  <a:lumOff val="10000"/>
                </a:schemeClr>
              </a:solidFill>
              <a:latin typeface="Calibri"/>
            </a:rPr>
            <a:pPr algn="ctr"/>
            <a:t>ISA BROWN Baiada ALT 2021</a:t>
          </a:fld>
          <a:endParaRPr lang="en-US" sz="2000" b="1" i="0" u="sng">
            <a:ln w="3175">
              <a:noFill/>
            </a:ln>
            <a:solidFill>
              <a:schemeClr val="tx1">
                <a:lumMod val="90000"/>
                <a:lumOff val="10000"/>
              </a:schemeClr>
            </a:solidFill>
          </a:endParaRPr>
        </a:p>
      </cdr:txBody>
    </cdr:sp>
  </cdr:absSizeAnchor>
  <cdr:relSizeAnchor xmlns:cdr="http://schemas.openxmlformats.org/drawingml/2006/chartDrawing">
    <cdr:from>
      <cdr:x>0.00552</cdr:x>
      <cdr:y>0.00909</cdr:y>
    </cdr:from>
    <cdr:to>
      <cdr:x>0.11233</cdr:x>
      <cdr:y>0.08635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9EA45442-8A48-4835-B13B-46B56CEF11DA}"/>
            </a:ext>
          </a:extLst>
        </cdr:cNvPr>
        <cdr:cNvPicPr>
          <a:picLocks xmlns:a="http://schemas.openxmlformats.org/drawingml/2006/main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982800" cy="431999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48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absSizeAnchor xmlns:cdr="http://schemas.openxmlformats.org/drawingml/2006/chartDrawing">
    <cdr:from>
      <cdr:x>0.05788</cdr:x>
      <cdr:y>0.15116</cdr:y>
    </cdr:from>
    <cdr:ext cx="1238683" cy="156774"/>
    <cdr:sp macro="" textlink="Language!$B$328">
      <cdr:nvSpPr>
        <cdr:cNvPr id="2867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5265" y="926824"/>
          <a:ext cx="1249662" cy="1573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ctr" upright="1">
          <a:no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fld id="{99FB193D-958F-46A8-9A4E-B5D592521B24}" type="TxLink">
            <a:rPr lang="nl-NL" altLang="ko-KR" sz="800" b="0" i="0" u="none" strike="noStrike" baseline="0">
              <a:solidFill>
                <a:schemeClr val="tx1"/>
              </a:solidFill>
              <a:latin typeface="Arial"/>
              <a:cs typeface="Arial"/>
            </a:rPr>
            <a:pPr algn="ctr" rtl="0">
              <a:defRPr sz="1000"/>
            </a:pPr>
            <a:t>Egg mass in g/day</a:t>
          </a:fld>
          <a:endParaRPr lang="nl-NL" sz="800" b="0" i="0" u="none" strike="noStrike" baseline="0">
            <a:solidFill>
              <a:schemeClr val="tx1"/>
            </a:solidFill>
            <a:latin typeface="Arial"/>
            <a:cs typeface="Arial"/>
          </a:endParaRPr>
        </a:p>
      </cdr:txBody>
    </cdr:sp>
  </cdr:absSizeAnchor>
  <cdr:absSizeAnchor xmlns:cdr="http://schemas.openxmlformats.org/drawingml/2006/chartDrawing">
    <cdr:from>
      <cdr:x>0.03761</cdr:x>
      <cdr:y>0.44871</cdr:y>
    </cdr:from>
    <cdr:ext cx="66773" cy="202802"/>
    <cdr:sp macro="" textlink="">
      <cdr:nvSpPr>
        <cdr:cNvPr id="28672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9102" y="3078721"/>
          <a:ext cx="85368" cy="2292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GB"/>
        </a:p>
      </cdr:txBody>
    </cdr:sp>
  </cdr:absSizeAnchor>
  <cdr:absSizeAnchor xmlns:cdr="http://schemas.openxmlformats.org/drawingml/2006/chartDrawing">
    <cdr:from>
      <cdr:x>0.76506</cdr:x>
      <cdr:y>0.13454</cdr:y>
    </cdr:from>
    <cdr:ext cx="2019895" cy="171774"/>
    <cdr:sp macro="" textlink="Language!$B$330">
      <cdr:nvSpPr>
        <cdr:cNvPr id="28672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105036" y="813760"/>
          <a:ext cx="2019895" cy="1717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horz" wrap="square" lIns="27432" tIns="22860" rIns="27432" bIns="0" anchor="ctr" upright="1">
          <a:no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fld id="{0A26E359-9900-43B3-B87E-34756CE885D8}" type="TxLink">
            <a:rPr lang="en-US" altLang="ko-KR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pPr algn="ctr" rtl="0">
              <a:defRPr sz="1000"/>
            </a:pPr>
            <a:t>Cum no. of eggs per HH</a:t>
          </a:fld>
          <a:endParaRPr lang="nl-NL" sz="800" b="0" i="0" u="none" strike="noStrike" baseline="0">
            <a:solidFill>
              <a:schemeClr val="tx1">
                <a:lumMod val="60000"/>
                <a:lumOff val="40000"/>
              </a:schemeClr>
            </a:solidFill>
            <a:latin typeface="+mn-lt"/>
            <a:cs typeface="Arial"/>
          </a:endParaRPr>
        </a:p>
      </cdr:txBody>
    </cdr:sp>
  </cdr:absSizeAnchor>
  <cdr:absSizeAnchor xmlns:cdr="http://schemas.openxmlformats.org/drawingml/2006/chartDrawing">
    <cdr:from>
      <cdr:x>0.93917</cdr:x>
      <cdr:y>0.439</cdr:y>
    </cdr:from>
    <cdr:ext cx="443817" cy="1426992"/>
    <cdr:sp macro="" textlink="Language!$B$329">
      <cdr:nvSpPr>
        <cdr:cNvPr id="286749" name="Text Box 2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721947" y="2655225"/>
          <a:ext cx="443817" cy="14269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" wrap="square" lIns="27432" tIns="22860" rIns="27432" bIns="0" anchor="ctr" upright="1">
          <a:no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fld id="{B1F33464-EB89-4FE3-AAD9-A4A12B19DFFC}" type="TxLink">
            <a:rPr lang="en-US" altLang="ko-KR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pPr algn="ctr" rtl="0">
              <a:defRPr sz="1000"/>
            </a:pPr>
            <a:t>Feed consumption in g</a:t>
          </a:fld>
          <a:endParaRPr lang="nl-NL" sz="800" b="0" i="0" u="none" strike="noStrike" baseline="0">
            <a:solidFill>
              <a:schemeClr val="tx1"/>
            </a:solidFill>
            <a:latin typeface="+mn-lt"/>
            <a:cs typeface="Arial"/>
          </a:endParaRPr>
        </a:p>
      </cdr:txBody>
    </cdr:sp>
  </cdr:absSizeAnchor>
  <cdr:absSizeAnchor xmlns:cdr="http://schemas.openxmlformats.org/drawingml/2006/chartDrawing">
    <cdr:from>
      <cdr:x>0.0473</cdr:x>
      <cdr:y>0.03045</cdr:y>
    </cdr:from>
    <cdr:ext cx="1213052" cy="261048"/>
    <cdr:sp macro="" textlink="">
      <cdr:nvSpPr>
        <cdr:cNvPr id="1022006" name="TextBox 1022005"/>
        <cdr:cNvSpPr txBox="1"/>
      </cdr:nvSpPr>
      <cdr:spPr>
        <a:xfrm xmlns:a="http://schemas.openxmlformats.org/drawingml/2006/main">
          <a:off x="440531" y="172641"/>
          <a:ext cx="1208485" cy="2440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/>
        </a:p>
      </cdr:txBody>
    </cdr:sp>
  </cdr:absSizeAnchor>
  <cdr:absSizeAnchor xmlns:cdr="http://schemas.openxmlformats.org/drawingml/2006/chartDrawing">
    <cdr:from>
      <cdr:x>0.32834</cdr:x>
      <cdr:y>0.01314</cdr:y>
    </cdr:from>
    <cdr:ext cx="3233411" cy="358306"/>
    <cdr:sp macro="" textlink="Language!$B$326">
      <cdr:nvSpPr>
        <cdr:cNvPr id="1022014" name="TextBox 1022013"/>
        <cdr:cNvSpPr txBox="1"/>
      </cdr:nvSpPr>
      <cdr:spPr>
        <a:xfrm xmlns:a="http://schemas.openxmlformats.org/drawingml/2006/main">
          <a:off x="3055548" y="79859"/>
          <a:ext cx="3240000" cy="3600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txBody>
        <a:bodyPr xmlns:a="http://schemas.openxmlformats.org/drawingml/2006/main" rot="0" vertOverflow="clip" horzOverflow="clip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fld id="{F3D669E9-CAFE-4814-A0F9-5FB43BF8878D}" type="TxLink">
            <a:rPr lang="en-US" altLang="ko-KR" sz="1800" u="none">
              <a:ln w="3175">
                <a:noFill/>
              </a:ln>
              <a:solidFill>
                <a:schemeClr val="tx2"/>
              </a:solidFill>
            </a:rPr>
            <a:pPr algn="ctr"/>
            <a:t>Egg mass / Feed consumption</a:t>
          </a:fld>
          <a:endParaRPr lang="en-US" sz="1800" u="none" baseline="0">
            <a:ln w="3175">
              <a:noFill/>
            </a:ln>
            <a:solidFill>
              <a:schemeClr val="tx2"/>
            </a:solidFill>
          </a:endParaRPr>
        </a:p>
      </cdr:txBody>
    </cdr:sp>
  </cdr:absSizeAnchor>
  <cdr:absSizeAnchor xmlns:cdr="http://schemas.openxmlformats.org/drawingml/2006/chartDrawing">
    <cdr:from>
      <cdr:x>0.0473</cdr:x>
      <cdr:y>0.03045</cdr:y>
    </cdr:from>
    <cdr:ext cx="1213052" cy="261048"/>
    <cdr:sp macro="" textlink="">
      <cdr:nvSpPr>
        <cdr:cNvPr id="3" name="TextBox 1022005"/>
        <cdr:cNvSpPr txBox="1"/>
      </cdr:nvSpPr>
      <cdr:spPr>
        <a:xfrm xmlns:a="http://schemas.openxmlformats.org/drawingml/2006/main">
          <a:off x="440531" y="172641"/>
          <a:ext cx="1208485" cy="2440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/>
        </a:p>
      </cdr:txBody>
    </cdr:sp>
  </cdr:absSizeAnchor>
  <cdr:absSizeAnchor xmlns:cdr="http://schemas.openxmlformats.org/drawingml/2006/chartDrawing">
    <cdr:from>
      <cdr:x>0.3471</cdr:x>
      <cdr:y>0.04199</cdr:y>
    </cdr:from>
    <cdr:ext cx="2828782" cy="468507"/>
    <cdr:sp macro="" textlink="">
      <cdr:nvSpPr>
        <cdr:cNvPr id="28" name="TextBox 1022013"/>
        <cdr:cNvSpPr txBox="1"/>
      </cdr:nvSpPr>
      <cdr:spPr>
        <a:xfrm xmlns:a="http://schemas.openxmlformats.org/drawingml/2006/main">
          <a:off x="3205883" y="238946"/>
          <a:ext cx="2804950" cy="438325"/>
        </a:xfrm>
        <a:prstGeom xmlns:a="http://schemas.openxmlformats.org/drawingml/2006/main" prst="rect">
          <a:avLst/>
        </a:prstGeom>
        <a:ln xmlns:a="http://schemas.openxmlformats.org/drawingml/2006/main" w="0">
          <a:noFill/>
        </a:ln>
      </cdr:spPr>
      <cdr:txBody>
        <a:bodyPr xmlns:a="http://schemas.openxmlformats.org/drawingml/2006/main" rot="0" vertOverflow="overflow" horzOverflow="overflow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absSizeAnchor>
  <cdr:absSizeAnchor xmlns:cdr="http://schemas.openxmlformats.org/drawingml/2006/chartDrawing">
    <cdr:from>
      <cdr:x>0.0473</cdr:x>
      <cdr:y>0.03045</cdr:y>
    </cdr:from>
    <cdr:ext cx="1213052" cy="261048"/>
    <cdr:sp macro="" textlink="">
      <cdr:nvSpPr>
        <cdr:cNvPr id="31" name="TextBox 1022005"/>
        <cdr:cNvSpPr txBox="1"/>
      </cdr:nvSpPr>
      <cdr:spPr>
        <a:xfrm xmlns:a="http://schemas.openxmlformats.org/drawingml/2006/main">
          <a:off x="440531" y="172641"/>
          <a:ext cx="1208485" cy="2440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/>
        </a:p>
      </cdr:txBody>
    </cdr:sp>
  </cdr:absSizeAnchor>
  <cdr:absSizeAnchor xmlns:cdr="http://schemas.openxmlformats.org/drawingml/2006/chartDrawing">
    <cdr:from>
      <cdr:x>0.0473</cdr:x>
      <cdr:y>0.03045</cdr:y>
    </cdr:from>
    <cdr:ext cx="1213052" cy="261048"/>
    <cdr:sp macro="" textlink="">
      <cdr:nvSpPr>
        <cdr:cNvPr id="250" name="TextBox 1022005"/>
        <cdr:cNvSpPr txBox="1"/>
      </cdr:nvSpPr>
      <cdr:spPr>
        <a:xfrm xmlns:a="http://schemas.openxmlformats.org/drawingml/2006/main">
          <a:off x="440531" y="172641"/>
          <a:ext cx="1208485" cy="2440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/>
        </a:p>
      </cdr:txBody>
    </cdr:sp>
  </cdr:absSizeAnchor>
  <cdr:absSizeAnchor xmlns:cdr="http://schemas.openxmlformats.org/drawingml/2006/chartDrawing">
    <cdr:from>
      <cdr:x>0.67716</cdr:x>
      <cdr:y>0.01314</cdr:y>
    </cdr:from>
    <cdr:ext cx="1796360" cy="358306"/>
    <cdr:grpSp>
      <cdr:nvGrpSpPr>
        <cdr:cNvPr id="91" name="Group 259">
          <a:extLst xmlns:a="http://schemas.openxmlformats.org/drawingml/2006/main">
            <a:ext uri="{FF2B5EF4-FFF2-40B4-BE49-F238E27FC236}">
              <a16:creationId xmlns:a16="http://schemas.microsoft.com/office/drawing/2014/main" id="{B88FC6D2-DF43-499B-8909-26361D269E18}"/>
            </a:ext>
          </a:extLst>
        </cdr:cNvPr>
        <cdr:cNvGrpSpPr/>
      </cdr:nvGrpSpPr>
      <cdr:grpSpPr>
        <a:xfrm xmlns:a="http://schemas.openxmlformats.org/drawingml/2006/main">
          <a:off x="6288700" y="79476"/>
          <a:ext cx="1796360" cy="358306"/>
          <a:chOff x="50800" y="50800"/>
          <a:chExt cx="3320993" cy="642675"/>
        </a:xfrm>
        <a:noFill xmlns:a="http://schemas.openxmlformats.org/drawingml/2006/main"/>
      </cdr:grpSpPr>
      <cdr:grpSp>
        <cdr:nvGrpSpPr>
          <cdr:cNvPr id="98" name="Group 1022007">
            <a:extLst xmlns:a="http://schemas.openxmlformats.org/drawingml/2006/main">
              <a:ext uri="{FF2B5EF4-FFF2-40B4-BE49-F238E27FC236}">
                <a16:creationId xmlns:a16="http://schemas.microsoft.com/office/drawing/2014/main" id="{518D171B-BE70-49B0-9DED-E08C236E0F15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50800" y="50800"/>
            <a:ext cx="1660922" cy="642675"/>
            <a:chOff x="50800" y="50800"/>
            <a:chExt cx="1660922" cy="642675"/>
          </a:xfrm>
        </cdr:grpSpPr>
      </cdr:grpSp>
      <cdr:grpSp>
        <cdr:nvGrpSpPr>
          <cdr:cNvPr id="24145" name="Group 1022007">
            <a:extLst xmlns:a="http://schemas.openxmlformats.org/drawingml/2006/main">
              <a:ext uri="{FF2B5EF4-FFF2-40B4-BE49-F238E27FC236}">
                <a16:creationId xmlns:a16="http://schemas.microsoft.com/office/drawing/2014/main" id="{E8D53329-43CF-4983-9773-B8D2A27214E0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50800" y="50800"/>
            <a:ext cx="1660922" cy="642675"/>
            <a:chOff x="50800" y="50800"/>
            <a:chExt cx="1660922" cy="642675"/>
          </a:xfrm>
        </cdr:grpSpPr>
        <cdr:sp macro="" textlink="Language!$B$295">
          <cdr:nvSpPr>
            <cdr:cNvPr id="254" name="TextBox 1"/>
            <cdr:cNvSpPr txBox="1"/>
          </cdr:nvSpPr>
          <cdr:spPr>
            <a:xfrm xmlns:a="http://schemas.openxmlformats.org/drawingml/2006/main">
              <a:off x="50800" y="5080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D45277C5-63F4-4D7D-B3B7-11A3469492D8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Hatch date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6">
          <cdr:nvSpPr>
            <cdr:cNvPr id="255" name="TextBox 1"/>
            <cdr:cNvSpPr txBox="1"/>
          </cdr:nvSpPr>
          <cdr:spPr>
            <a:xfrm xmlns:a="http://schemas.openxmlformats.org/drawingml/2006/main">
              <a:off x="50800" y="264897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4E50CF68-B753-414B-BA96-684EA0CEC8BE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Breed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7">
          <cdr:nvSpPr>
            <cdr:cNvPr id="1064448" name="TextBox 1"/>
            <cdr:cNvSpPr txBox="1"/>
          </cdr:nvSpPr>
          <cdr:spPr>
            <a:xfrm xmlns:a="http://schemas.openxmlformats.org/drawingml/2006/main">
              <a:off x="50800" y="479162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3262A614-C421-4DFC-90A6-B043F0426BFD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Birds housed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  <cdr:grpSp>
        <cdr:nvGrpSpPr>
          <cdr:cNvPr id="100" name="Group 155">
            <a:extLst xmlns:a="http://schemas.openxmlformats.org/drawingml/2006/main">
              <a:ext uri="{FF2B5EF4-FFF2-40B4-BE49-F238E27FC236}">
                <a16:creationId xmlns:a16="http://schemas.microsoft.com/office/drawing/2014/main" id="{A0786BD2-D4DD-4713-B598-7F8367EB606A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1710871" y="50800"/>
            <a:ext cx="1660922" cy="642675"/>
            <a:chOff x="0" y="0"/>
            <a:chExt cx="1660922" cy="642675"/>
          </a:xfrm>
        </cdr:grpSpPr>
      </cdr:grpSp>
      <cdr:grpSp>
        <cdr:nvGrpSpPr>
          <cdr:cNvPr id="24147" name="Group 155">
            <a:extLst xmlns:a="http://schemas.openxmlformats.org/drawingml/2006/main">
              <a:ext uri="{FF2B5EF4-FFF2-40B4-BE49-F238E27FC236}">
                <a16:creationId xmlns:a16="http://schemas.microsoft.com/office/drawing/2014/main" id="{ECE48206-FF44-4DB5-A1FB-7FA4BFB5A96D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1710871" y="50800"/>
            <a:ext cx="1660922" cy="642675"/>
            <a:chOff x="0" y="0"/>
            <a:chExt cx="1660922" cy="642675"/>
          </a:xfrm>
        </cdr:grpSpPr>
        <cdr:sp macro="" textlink="'General Input'!$B$14">
          <cdr:nvSpPr>
            <cdr:cNvPr id="1064451" name="TextBox 1"/>
            <cdr:cNvSpPr txBox="1"/>
          </cdr:nvSpPr>
          <cdr:spPr>
            <a:xfrm xmlns:a="http://schemas.openxmlformats.org/drawingml/2006/main">
              <a:off x="0" y="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DBBD7034-B8DC-4809-B3B6-7EDBB718F4EE}" type="TxLink">
                <a:rPr lang="en-US" sz="800" b="0" i="0" u="none" strike="noStrike">
                  <a:solidFill>
                    <a:schemeClr val="tx1"/>
                  </a:solidFill>
                  <a:latin typeface="Calibri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17">
          <cdr:nvSpPr>
            <cdr:cNvPr id="1064452" name="TextBox 1"/>
            <cdr:cNvSpPr txBox="1"/>
          </cdr:nvSpPr>
          <cdr:spPr>
            <a:xfrm xmlns:a="http://schemas.openxmlformats.org/drawingml/2006/main">
              <a:off x="0" y="214098"/>
              <a:ext cx="1660922" cy="2143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867D2ED9-03C9-4DF3-B658-4440FA19BAC5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ISA BROWN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GHOST_SHEET!$Q$2">
          <cdr:nvSpPr>
            <cdr:cNvPr id="1064453" name="TextBox 1"/>
            <cdr:cNvSpPr txBox="1"/>
          </cdr:nvSpPr>
          <cdr:spPr>
            <a:xfrm xmlns:a="http://schemas.openxmlformats.org/drawingml/2006/main">
              <a:off x="0" y="428363"/>
              <a:ext cx="1660922" cy="2143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AAB570B0-A3E2-48A8-897D-26B850F27CD0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0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</cdr:grpSp>
  </cdr:absSizeAnchor>
  <cdr:absSizeAnchor xmlns:cdr="http://schemas.openxmlformats.org/drawingml/2006/chartDrawing">
    <cdr:from>
      <cdr:x>0.13485</cdr:x>
      <cdr:y>0.01314</cdr:y>
    </cdr:from>
    <cdr:ext cx="1796360" cy="358306"/>
    <cdr:grpSp>
      <cdr:nvGrpSpPr>
        <cdr:cNvPr id="92" name="Group 260">
          <a:extLst xmlns:a="http://schemas.openxmlformats.org/drawingml/2006/main">
            <a:ext uri="{FF2B5EF4-FFF2-40B4-BE49-F238E27FC236}">
              <a16:creationId xmlns:a16="http://schemas.microsoft.com/office/drawing/2014/main" id="{1D7509B3-E633-4319-8E43-2B3E146D6830}"/>
            </a:ext>
          </a:extLst>
        </cdr:cNvPr>
        <cdr:cNvGrpSpPr/>
      </cdr:nvGrpSpPr>
      <cdr:grpSpPr>
        <a:xfrm xmlns:a="http://schemas.openxmlformats.org/drawingml/2006/main">
          <a:off x="1252335" y="79476"/>
          <a:ext cx="1796360" cy="358306"/>
          <a:chOff x="0" y="0"/>
          <a:chExt cx="4995052" cy="642675"/>
        </a:xfrm>
        <a:noFill xmlns:a="http://schemas.openxmlformats.org/drawingml/2006/main"/>
      </cdr:grpSpPr>
      <cdr:grpSp>
        <cdr:nvGrpSpPr>
          <cdr:cNvPr id="94" name="Group 161">
            <a:extLst xmlns:a="http://schemas.openxmlformats.org/drawingml/2006/main">
              <a:ext uri="{FF2B5EF4-FFF2-40B4-BE49-F238E27FC236}">
                <a16:creationId xmlns:a16="http://schemas.microsoft.com/office/drawing/2014/main" id="{2067E1C8-D126-4E89-9ED0-C04193626E84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0" y="0"/>
            <a:ext cx="2498166" cy="642675"/>
            <a:chOff x="0" y="0"/>
            <a:chExt cx="1660922" cy="642675"/>
          </a:xfrm>
        </cdr:grpSpPr>
      </cdr:grpSp>
      <cdr:grpSp>
        <cdr:nvGrpSpPr>
          <cdr:cNvPr id="24135" name="Group 161">
            <a:extLst xmlns:a="http://schemas.openxmlformats.org/drawingml/2006/main">
              <a:ext uri="{FF2B5EF4-FFF2-40B4-BE49-F238E27FC236}">
                <a16:creationId xmlns:a16="http://schemas.microsoft.com/office/drawing/2014/main" id="{3D5F2423-24C7-45A1-85E0-D92CCE58F601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0" y="0"/>
            <a:ext cx="2498166" cy="642675"/>
            <a:chOff x="0" y="0"/>
            <a:chExt cx="1660922" cy="642675"/>
          </a:xfrm>
        </cdr:grpSpPr>
        <cdr:sp macro="" textlink="Language!$B$292">
          <cdr:nvSpPr>
            <cdr:cNvPr id="1064459" name="TextBox 1"/>
            <cdr:cNvSpPr txBox="1"/>
          </cdr:nvSpPr>
          <cdr:spPr>
            <a:xfrm xmlns:a="http://schemas.openxmlformats.org/drawingml/2006/main">
              <a:off x="0" y="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6A0A6D7D-EC8B-45B0-9C10-5471371D7919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Farm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3">
          <cdr:nvSpPr>
            <cdr:cNvPr id="1064460" name="TextBox 1"/>
            <cdr:cNvSpPr txBox="1"/>
          </cdr:nvSpPr>
          <cdr:spPr>
            <a:xfrm xmlns:a="http://schemas.openxmlformats.org/drawingml/2006/main">
              <a:off x="0" y="214097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5BDE17B1-0346-4348-AA50-065B791E1169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House number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4">
          <cdr:nvSpPr>
            <cdr:cNvPr id="1064461" name="TextBox 1"/>
            <cdr:cNvSpPr txBox="1"/>
          </cdr:nvSpPr>
          <cdr:spPr>
            <a:xfrm xmlns:a="http://schemas.openxmlformats.org/drawingml/2006/main">
              <a:off x="0" y="428362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21E0E12B-D496-4F2E-A8B3-9200A5FFE0B3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Housing system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  <cdr:grpSp>
        <cdr:nvGrpSpPr>
          <cdr:cNvPr id="96" name="Group 162">
            <a:extLst xmlns:a="http://schemas.openxmlformats.org/drawingml/2006/main">
              <a:ext uri="{FF2B5EF4-FFF2-40B4-BE49-F238E27FC236}">
                <a16:creationId xmlns:a16="http://schemas.microsoft.com/office/drawing/2014/main" id="{69075A66-69ED-405D-89B9-4DCFF829F7B2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2496886" y="0"/>
            <a:ext cx="2498166" cy="642675"/>
            <a:chOff x="1660071" y="0"/>
            <a:chExt cx="1660922" cy="642675"/>
          </a:xfrm>
        </cdr:grpSpPr>
      </cdr:grpSp>
      <cdr:grpSp>
        <cdr:nvGrpSpPr>
          <cdr:cNvPr id="24137" name="Group 162">
            <a:extLst xmlns:a="http://schemas.openxmlformats.org/drawingml/2006/main">
              <a:ext uri="{FF2B5EF4-FFF2-40B4-BE49-F238E27FC236}">
                <a16:creationId xmlns:a16="http://schemas.microsoft.com/office/drawing/2014/main" id="{95674ADA-A4D7-4E61-8128-043B905B9496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2496886" y="0"/>
            <a:ext cx="2498166" cy="642675"/>
            <a:chOff x="1660071" y="0"/>
            <a:chExt cx="1660922" cy="642675"/>
          </a:xfrm>
        </cdr:grpSpPr>
        <cdr:sp macro="" textlink="'General Input'!$B$20">
          <cdr:nvSpPr>
            <cdr:cNvPr id="1064465" name="TextBox 1"/>
            <cdr:cNvSpPr txBox="1"/>
          </cdr:nvSpPr>
          <cdr:spPr>
            <a:xfrm xmlns:a="http://schemas.openxmlformats.org/drawingml/2006/main">
              <a:off x="1660071" y="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A230F6BD-71A0-4BED-A33D-7068CF8B73D1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21">
          <cdr:nvSpPr>
            <cdr:cNvPr id="1064467" name="TextBox 1"/>
            <cdr:cNvSpPr txBox="1"/>
          </cdr:nvSpPr>
          <cdr:spPr>
            <a:xfrm xmlns:a="http://schemas.openxmlformats.org/drawingml/2006/main">
              <a:off x="1660071" y="214097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566EFAD5-2EB9-427C-A09A-F9C4B4ED7E00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18">
          <cdr:nvSpPr>
            <cdr:cNvPr id="1064468" name="TextBox 1"/>
            <cdr:cNvSpPr txBox="1"/>
          </cdr:nvSpPr>
          <cdr:spPr>
            <a:xfrm xmlns:a="http://schemas.openxmlformats.org/drawingml/2006/main">
              <a:off x="1660071" y="428362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6B1B55A5-3CC5-4E42-AB4E-08E1012D69AF}" type="TxLink">
                <a:rPr lang="en-US" altLang="ko-KR" sz="800" b="0" i="0" u="none" strike="noStrike">
                  <a:solidFill>
                    <a:schemeClr val="tx1"/>
                  </a:solidFill>
                  <a:latin typeface="Calibri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</cdr:grpSp>
  </cdr:absSizeAnchor>
  <cdr:absSizeAnchor xmlns:cdr="http://schemas.openxmlformats.org/drawingml/2006/chartDrawing">
    <cdr:from>
      <cdr:x>0.32957</cdr:x>
      <cdr:y>0.05564</cdr:y>
    </cdr:from>
    <cdr:ext cx="3236940" cy="358608"/>
    <cdr:sp macro="" textlink="Std!$B$1">
      <cdr:nvSpPr>
        <cdr:cNvPr id="45" name="TextBox 1"/>
        <cdr:cNvSpPr txBox="1"/>
      </cdr:nvSpPr>
      <cdr:spPr>
        <a:xfrm xmlns:a="http://schemas.openxmlformats.org/drawingml/2006/main">
          <a:off x="3060700" y="336550"/>
          <a:ext cx="3236872" cy="3586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txBody>
        <a:bodyPr xmlns:a="http://schemas.openxmlformats.org/drawingml/2006/main" rot="0" wrap="square" lIns="0" tIns="0" rIns="0" bIns="0" rtlCol="0" anchor="ctr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383811E-2FBD-4AE6-BA20-BB01FDD69234}" type="TxLink">
            <a:rPr lang="en-US" sz="800" b="1" i="0" u="none" strike="noStrike">
              <a:ln w="3175">
                <a:noFill/>
              </a:ln>
              <a:solidFill>
                <a:schemeClr val="tx1"/>
              </a:solidFill>
              <a:latin typeface="Calibri"/>
            </a:rPr>
            <a:pPr algn="ctr"/>
            <a:t>ISA BROWN Baiada ALT 2021</a:t>
          </a:fld>
          <a:endParaRPr lang="en-US" sz="2000" b="1" u="sng">
            <a:ln w="3175">
              <a:noFill/>
            </a:ln>
            <a:solidFill>
              <a:schemeClr val="tx1"/>
            </a:solidFill>
          </a:endParaRPr>
        </a:p>
      </cdr:txBody>
    </cdr:sp>
  </cdr:absSizeAnchor>
  <cdr:relSizeAnchor xmlns:cdr="http://schemas.openxmlformats.org/drawingml/2006/chartDrawing">
    <cdr:from>
      <cdr:x>0.00547</cdr:x>
      <cdr:y>0.0084</cdr:y>
    </cdr:from>
    <cdr:to>
      <cdr:x>0.1113</cdr:x>
      <cdr:y>0.07982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4CCCC4D9-A8DC-4108-BB70-B371CB2A2BA1}"/>
            </a:ext>
          </a:extLst>
        </cdr:cNvPr>
        <cdr:cNvPicPr>
          <a:picLocks xmlns:a="http://schemas.openxmlformats.org/drawingml/2006/main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982800" cy="431999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48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absSizeAnchor xmlns:cdr="http://schemas.openxmlformats.org/drawingml/2006/chartDrawing">
    <cdr:from>
      <cdr:x>0.03021</cdr:x>
      <cdr:y>0.44603</cdr:y>
    </cdr:from>
    <cdr:ext cx="59900" cy="202742"/>
    <cdr:sp macro="" textlink="">
      <cdr:nvSpPr>
        <cdr:cNvPr id="291841" name="Text Box 1"/>
        <cdr:cNvSpPr txBox="1">
          <a:spLocks xmlns:a="http://schemas.openxmlformats.org/drawingml/2006/main" noChangeAspect="1" noChangeArrowheads="1"/>
        </cdr:cNvSpPr>
      </cdr:nvSpPr>
      <cdr:spPr bwMode="auto">
        <a:xfrm xmlns:a="http://schemas.openxmlformats.org/drawingml/2006/main">
          <a:off x="395057" y="3046689"/>
          <a:ext cx="84654" cy="2292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GB"/>
        </a:p>
      </cdr:txBody>
    </cdr:sp>
  </cdr:absSizeAnchor>
  <cdr:absSizeAnchor xmlns:cdr="http://schemas.openxmlformats.org/drawingml/2006/chartDrawing">
    <cdr:from>
      <cdr:x>0.0478</cdr:x>
      <cdr:y>0.0307</cdr:y>
    </cdr:from>
    <cdr:ext cx="1217695" cy="262560"/>
    <cdr:sp macro="" textlink="">
      <cdr:nvSpPr>
        <cdr:cNvPr id="1022006" name="TextBox 1022005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440531" y="172641"/>
          <a:ext cx="1208485" cy="2440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/>
        </a:p>
      </cdr:txBody>
    </cdr:sp>
  </cdr:absSizeAnchor>
  <cdr:absSizeAnchor xmlns:cdr="http://schemas.openxmlformats.org/drawingml/2006/chartDrawing">
    <cdr:from>
      <cdr:x>0.0478</cdr:x>
      <cdr:y>0.0307</cdr:y>
    </cdr:from>
    <cdr:ext cx="1217695" cy="262560"/>
    <cdr:sp macro="" textlink="">
      <cdr:nvSpPr>
        <cdr:cNvPr id="2" name="TextBox 1022005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440531" y="172641"/>
          <a:ext cx="1208485" cy="2440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/>
        </a:p>
      </cdr:txBody>
    </cdr:sp>
  </cdr:absSizeAnchor>
  <cdr:absSizeAnchor xmlns:cdr="http://schemas.openxmlformats.org/drawingml/2006/chartDrawing">
    <cdr:from>
      <cdr:x>0.0478</cdr:x>
      <cdr:y>0.0307</cdr:y>
    </cdr:from>
    <cdr:ext cx="1217695" cy="262560"/>
    <cdr:sp macro="" textlink="">
      <cdr:nvSpPr>
        <cdr:cNvPr id="28" name="TextBox 1022005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440531" y="172641"/>
          <a:ext cx="1208485" cy="2440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/>
        </a:p>
      </cdr:txBody>
    </cdr:sp>
  </cdr:absSizeAnchor>
  <cdr:absSizeAnchor xmlns:cdr="http://schemas.openxmlformats.org/drawingml/2006/chartDrawing">
    <cdr:from>
      <cdr:x>0.67499</cdr:x>
      <cdr:y>0.01326</cdr:y>
    </cdr:from>
    <cdr:ext cx="1796360" cy="358366"/>
    <cdr:grpSp>
      <cdr:nvGrpSpPr>
        <cdr:cNvPr id="73" name="Group 259">
          <a:extLst xmlns:a="http://schemas.openxmlformats.org/drawingml/2006/main">
            <a:ext uri="{FF2B5EF4-FFF2-40B4-BE49-F238E27FC236}">
              <a16:creationId xmlns:a16="http://schemas.microsoft.com/office/drawing/2014/main" id="{BBCB789A-89F4-4946-BD48-9FDF5D18B864}"/>
            </a:ext>
          </a:extLst>
        </cdr:cNvPr>
        <cdr:cNvGrpSpPr>
          <a:grpSpLocks xmlns:a="http://schemas.openxmlformats.org/drawingml/2006/main" noChangeAspect="1"/>
        </cdr:cNvGrpSpPr>
      </cdr:nvGrpSpPr>
      <cdr:grpSpPr>
        <a:xfrm xmlns:a="http://schemas.openxmlformats.org/drawingml/2006/main">
          <a:off x="6268548" y="80201"/>
          <a:ext cx="1796360" cy="358366"/>
          <a:chOff x="50800" y="50800"/>
          <a:chExt cx="3320993" cy="642675"/>
        </a:xfrm>
        <a:noFill xmlns:a="http://schemas.openxmlformats.org/drawingml/2006/main"/>
      </cdr:grpSpPr>
      <cdr:grpSp>
        <cdr:nvGrpSpPr>
          <cdr:cNvPr id="80" name="Group 1022007">
            <a:extLst xmlns:a="http://schemas.openxmlformats.org/drawingml/2006/main">
              <a:ext uri="{FF2B5EF4-FFF2-40B4-BE49-F238E27FC236}">
                <a16:creationId xmlns:a16="http://schemas.microsoft.com/office/drawing/2014/main" id="{1AA6C0FD-4400-4B70-A64B-514AD3B37A24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50800" y="50800"/>
            <a:ext cx="1660922" cy="642675"/>
            <a:chOff x="50800" y="50800"/>
            <a:chExt cx="1660922" cy="642675"/>
          </a:xfrm>
        </cdr:grpSpPr>
      </cdr:grpSp>
      <cdr:grpSp>
        <cdr:nvGrpSpPr>
          <cdr:cNvPr id="25708" name="Group 1022007">
            <a:extLst xmlns:a="http://schemas.openxmlformats.org/drawingml/2006/main">
              <a:ext uri="{FF2B5EF4-FFF2-40B4-BE49-F238E27FC236}">
                <a16:creationId xmlns:a16="http://schemas.microsoft.com/office/drawing/2014/main" id="{198F5D1D-3F67-4F55-8C0F-DBB51A7B18C9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50800" y="50800"/>
            <a:ext cx="1660922" cy="642675"/>
            <a:chOff x="50800" y="50800"/>
            <a:chExt cx="1660922" cy="642675"/>
          </a:xfrm>
        </cdr:grpSpPr>
        <cdr:sp macro="" textlink="Language!$B$295">
          <cdr:nvSpPr>
            <cdr:cNvPr id="224" name="TextBox 1"/>
            <cdr:cNvSpPr txBox="1"/>
          </cdr:nvSpPr>
          <cdr:spPr>
            <a:xfrm xmlns:a="http://schemas.openxmlformats.org/drawingml/2006/main">
              <a:off x="50800" y="5080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71B237C4-C5D0-414B-B3B3-25A6EEF48A1B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Hatch date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6">
          <cdr:nvSpPr>
            <cdr:cNvPr id="225" name="TextBox 1"/>
            <cdr:cNvSpPr txBox="1"/>
          </cdr:nvSpPr>
          <cdr:spPr>
            <a:xfrm xmlns:a="http://schemas.openxmlformats.org/drawingml/2006/main">
              <a:off x="50800" y="264897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CA504345-C805-45D0-A032-9200596A2021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Breed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7">
          <cdr:nvSpPr>
            <cdr:cNvPr id="226" name="TextBox 1"/>
            <cdr:cNvSpPr txBox="1"/>
          </cdr:nvSpPr>
          <cdr:spPr>
            <a:xfrm xmlns:a="http://schemas.openxmlformats.org/drawingml/2006/main">
              <a:off x="50800" y="479162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A1B84861-67BE-42BC-B899-131D546323BA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Birds housed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  <cdr:grpSp>
        <cdr:nvGrpSpPr>
          <cdr:cNvPr id="82" name="Group 155">
            <a:extLst xmlns:a="http://schemas.openxmlformats.org/drawingml/2006/main">
              <a:ext uri="{FF2B5EF4-FFF2-40B4-BE49-F238E27FC236}">
                <a16:creationId xmlns:a16="http://schemas.microsoft.com/office/drawing/2014/main" id="{02E2422E-99EA-4904-B517-6239C9EE51AA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1710871" y="50800"/>
            <a:ext cx="1660922" cy="642675"/>
            <a:chOff x="0" y="0"/>
            <a:chExt cx="1660922" cy="642675"/>
          </a:xfrm>
        </cdr:grpSpPr>
      </cdr:grpSp>
      <cdr:grpSp>
        <cdr:nvGrpSpPr>
          <cdr:cNvPr id="25710" name="Group 155">
            <a:extLst xmlns:a="http://schemas.openxmlformats.org/drawingml/2006/main">
              <a:ext uri="{FF2B5EF4-FFF2-40B4-BE49-F238E27FC236}">
                <a16:creationId xmlns:a16="http://schemas.microsoft.com/office/drawing/2014/main" id="{FAA7FF1E-5B7F-48CB-99EE-4ACC55E782C9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1710871" y="50800"/>
            <a:ext cx="1660922" cy="642675"/>
            <a:chOff x="0" y="0"/>
            <a:chExt cx="1660922" cy="642675"/>
          </a:xfrm>
        </cdr:grpSpPr>
        <cdr:sp macro="" textlink="'General Input'!$B$14">
          <cdr:nvSpPr>
            <cdr:cNvPr id="229" name="TextBox 1"/>
            <cdr:cNvSpPr txBox="1"/>
          </cdr:nvSpPr>
          <cdr:spPr>
            <a:xfrm xmlns:a="http://schemas.openxmlformats.org/drawingml/2006/main">
              <a:off x="0" y="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35A9BB84-80EF-4AF5-B632-EA630875E260}" type="TxLink">
                <a:rPr lang="en-US" sz="800" b="0" i="0" u="none" strike="noStrike">
                  <a:solidFill>
                    <a:schemeClr val="tx1"/>
                  </a:solidFill>
                  <a:latin typeface="Calibri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17">
          <cdr:nvSpPr>
            <cdr:cNvPr id="230" name="TextBox 1"/>
            <cdr:cNvSpPr txBox="1"/>
          </cdr:nvSpPr>
          <cdr:spPr>
            <a:xfrm xmlns:a="http://schemas.openxmlformats.org/drawingml/2006/main">
              <a:off x="0" y="214097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1B3F9F35-829D-4929-9E54-6E10AA2274A7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ISA BROWN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GHOST_SHEET!$Q$2">
          <cdr:nvSpPr>
            <cdr:cNvPr id="231" name="TextBox 1"/>
            <cdr:cNvSpPr txBox="1"/>
          </cdr:nvSpPr>
          <cdr:spPr>
            <a:xfrm xmlns:a="http://schemas.openxmlformats.org/drawingml/2006/main">
              <a:off x="0" y="428363"/>
              <a:ext cx="1660922" cy="2143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AAB570B0-A3E2-48A8-897D-26B850F27CD0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0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</cdr:grpSp>
  </cdr:absSizeAnchor>
  <cdr:absSizeAnchor xmlns:cdr="http://schemas.openxmlformats.org/drawingml/2006/chartDrawing">
    <cdr:from>
      <cdr:x>0.1329</cdr:x>
      <cdr:y>0.01326</cdr:y>
    </cdr:from>
    <cdr:ext cx="1796267" cy="358366"/>
    <cdr:grpSp>
      <cdr:nvGrpSpPr>
        <cdr:cNvPr id="74" name="Group 260">
          <a:extLst xmlns:a="http://schemas.openxmlformats.org/drawingml/2006/main">
            <a:ext uri="{FF2B5EF4-FFF2-40B4-BE49-F238E27FC236}">
              <a16:creationId xmlns:a16="http://schemas.microsoft.com/office/drawing/2014/main" id="{7F9E7265-75EA-4E6A-AE8F-6E54AC5F37B4}"/>
            </a:ext>
          </a:extLst>
        </cdr:cNvPr>
        <cdr:cNvGrpSpPr>
          <a:grpSpLocks xmlns:a="http://schemas.openxmlformats.org/drawingml/2006/main" noChangeAspect="1"/>
        </cdr:cNvGrpSpPr>
      </cdr:nvGrpSpPr>
      <cdr:grpSpPr>
        <a:xfrm xmlns:a="http://schemas.openxmlformats.org/drawingml/2006/main">
          <a:off x="1234226" y="80201"/>
          <a:ext cx="1796267" cy="358366"/>
          <a:chOff x="0" y="0"/>
          <a:chExt cx="4995052" cy="642675"/>
        </a:xfrm>
        <a:noFill xmlns:a="http://schemas.openxmlformats.org/drawingml/2006/main"/>
      </cdr:grpSpPr>
      <cdr:grpSp>
        <cdr:nvGrpSpPr>
          <cdr:cNvPr id="76" name="Group 161">
            <a:extLst xmlns:a="http://schemas.openxmlformats.org/drawingml/2006/main">
              <a:ext uri="{FF2B5EF4-FFF2-40B4-BE49-F238E27FC236}">
                <a16:creationId xmlns:a16="http://schemas.microsoft.com/office/drawing/2014/main" id="{0A28D486-5995-4C88-847C-1BCDE25B65BA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0" y="0"/>
            <a:ext cx="2498166" cy="642675"/>
            <a:chOff x="0" y="0"/>
            <a:chExt cx="1660922" cy="642675"/>
          </a:xfrm>
        </cdr:grpSpPr>
      </cdr:grpSp>
      <cdr:grpSp>
        <cdr:nvGrpSpPr>
          <cdr:cNvPr id="25698" name="Group 161">
            <a:extLst xmlns:a="http://schemas.openxmlformats.org/drawingml/2006/main">
              <a:ext uri="{FF2B5EF4-FFF2-40B4-BE49-F238E27FC236}">
                <a16:creationId xmlns:a16="http://schemas.microsoft.com/office/drawing/2014/main" id="{4A40E147-D9B4-4EDF-B09A-664B4212734E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0" y="0"/>
            <a:ext cx="2498166" cy="642675"/>
            <a:chOff x="0" y="0"/>
            <a:chExt cx="1660922" cy="642675"/>
          </a:xfrm>
        </cdr:grpSpPr>
        <cdr:sp macro="" textlink="Language!$B$292">
          <cdr:nvSpPr>
            <cdr:cNvPr id="235" name="TextBox 1"/>
            <cdr:cNvSpPr txBox="1"/>
          </cdr:nvSpPr>
          <cdr:spPr>
            <a:xfrm xmlns:a="http://schemas.openxmlformats.org/drawingml/2006/main">
              <a:off x="0" y="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F78F3A1B-9D55-48F8-A21A-29B2C78242A1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Farm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3">
          <cdr:nvSpPr>
            <cdr:cNvPr id="236" name="TextBox 1"/>
            <cdr:cNvSpPr txBox="1"/>
          </cdr:nvSpPr>
          <cdr:spPr>
            <a:xfrm xmlns:a="http://schemas.openxmlformats.org/drawingml/2006/main">
              <a:off x="0" y="214097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19E014CC-C4FF-46EA-A69C-C3003242A417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House number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4">
          <cdr:nvSpPr>
            <cdr:cNvPr id="237" name="TextBox 1"/>
            <cdr:cNvSpPr txBox="1"/>
          </cdr:nvSpPr>
          <cdr:spPr>
            <a:xfrm xmlns:a="http://schemas.openxmlformats.org/drawingml/2006/main">
              <a:off x="0" y="428362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F73F5B4F-3134-472E-B308-591676AD6E41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Housing system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  <cdr:grpSp>
        <cdr:nvGrpSpPr>
          <cdr:cNvPr id="78" name="Group 162">
            <a:extLst xmlns:a="http://schemas.openxmlformats.org/drawingml/2006/main">
              <a:ext uri="{FF2B5EF4-FFF2-40B4-BE49-F238E27FC236}">
                <a16:creationId xmlns:a16="http://schemas.microsoft.com/office/drawing/2014/main" id="{22A1BABC-63A9-4E0A-937B-93EED708D23F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2496886" y="0"/>
            <a:ext cx="2498166" cy="642675"/>
            <a:chOff x="1660071" y="0"/>
            <a:chExt cx="1660922" cy="642675"/>
          </a:xfrm>
        </cdr:grpSpPr>
      </cdr:grpSp>
      <cdr:grpSp>
        <cdr:nvGrpSpPr>
          <cdr:cNvPr id="25700" name="Group 162">
            <a:extLst xmlns:a="http://schemas.openxmlformats.org/drawingml/2006/main">
              <a:ext uri="{FF2B5EF4-FFF2-40B4-BE49-F238E27FC236}">
                <a16:creationId xmlns:a16="http://schemas.microsoft.com/office/drawing/2014/main" id="{738E8EA6-8B39-46C3-92DF-226E48B117B8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2496886" y="0"/>
            <a:ext cx="2498166" cy="642675"/>
            <a:chOff x="1660071" y="0"/>
            <a:chExt cx="1660922" cy="642675"/>
          </a:xfrm>
        </cdr:grpSpPr>
        <cdr:sp macro="" textlink="'General Input'!$B$20">
          <cdr:nvSpPr>
            <cdr:cNvPr id="240" name="TextBox 1"/>
            <cdr:cNvSpPr txBox="1"/>
          </cdr:nvSpPr>
          <cdr:spPr>
            <a:xfrm xmlns:a="http://schemas.openxmlformats.org/drawingml/2006/main">
              <a:off x="1660071" y="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A230F6BD-71A0-4BED-A33D-7068CF8B73D1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21">
          <cdr:nvSpPr>
            <cdr:cNvPr id="241" name="TextBox 1"/>
            <cdr:cNvSpPr txBox="1"/>
          </cdr:nvSpPr>
          <cdr:spPr>
            <a:xfrm xmlns:a="http://schemas.openxmlformats.org/drawingml/2006/main">
              <a:off x="1660071" y="214097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566EFAD5-2EB9-427C-A09A-F9C4B4ED7E00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18">
          <cdr:nvSpPr>
            <cdr:cNvPr id="242" name="TextBox 1"/>
            <cdr:cNvSpPr txBox="1"/>
          </cdr:nvSpPr>
          <cdr:spPr>
            <a:xfrm xmlns:a="http://schemas.openxmlformats.org/drawingml/2006/main">
              <a:off x="1660071" y="428362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>
              <a:noAutofit/>
            </a:bodyPr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5C77C7D5-CBE6-4CAC-A5FA-267E412BA389}" type="TxLink">
                <a:rPr lang="en-US" altLang="ko-KR" sz="800" b="0" i="0" u="none" strike="noStrike">
                  <a:solidFill>
                    <a:schemeClr val="tx1"/>
                  </a:solidFill>
                  <a:latin typeface="Calibri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</cdr:grpSp>
  </cdr:absSizeAnchor>
  <cdr:absSizeAnchor xmlns:cdr="http://schemas.openxmlformats.org/drawingml/2006/chartDrawing">
    <cdr:from>
      <cdr:x>0.32636</cdr:x>
      <cdr:y>0.01326</cdr:y>
    </cdr:from>
    <cdr:ext cx="3233318" cy="358366"/>
    <cdr:sp macro="" textlink="Language!$B$332">
      <cdr:nvSpPr>
        <cdr:cNvPr id="246" name="TextBox 1022013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3037041" y="80610"/>
          <a:ext cx="3240000" cy="3600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txBody>
        <a:bodyPr xmlns:a="http://schemas.openxmlformats.org/drawingml/2006/main" rot="0" vertOverflow="overflow" horzOverflow="overflow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fld id="{91DEBD9F-BBBF-427A-AABA-0FCFCCB76752}" type="TxLink">
            <a:rPr lang="en-US" altLang="ko-KR" sz="2000" u="none">
              <a:ln w="3175">
                <a:noFill/>
              </a:ln>
              <a:solidFill>
                <a:schemeClr val="tx2"/>
              </a:solidFill>
            </a:rPr>
            <a:pPr algn="ctr"/>
            <a:t>Feed conversion rates</a:t>
          </a:fld>
          <a:endParaRPr lang="en-US" sz="2000" u="none">
            <a:ln w="3175">
              <a:noFill/>
            </a:ln>
            <a:solidFill>
              <a:schemeClr val="tx2"/>
            </a:solidFill>
          </a:endParaRPr>
        </a:p>
      </cdr:txBody>
    </cdr:sp>
  </cdr:absSizeAnchor>
  <cdr:absSizeAnchor xmlns:cdr="http://schemas.openxmlformats.org/drawingml/2006/chartDrawing">
    <cdr:from>
      <cdr:x>0.8493</cdr:x>
      <cdr:y>0.12428</cdr:y>
    </cdr:from>
    <cdr:ext cx="1077742" cy="358306"/>
    <cdr:sp macro="" textlink="Language!$B$334">
      <cdr:nvSpPr>
        <cdr:cNvPr id="151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7887343" y="751694"/>
          <a:ext cx="1077742" cy="3583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45357DA-F874-4924-B86C-3D77FC277DC7}" type="TxLink">
            <a:rPr lang="ja-JP" altLang="en-US" sz="800" b="0">
              <a:solidFill>
                <a:schemeClr val="tx2"/>
              </a:solidFill>
            </a:rPr>
            <a:pPr algn="ctr"/>
            <a:t>G per egg</a:t>
          </a:fld>
          <a:endParaRPr lang="en-US" sz="800" b="0">
            <a:solidFill>
              <a:schemeClr val="tx2"/>
            </a:solidFill>
          </a:endParaRPr>
        </a:p>
      </cdr:txBody>
    </cdr:sp>
  </cdr:absSizeAnchor>
  <cdr:absSizeAnchor xmlns:cdr="http://schemas.openxmlformats.org/drawingml/2006/chartDrawing">
    <cdr:from>
      <cdr:x>0.06133</cdr:x>
      <cdr:y>0.12743</cdr:y>
    </cdr:from>
    <cdr:ext cx="1077742" cy="358306"/>
    <cdr:sp macro="" textlink="Language!$B$335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70686" y="774368"/>
          <a:ext cx="1080000" cy="36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ctr"/>
        <a:lstStyle xmlns:a="http://schemas.openxmlformats.org/drawingml/2006/main"/>
        <a:p xmlns:a="http://schemas.openxmlformats.org/drawingml/2006/main">
          <a:pPr algn="ctr"/>
          <a:fld id="{F3BF9614-931C-4014-BCC2-7DB12F9D3341}" type="TxLink">
            <a:rPr lang="en-US" altLang="ko-KR" sz="800">
              <a:solidFill>
                <a:schemeClr val="tx1"/>
              </a:solidFill>
            </a:rPr>
            <a:pPr algn="ctr"/>
            <a:t>Ratio</a:t>
          </a:fld>
          <a:endParaRPr lang="en-US" sz="800">
            <a:solidFill>
              <a:schemeClr val="tx1"/>
            </a:solidFill>
          </a:endParaRPr>
        </a:p>
      </cdr:txBody>
    </cdr:sp>
  </cdr:absSizeAnchor>
  <cdr:absSizeAnchor xmlns:cdr="http://schemas.openxmlformats.org/drawingml/2006/chartDrawing">
    <cdr:from>
      <cdr:x>0.32137</cdr:x>
      <cdr:y>0.06037</cdr:y>
    </cdr:from>
    <cdr:ext cx="3236847" cy="358608"/>
    <cdr:sp macro="" textlink="Std!$B$1">
      <cdr:nvSpPr>
        <cdr:cNvPr id="33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2984500" y="365125"/>
          <a:ext cx="3236872" cy="3586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txBody>
        <a:bodyPr xmlns:a="http://schemas.openxmlformats.org/drawingml/2006/main" rot="0" vertOverflow="overflow" horzOverflow="overflow" wrap="none" lIns="0" tIns="0" rIns="0" bIns="0" rtlCol="0" anchor="ctr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AC57F4D-1F82-431B-BEF0-12BBA7C5504B}" type="TxLink">
            <a:rPr lang="en-US" sz="800" b="1" i="0" u="none" strike="noStrike">
              <a:ln w="3175">
                <a:noFill/>
              </a:ln>
              <a:solidFill>
                <a:schemeClr val="tx1"/>
              </a:solidFill>
              <a:latin typeface="Calibri"/>
            </a:rPr>
            <a:pPr algn="ctr"/>
            <a:t>ISA BROWN Baiada ALT 2021</a:t>
          </a:fld>
          <a:endParaRPr lang="en-US" sz="2000" b="1" u="sng">
            <a:ln w="3175">
              <a:noFill/>
            </a:ln>
            <a:solidFill>
              <a:schemeClr val="tx1"/>
            </a:solidFill>
          </a:endParaRPr>
        </a:p>
      </cdr:txBody>
    </cdr:sp>
  </cdr:absSizeAnchor>
  <cdr:relSizeAnchor xmlns:cdr="http://schemas.openxmlformats.org/drawingml/2006/chartDrawing">
    <cdr:from>
      <cdr:x>0.00547</cdr:x>
      <cdr:y>0.0084</cdr:y>
    </cdr:from>
    <cdr:to>
      <cdr:x>0.1113</cdr:x>
      <cdr:y>0.07982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148B8573-00E9-4EC1-9973-2A513469156D}"/>
            </a:ext>
          </a:extLst>
        </cdr:cNvPr>
        <cdr:cNvPicPr>
          <a:picLocks xmlns:a="http://schemas.openxmlformats.org/drawingml/2006/main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982800" cy="431999"/>
        </a:xfrm>
        <a:prstGeom xmlns:a="http://schemas.openxmlformats.org/drawingml/2006/main" prst="rect">
          <a:avLst/>
        </a:prstGeom>
      </cdr:spPr>
    </cdr:pic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48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absSizeAnchor xmlns:cdr="http://schemas.openxmlformats.org/drawingml/2006/chartDrawing">
    <cdr:from>
      <cdr:x>0.03708</cdr:x>
      <cdr:y>0.44748</cdr:y>
    </cdr:from>
    <cdr:ext cx="55257" cy="184899"/>
    <cdr:sp macro="" textlink="">
      <cdr:nvSpPr>
        <cdr:cNvPr id="29388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2487" y="3070292"/>
          <a:ext cx="74852" cy="2090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GB"/>
        </a:p>
      </cdr:txBody>
    </cdr:sp>
  </cdr:absSizeAnchor>
  <cdr:absSizeAnchor xmlns:cdr="http://schemas.openxmlformats.org/drawingml/2006/chartDrawing">
    <cdr:from>
      <cdr:x>0.0478</cdr:x>
      <cdr:y>0.0307</cdr:y>
    </cdr:from>
    <cdr:ext cx="1217695" cy="262560"/>
    <cdr:sp macro="" textlink="">
      <cdr:nvSpPr>
        <cdr:cNvPr id="1022006" name="TextBox 1022005"/>
        <cdr:cNvSpPr txBox="1"/>
      </cdr:nvSpPr>
      <cdr:spPr>
        <a:xfrm xmlns:a="http://schemas.openxmlformats.org/drawingml/2006/main">
          <a:off x="440531" y="172641"/>
          <a:ext cx="1208485" cy="2440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/>
        </a:p>
      </cdr:txBody>
    </cdr:sp>
  </cdr:absSizeAnchor>
  <cdr:absSizeAnchor xmlns:cdr="http://schemas.openxmlformats.org/drawingml/2006/chartDrawing">
    <cdr:from>
      <cdr:x>0.67475</cdr:x>
      <cdr:y>0.01496</cdr:y>
    </cdr:from>
    <cdr:ext cx="1797939" cy="358971"/>
    <cdr:grpSp>
      <cdr:nvGrpSpPr>
        <cdr:cNvPr id="71" name="Group 70">
          <a:extLst xmlns:a="http://schemas.openxmlformats.org/drawingml/2006/main">
            <a:ext uri="{FF2B5EF4-FFF2-40B4-BE49-F238E27FC236}">
              <a16:creationId xmlns:a16="http://schemas.microsoft.com/office/drawing/2014/main" id="{F7F997AC-39AB-44B1-AA66-1A8D3E8EA33F}"/>
            </a:ext>
          </a:extLst>
        </cdr:cNvPr>
        <cdr:cNvGrpSpPr/>
      </cdr:nvGrpSpPr>
      <cdr:grpSpPr>
        <a:xfrm xmlns:a="http://schemas.openxmlformats.org/drawingml/2006/main">
          <a:off x="6266319" y="90484"/>
          <a:ext cx="1797939" cy="358971"/>
          <a:chOff x="50800" y="50800"/>
          <a:chExt cx="3320993" cy="642675"/>
        </a:xfrm>
        <a:noFill xmlns:a="http://schemas.openxmlformats.org/drawingml/2006/main"/>
      </cdr:grpSpPr>
      <cdr:grpSp>
        <cdr:nvGrpSpPr>
          <cdr:cNvPr id="78" name="Group 1022007">
            <a:extLst xmlns:a="http://schemas.openxmlformats.org/drawingml/2006/main">
              <a:ext uri="{FF2B5EF4-FFF2-40B4-BE49-F238E27FC236}">
                <a16:creationId xmlns:a16="http://schemas.microsoft.com/office/drawing/2014/main" id="{A41CDFAB-E530-47F0-A813-6A2965995EED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50800" y="50800"/>
            <a:ext cx="1660922" cy="642675"/>
            <a:chOff x="50800" y="50800"/>
            <a:chExt cx="1660922" cy="642675"/>
          </a:xfrm>
        </cdr:grpSpPr>
      </cdr:grpSp>
      <cdr:grpSp>
        <cdr:nvGrpSpPr>
          <cdr:cNvPr id="26694" name="Group 1022007">
            <a:extLst xmlns:a="http://schemas.openxmlformats.org/drawingml/2006/main">
              <a:ext uri="{FF2B5EF4-FFF2-40B4-BE49-F238E27FC236}">
                <a16:creationId xmlns:a16="http://schemas.microsoft.com/office/drawing/2014/main" id="{4B2CF97D-C4F7-49E7-BD70-99BCE9599FD5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50800" y="50800"/>
            <a:ext cx="1660922" cy="642675"/>
            <a:chOff x="50800" y="50800"/>
            <a:chExt cx="1660922" cy="642675"/>
          </a:xfrm>
        </cdr:grpSpPr>
        <cdr:sp macro="" textlink="Language!$B$295">
          <cdr:nvSpPr>
            <cdr:cNvPr id="152" name="TextBox 1"/>
            <cdr:cNvSpPr txBox="1"/>
          </cdr:nvSpPr>
          <cdr:spPr>
            <a:xfrm xmlns:a="http://schemas.openxmlformats.org/drawingml/2006/main">
              <a:off x="50800" y="5080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4B247180-38F9-47A4-B2FE-197858B7EB26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Hatch date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6">
          <cdr:nvSpPr>
            <cdr:cNvPr id="153" name="TextBox 1"/>
            <cdr:cNvSpPr txBox="1"/>
          </cdr:nvSpPr>
          <cdr:spPr>
            <a:xfrm xmlns:a="http://schemas.openxmlformats.org/drawingml/2006/main">
              <a:off x="50800" y="264897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A4577647-E685-4DAE-93BD-3EADEEF3C971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Breed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7">
          <cdr:nvSpPr>
            <cdr:cNvPr id="154" name="TextBox 1"/>
            <cdr:cNvSpPr txBox="1"/>
          </cdr:nvSpPr>
          <cdr:spPr>
            <a:xfrm xmlns:a="http://schemas.openxmlformats.org/drawingml/2006/main">
              <a:off x="50800" y="479162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B4B5EB4E-7380-483C-A14E-622D5669E5DF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Birds housed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  <cdr:grpSp>
        <cdr:nvGrpSpPr>
          <cdr:cNvPr id="80" name="Group 155">
            <a:extLst xmlns:a="http://schemas.openxmlformats.org/drawingml/2006/main">
              <a:ext uri="{FF2B5EF4-FFF2-40B4-BE49-F238E27FC236}">
                <a16:creationId xmlns:a16="http://schemas.microsoft.com/office/drawing/2014/main" id="{3222C936-E125-4516-8B81-F382E63E6156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1710871" y="50800"/>
            <a:ext cx="1660922" cy="642675"/>
            <a:chOff x="0" y="0"/>
            <a:chExt cx="1660922" cy="642675"/>
          </a:xfrm>
        </cdr:grpSpPr>
      </cdr:grpSp>
      <cdr:grpSp>
        <cdr:nvGrpSpPr>
          <cdr:cNvPr id="26696" name="Group 155">
            <a:extLst xmlns:a="http://schemas.openxmlformats.org/drawingml/2006/main">
              <a:ext uri="{FF2B5EF4-FFF2-40B4-BE49-F238E27FC236}">
                <a16:creationId xmlns:a16="http://schemas.microsoft.com/office/drawing/2014/main" id="{9D9D8F27-C0CF-4FF5-B50D-F47E7D68D061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1710871" y="50800"/>
            <a:ext cx="1660922" cy="642675"/>
            <a:chOff x="0" y="0"/>
            <a:chExt cx="1660922" cy="642675"/>
          </a:xfrm>
        </cdr:grpSpPr>
        <cdr:sp macro="" textlink="'General Input'!$B$14">
          <cdr:nvSpPr>
            <cdr:cNvPr id="157" name="TextBox 1"/>
            <cdr:cNvSpPr txBox="1"/>
          </cdr:nvSpPr>
          <cdr:spPr>
            <a:xfrm xmlns:a="http://schemas.openxmlformats.org/drawingml/2006/main">
              <a:off x="0" y="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548CDFBA-EF06-4C1A-B0C9-60345F8C12F0}" type="TxLink">
                <a:rPr lang="en-US" sz="800" b="0" i="0" u="none" strike="noStrike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GHOST_SHEET!$B$3">
          <cdr:nvSpPr>
            <cdr:cNvPr id="158" name="TextBox 1"/>
            <cdr:cNvSpPr txBox="1"/>
          </cdr:nvSpPr>
          <cdr:spPr>
            <a:xfrm xmlns:a="http://schemas.openxmlformats.org/drawingml/2006/main">
              <a:off x="0" y="214097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661B79C7-492C-4C4F-A58A-ACF325222771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ISA BROWN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GHOST_SHEET!$Q$2">
          <cdr:nvSpPr>
            <cdr:cNvPr id="159" name="TextBox 1"/>
            <cdr:cNvSpPr txBox="1"/>
          </cdr:nvSpPr>
          <cdr:spPr>
            <a:xfrm xmlns:a="http://schemas.openxmlformats.org/drawingml/2006/main">
              <a:off x="0" y="428363"/>
              <a:ext cx="1660922" cy="2143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AAB570B0-A3E2-48A8-897D-26B850F27CD0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0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</cdr:grpSp>
  </cdr:absSizeAnchor>
  <cdr:absSizeAnchor xmlns:cdr="http://schemas.openxmlformats.org/drawingml/2006/chartDrawing">
    <cdr:from>
      <cdr:x>0.13185</cdr:x>
      <cdr:y>0.01496</cdr:y>
    </cdr:from>
    <cdr:ext cx="1797846" cy="358971"/>
    <cdr:grpSp>
      <cdr:nvGrpSpPr>
        <cdr:cNvPr id="72" name="Group 71">
          <a:extLst xmlns:a="http://schemas.openxmlformats.org/drawingml/2006/main">
            <a:ext uri="{FF2B5EF4-FFF2-40B4-BE49-F238E27FC236}">
              <a16:creationId xmlns:a16="http://schemas.microsoft.com/office/drawing/2014/main" id="{93F080B9-8D49-4374-8AA1-C3C2CE4300EF}"/>
            </a:ext>
          </a:extLst>
        </cdr:cNvPr>
        <cdr:cNvGrpSpPr/>
      </cdr:nvGrpSpPr>
      <cdr:grpSpPr>
        <a:xfrm xmlns:a="http://schemas.openxmlformats.org/drawingml/2006/main">
          <a:off x="1224474" y="90484"/>
          <a:ext cx="1797846" cy="358971"/>
          <a:chOff x="0" y="0"/>
          <a:chExt cx="4995052" cy="642675"/>
        </a:xfrm>
        <a:noFill xmlns:a="http://schemas.openxmlformats.org/drawingml/2006/main"/>
      </cdr:grpSpPr>
      <cdr:grpSp>
        <cdr:nvGrpSpPr>
          <cdr:cNvPr id="74" name="Group 161">
            <a:extLst xmlns:a="http://schemas.openxmlformats.org/drawingml/2006/main">
              <a:ext uri="{FF2B5EF4-FFF2-40B4-BE49-F238E27FC236}">
                <a16:creationId xmlns:a16="http://schemas.microsoft.com/office/drawing/2014/main" id="{D8617E98-DE33-42D4-857D-611A0AAAA3DF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0" y="0"/>
            <a:ext cx="2498166" cy="642675"/>
            <a:chOff x="0" y="0"/>
            <a:chExt cx="1660922" cy="642675"/>
          </a:xfrm>
        </cdr:grpSpPr>
      </cdr:grpSp>
      <cdr:grpSp>
        <cdr:nvGrpSpPr>
          <cdr:cNvPr id="26684" name="Group 161">
            <a:extLst xmlns:a="http://schemas.openxmlformats.org/drawingml/2006/main">
              <a:ext uri="{FF2B5EF4-FFF2-40B4-BE49-F238E27FC236}">
                <a16:creationId xmlns:a16="http://schemas.microsoft.com/office/drawing/2014/main" id="{769B301D-2ECA-4BA0-BCAA-C93FA7EC7680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0" y="0"/>
            <a:ext cx="2498166" cy="642675"/>
            <a:chOff x="0" y="0"/>
            <a:chExt cx="1660922" cy="642675"/>
          </a:xfrm>
        </cdr:grpSpPr>
        <cdr:sp macro="" textlink="Language!$B$292">
          <cdr:nvSpPr>
            <cdr:cNvPr id="167" name="TextBox 1"/>
            <cdr:cNvSpPr txBox="1"/>
          </cdr:nvSpPr>
          <cdr:spPr>
            <a:xfrm xmlns:a="http://schemas.openxmlformats.org/drawingml/2006/main">
              <a:off x="0" y="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8D433364-A88C-4449-8D65-81F2276A980D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Farm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3">
          <cdr:nvSpPr>
            <cdr:cNvPr id="168" name="TextBox 1"/>
            <cdr:cNvSpPr txBox="1"/>
          </cdr:nvSpPr>
          <cdr:spPr>
            <a:xfrm xmlns:a="http://schemas.openxmlformats.org/drawingml/2006/main">
              <a:off x="0" y="214097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8AF1B84D-B550-4A06-B5D0-429C48487E23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House number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4">
          <cdr:nvSpPr>
            <cdr:cNvPr id="169" name="TextBox 1"/>
            <cdr:cNvSpPr txBox="1"/>
          </cdr:nvSpPr>
          <cdr:spPr>
            <a:xfrm xmlns:a="http://schemas.openxmlformats.org/drawingml/2006/main">
              <a:off x="0" y="428362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ECEF31EA-863D-452B-867C-7EF3D27F4915}" type="TxLink">
                <a:rPr lang="en-US" altLang="ko-KR" sz="800" b="0">
                  <a:solidFill>
                    <a:schemeClr val="tx1"/>
                  </a:solidFill>
                  <a:latin typeface="+mn-lt"/>
                </a:rPr>
                <a:pPr algn="l"/>
                <a:t>Housing system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  <cdr:grpSp>
        <cdr:nvGrpSpPr>
          <cdr:cNvPr id="76" name="Group 162">
            <a:extLst xmlns:a="http://schemas.openxmlformats.org/drawingml/2006/main">
              <a:ext uri="{FF2B5EF4-FFF2-40B4-BE49-F238E27FC236}">
                <a16:creationId xmlns:a16="http://schemas.microsoft.com/office/drawing/2014/main" id="{DBE728C6-7CA1-439F-977C-339F82D1FA23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2496886" y="0"/>
            <a:ext cx="2498166" cy="642675"/>
            <a:chOff x="1660071" y="0"/>
            <a:chExt cx="1660922" cy="642675"/>
          </a:xfrm>
        </cdr:grpSpPr>
      </cdr:grpSp>
      <cdr:grpSp>
        <cdr:nvGrpSpPr>
          <cdr:cNvPr id="26686" name="Group 162">
            <a:extLst xmlns:a="http://schemas.openxmlformats.org/drawingml/2006/main">
              <a:ext uri="{FF2B5EF4-FFF2-40B4-BE49-F238E27FC236}">
                <a16:creationId xmlns:a16="http://schemas.microsoft.com/office/drawing/2014/main" id="{4716143C-E612-46BD-97A3-16F1EF41CACD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2496886" y="0"/>
            <a:ext cx="2498166" cy="642675"/>
            <a:chOff x="1660071" y="0"/>
            <a:chExt cx="1660922" cy="642675"/>
          </a:xfrm>
        </cdr:grpSpPr>
        <cdr:sp macro="" textlink="'General Input'!$B$20">
          <cdr:nvSpPr>
            <cdr:cNvPr id="164" name="TextBox 1"/>
            <cdr:cNvSpPr txBox="1"/>
          </cdr:nvSpPr>
          <cdr:spPr>
            <a:xfrm xmlns:a="http://schemas.openxmlformats.org/drawingml/2006/main">
              <a:off x="1660071" y="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A230F6BD-71A0-4BED-A33D-7068CF8B73D1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21">
          <cdr:nvSpPr>
            <cdr:cNvPr id="165" name="TextBox 1"/>
            <cdr:cNvSpPr txBox="1"/>
          </cdr:nvSpPr>
          <cdr:spPr>
            <a:xfrm xmlns:a="http://schemas.openxmlformats.org/drawingml/2006/main">
              <a:off x="1660071" y="214097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566EFAD5-2EB9-427C-A09A-F9C4B4ED7E00}" type="TxLink">
                <a:rPr lang="en-US" sz="800" b="0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18">
          <cdr:nvSpPr>
            <cdr:cNvPr id="166" name="TextBox 1"/>
            <cdr:cNvSpPr txBox="1"/>
          </cdr:nvSpPr>
          <cdr:spPr>
            <a:xfrm xmlns:a="http://schemas.openxmlformats.org/drawingml/2006/main">
              <a:off x="1660071" y="428362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Overflow="overflow" horzOverflow="overflow" wrap="none" lIns="0" tIns="0" rIns="0" bIns="0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15EC29AF-EAA1-460C-BBA1-BF360AF4AB45}" type="TxLink">
                <a:rPr lang="en-US" altLang="ko-KR" sz="800" b="0" i="0" u="none" strike="noStrike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</cdr:grpSp>
  </cdr:absSizeAnchor>
  <cdr:absSizeAnchor xmlns:cdr="http://schemas.openxmlformats.org/drawingml/2006/chartDrawing">
    <cdr:from>
      <cdr:x>0.0478</cdr:x>
      <cdr:y>0.0307</cdr:y>
    </cdr:from>
    <cdr:ext cx="1217695" cy="262560"/>
    <cdr:sp macro="" textlink="">
      <cdr:nvSpPr>
        <cdr:cNvPr id="2" name="TextBox 1022005"/>
        <cdr:cNvSpPr txBox="1"/>
      </cdr:nvSpPr>
      <cdr:spPr>
        <a:xfrm xmlns:a="http://schemas.openxmlformats.org/drawingml/2006/main">
          <a:off x="440531" y="172641"/>
          <a:ext cx="1208485" cy="2440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/>
        </a:p>
      </cdr:txBody>
    </cdr:sp>
  </cdr:absSizeAnchor>
  <cdr:absSizeAnchor xmlns:cdr="http://schemas.openxmlformats.org/drawingml/2006/chartDrawing">
    <cdr:from>
      <cdr:x>0.3256</cdr:x>
      <cdr:y>0.01496</cdr:y>
    </cdr:from>
    <cdr:ext cx="3236197" cy="358971"/>
    <cdr:sp macro="" textlink="Language!$B$336">
      <cdr:nvSpPr>
        <cdr:cNvPr id="27" name="TextBox 1022013"/>
        <cdr:cNvSpPr txBox="1"/>
      </cdr:nvSpPr>
      <cdr:spPr>
        <a:xfrm xmlns:a="http://schemas.openxmlformats.org/drawingml/2006/main">
          <a:off x="3027416" y="90786"/>
          <a:ext cx="3240000" cy="3600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txBody>
        <a:bodyPr xmlns:a="http://schemas.openxmlformats.org/drawingml/2006/main" rot="0" vertOverflow="overflow" horzOverflow="overflow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fld id="{5AFD64E5-FB13-4F27-8220-7DA9F5DAF7C8}" type="TxLink">
            <a:rPr lang="en-US" altLang="ko-KR" sz="2000" u="none">
              <a:ln w="3175">
                <a:noFill/>
              </a:ln>
              <a:solidFill>
                <a:schemeClr val="tx2"/>
              </a:solidFill>
            </a:rPr>
            <a:pPr algn="ctr"/>
            <a:t>Down grading graph</a:t>
          </a:fld>
          <a:endParaRPr lang="en-US" sz="2000" u="none">
            <a:ln w="3175">
              <a:noFill/>
            </a:ln>
            <a:solidFill>
              <a:schemeClr val="tx2"/>
            </a:solidFill>
          </a:endParaRPr>
        </a:p>
      </cdr:txBody>
    </cdr:sp>
  </cdr:absSizeAnchor>
  <cdr:absSizeAnchor xmlns:cdr="http://schemas.openxmlformats.org/drawingml/2006/chartDrawing">
    <cdr:from>
      <cdr:x>0.02758</cdr:x>
      <cdr:y>0.12461</cdr:y>
    </cdr:from>
    <cdr:ext cx="1078763" cy="358911"/>
    <cdr:sp macro="" textlink="Language!$B$338">
      <cdr:nvSpPr>
        <cdr:cNvPr id="794" name="TextBox 1"/>
        <cdr:cNvSpPr txBox="1"/>
      </cdr:nvSpPr>
      <cdr:spPr>
        <a:xfrm xmlns:a="http://schemas.openxmlformats.org/drawingml/2006/main">
          <a:off x="256455" y="755945"/>
          <a:ext cx="1080000" cy="36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5499749-C04D-4780-A571-AE3952334A9B}" type="TxLink">
            <a:rPr lang="en-US" altLang="ja-JP" sz="800">
              <a:solidFill>
                <a:schemeClr val="tx1"/>
              </a:solidFill>
            </a:rPr>
            <a:pPr algn="ctr"/>
            <a:t>Seconds %</a:t>
          </a:fld>
          <a:endParaRPr lang="en-US" sz="800">
            <a:solidFill>
              <a:schemeClr val="tx1"/>
            </a:solidFill>
          </a:endParaRPr>
        </a:p>
      </cdr:txBody>
    </cdr:sp>
  </cdr:absSizeAnchor>
  <cdr:absSizeAnchor xmlns:cdr="http://schemas.openxmlformats.org/drawingml/2006/chartDrawing">
    <cdr:from>
      <cdr:x>0.83905</cdr:x>
      <cdr:y>0.12148</cdr:y>
    </cdr:from>
    <cdr:ext cx="1078671" cy="358911"/>
    <cdr:sp macro="" textlink="Language!$B$338">
      <cdr:nvSpPr>
        <cdr:cNvPr id="487" name="TextBox 1"/>
        <cdr:cNvSpPr txBox="1"/>
      </cdr:nvSpPr>
      <cdr:spPr>
        <a:xfrm xmlns:a="http://schemas.openxmlformats.org/drawingml/2006/main">
          <a:off x="7808119" y="738199"/>
          <a:ext cx="1080883" cy="3606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39BA656-0A15-4C25-B61F-B242F4D2839F}" type="TxLink">
            <a:rPr lang="en-US" altLang="ja-JP" sz="800">
              <a:solidFill>
                <a:schemeClr val="tx1">
                  <a:lumMod val="60000"/>
                  <a:lumOff val="40000"/>
                </a:schemeClr>
              </a:solidFill>
            </a:rPr>
            <a:pPr algn="ctr"/>
            <a:t>Seconds %</a:t>
          </a:fld>
          <a:endParaRPr lang="en-US" sz="800">
            <a:solidFill>
              <a:schemeClr val="tx1">
                <a:lumMod val="60000"/>
                <a:lumOff val="40000"/>
              </a:schemeClr>
            </a:solidFill>
          </a:endParaRPr>
        </a:p>
      </cdr:txBody>
    </cdr:sp>
  </cdr:absSizeAnchor>
  <cdr:absSizeAnchor xmlns:cdr="http://schemas.openxmlformats.org/drawingml/2006/chartDrawing">
    <cdr:from>
      <cdr:x>0.32239</cdr:x>
      <cdr:y>0.06352</cdr:y>
    </cdr:from>
    <cdr:ext cx="3236940" cy="358608"/>
    <cdr:sp macro="" textlink="Std!$B$1">
      <cdr:nvSpPr>
        <cdr:cNvPr id="30" name="TextBox 1"/>
        <cdr:cNvSpPr txBox="1"/>
      </cdr:nvSpPr>
      <cdr:spPr>
        <a:xfrm xmlns:a="http://schemas.openxmlformats.org/drawingml/2006/main">
          <a:off x="2994025" y="384175"/>
          <a:ext cx="3236872" cy="3586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txBody>
        <a:bodyPr xmlns:a="http://schemas.openxmlformats.org/drawingml/2006/main" rot="0" wrap="square" lIns="0" tIns="0" rIns="0" bIns="0" rtlCol="0" anchor="ctr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DD32424-A3F0-4EAC-B153-4487E51BCF9B}" type="TxLink">
            <a:rPr lang="en-US" sz="800" b="1" i="0" u="none" strike="noStrike">
              <a:ln w="3175">
                <a:noFill/>
              </a:ln>
              <a:solidFill>
                <a:schemeClr val="tx1"/>
              </a:solidFill>
              <a:latin typeface="Calibri"/>
            </a:rPr>
            <a:pPr algn="ctr"/>
            <a:t>ISA BROWN Baiada ALT 2021</a:t>
          </a:fld>
          <a:endParaRPr lang="en-US" sz="2000" b="1" u="sng">
            <a:ln w="3175">
              <a:noFill/>
            </a:ln>
            <a:solidFill>
              <a:schemeClr val="tx1"/>
            </a:solidFill>
          </a:endParaRPr>
        </a:p>
      </cdr:txBody>
    </cdr:sp>
  </cdr:absSizeAnchor>
  <cdr:relSizeAnchor xmlns:cdr="http://schemas.openxmlformats.org/drawingml/2006/chartDrawing">
    <cdr:from>
      <cdr:x>0.00547</cdr:x>
      <cdr:y>0.0084</cdr:y>
    </cdr:from>
    <cdr:to>
      <cdr:x>0.1113</cdr:x>
      <cdr:y>0.07982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505F3616-8960-445C-9AC3-FF0A71BA5C0B}"/>
            </a:ext>
          </a:extLst>
        </cdr:cNvPr>
        <cdr:cNvPicPr>
          <a:picLocks xmlns:a="http://schemas.openxmlformats.org/drawingml/2006/main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982800" cy="431999"/>
        </a:xfrm>
        <a:prstGeom xmlns:a="http://schemas.openxmlformats.org/drawingml/2006/main" prst="rect">
          <a:avLst/>
        </a:prstGeom>
      </cdr:spPr>
    </cdr:pic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721995</xdr:colOff>
      <xdr:row>0</xdr:row>
      <xdr:rowOff>0</xdr:rowOff>
    </xdr:from>
    <xdr:to>
      <xdr:col>8</xdr:col>
      <xdr:colOff>229604</xdr:colOff>
      <xdr:row>3</xdr:row>
      <xdr:rowOff>163335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E74BAE-E88A-4D0C-881F-02A683184B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2020" y="0"/>
          <a:ext cx="1707884" cy="7634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48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0.68375</cdr:x>
      <cdr:y>0.02021</cdr:y>
    </cdr:from>
    <cdr:to>
      <cdr:x>0.87719</cdr:x>
      <cdr:y>0.07973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58CB13A6-2364-41ED-8377-69628B459283}"/>
            </a:ext>
          </a:extLst>
        </cdr:cNvPr>
        <cdr:cNvGrpSpPr/>
      </cdr:nvGrpSpPr>
      <cdr:grpSpPr>
        <a:xfrm xmlns:a="http://schemas.openxmlformats.org/drawingml/2006/main">
          <a:off x="6349901" y="122238"/>
          <a:ext cx="1796453" cy="359999"/>
          <a:chOff x="5041845" y="0"/>
          <a:chExt cx="6134242" cy="1150598"/>
        </a:xfrm>
        <a:noFill xmlns:a="http://schemas.openxmlformats.org/drawingml/2006/main"/>
      </cdr:grpSpPr>
      <cdr:grpSp>
        <cdr:nvGrpSpPr>
          <cdr:cNvPr id="14" name="Group 13">
            <a:extLst xmlns:a="http://schemas.openxmlformats.org/drawingml/2006/main">
              <a:ext uri="{FF2B5EF4-FFF2-40B4-BE49-F238E27FC236}">
                <a16:creationId xmlns:a16="http://schemas.microsoft.com/office/drawing/2014/main" id="{4E77CE14-01F1-4AAF-BE9C-E00B2438D5D6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5041845" y="0"/>
            <a:ext cx="3067907" cy="1150598"/>
            <a:chOff x="5041845" y="0"/>
            <a:chExt cx="1660922" cy="642675"/>
          </a:xfrm>
        </cdr:grpSpPr>
      </cdr:grpSp>
      <cdr:grpSp>
        <cdr:nvGrpSpPr>
          <cdr:cNvPr id="15" name="Group 14">
            <a:extLst xmlns:a="http://schemas.openxmlformats.org/drawingml/2006/main">
              <a:ext uri="{FF2B5EF4-FFF2-40B4-BE49-F238E27FC236}">
                <a16:creationId xmlns:a16="http://schemas.microsoft.com/office/drawing/2014/main" id="{C14A8477-3CB0-4182-B568-B80D42E3E729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5041845" y="0"/>
            <a:ext cx="3067907" cy="1150598"/>
            <a:chOff x="5041845" y="0"/>
            <a:chExt cx="1660922" cy="642675"/>
          </a:xfrm>
        </cdr:grpSpPr>
        <cdr:sp macro="" textlink="Language!$B$295">
          <cdr:nvSpPr>
            <cdr:cNvPr id="21" name="TextBox 1"/>
            <cdr:cNvSpPr txBox="1"/>
          </cdr:nvSpPr>
          <cdr:spPr>
            <a:xfrm xmlns:a="http://schemas.openxmlformats.org/drawingml/2006/main">
              <a:off x="5041845" y="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F5A90C00-4DB3-4BFA-82E9-96222CF7D067}" type="TxLink">
                <a:rPr lang="en-US" altLang="ko-KR" sz="800" b="0" i="0" u="none" strike="noStrike">
                  <a:solidFill>
                    <a:schemeClr val="tx1"/>
                  </a:solidFill>
                  <a:latin typeface="+mn-lt"/>
                  <a:cs typeface="Arial"/>
                </a:rPr>
                <a:pPr algn="l"/>
                <a:t>Hatch date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6">
          <cdr:nvSpPr>
            <cdr:cNvPr id="22" name="TextBox 1"/>
            <cdr:cNvSpPr txBox="1"/>
          </cdr:nvSpPr>
          <cdr:spPr>
            <a:xfrm xmlns:a="http://schemas.openxmlformats.org/drawingml/2006/main">
              <a:off x="5041845" y="214097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106335FB-7A6D-4ADA-86E6-B66EA4468933}" type="TxLink">
                <a:rPr lang="en-US" altLang="ko-KR" sz="800" b="0" i="0" u="none" strike="noStrike">
                  <a:solidFill>
                    <a:schemeClr val="tx1"/>
                  </a:solidFill>
                  <a:latin typeface="+mn-lt"/>
                  <a:cs typeface="Arial"/>
                </a:rPr>
                <a:pPr algn="l"/>
                <a:t>Breed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7">
          <cdr:nvSpPr>
            <cdr:cNvPr id="23" name="TextBox 1"/>
            <cdr:cNvSpPr txBox="1"/>
          </cdr:nvSpPr>
          <cdr:spPr>
            <a:xfrm xmlns:a="http://schemas.openxmlformats.org/drawingml/2006/main">
              <a:off x="5041845" y="428362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1CCED3D5-FED7-4960-9489-9E1FB0B66E9D}" type="TxLink">
                <a:rPr lang="en-US" altLang="ko-KR" sz="800" b="0" i="0" u="none" strike="noStrike">
                  <a:solidFill>
                    <a:schemeClr val="tx1"/>
                  </a:solidFill>
                  <a:latin typeface="+mn-lt"/>
                  <a:cs typeface="Arial"/>
                </a:rPr>
                <a:pPr algn="l"/>
                <a:t>Birds housed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  <cdr:grpSp>
        <cdr:nvGrpSpPr>
          <cdr:cNvPr id="16" name="Group 15">
            <a:extLst xmlns:a="http://schemas.openxmlformats.org/drawingml/2006/main">
              <a:ext uri="{FF2B5EF4-FFF2-40B4-BE49-F238E27FC236}">
                <a16:creationId xmlns:a16="http://schemas.microsoft.com/office/drawing/2014/main" id="{5D463D02-CC71-42F7-B95F-EFF043E0AA45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8108180" y="0"/>
            <a:ext cx="3067907" cy="1150598"/>
            <a:chOff x="6701916" y="0"/>
            <a:chExt cx="1660922" cy="642675"/>
          </a:xfrm>
        </cdr:grpSpPr>
      </cdr:grpSp>
      <cdr:grpSp>
        <cdr:nvGrpSpPr>
          <cdr:cNvPr id="17" name="Group 16">
            <a:extLst xmlns:a="http://schemas.openxmlformats.org/drawingml/2006/main">
              <a:ext uri="{FF2B5EF4-FFF2-40B4-BE49-F238E27FC236}">
                <a16:creationId xmlns:a16="http://schemas.microsoft.com/office/drawing/2014/main" id="{0F6C994A-9916-4C1B-971F-CF4C4BA1811C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8108180" y="0"/>
            <a:ext cx="3067907" cy="1150598"/>
            <a:chOff x="6701916" y="0"/>
            <a:chExt cx="1660922" cy="642675"/>
          </a:xfrm>
        </cdr:grpSpPr>
        <cdr:sp macro="" textlink="'General Input'!$B$14">
          <cdr:nvSpPr>
            <cdr:cNvPr id="18" name="TextBox 1"/>
            <cdr:cNvSpPr txBox="1"/>
          </cdr:nvSpPr>
          <cdr:spPr>
            <a:xfrm xmlns:a="http://schemas.openxmlformats.org/drawingml/2006/main">
              <a:off x="6701916" y="0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5ABDF5BB-7E4E-4A21-9C1C-B65C38010ADA}" type="TxLink">
                <a:rPr lang="en-US" sz="800" b="0" i="0" u="none" strike="noStrike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17:$D$17">
          <cdr:nvSpPr>
            <cdr:cNvPr id="19" name="TextBox 1"/>
            <cdr:cNvSpPr txBox="1"/>
          </cdr:nvSpPr>
          <cdr:spPr>
            <a:xfrm xmlns:a="http://schemas.openxmlformats.org/drawingml/2006/main">
              <a:off x="6701916" y="214097"/>
              <a:ext cx="1660922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1C58DA18-43F2-4CFF-99A5-5A8C7E0D5164}" type="TxLink">
                <a:rPr lang="en-US" sz="800" b="0" i="0" u="none" strike="noStrike">
                  <a:solidFill>
                    <a:schemeClr val="tx1"/>
                  </a:solidFill>
                  <a:latin typeface="+mn-lt"/>
                </a:rPr>
                <a:pPr algn="l"/>
                <a:t>ISA BROWN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Input Laying'!$G$6">
          <cdr:nvSpPr>
            <cdr:cNvPr id="20" name="TextBox 1"/>
            <cdr:cNvSpPr txBox="1"/>
          </cdr:nvSpPr>
          <cdr:spPr>
            <a:xfrm xmlns:a="http://schemas.openxmlformats.org/drawingml/2006/main">
              <a:off x="6701916" y="428363"/>
              <a:ext cx="1660922" cy="2143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B57E0554-CDBC-4B31-8EFC-215A857C1F65}" type="TxLink">
                <a:rPr lang="en-US" sz="800" b="0" i="0" u="none" strike="noStrike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</cdr:grpSp>
  </cdr:relSizeAnchor>
  <cdr:relSizeAnchor xmlns:cdr="http://schemas.openxmlformats.org/drawingml/2006/chartDrawing">
    <cdr:from>
      <cdr:x>0.17265</cdr:x>
      <cdr:y>0.02021</cdr:y>
    </cdr:from>
    <cdr:to>
      <cdr:x>0.36608</cdr:x>
      <cdr:y>0.07973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56344F4D-320B-4C20-BE31-02D0CD81AF39}"/>
            </a:ext>
          </a:extLst>
        </cdr:cNvPr>
        <cdr:cNvGrpSpPr/>
      </cdr:nvGrpSpPr>
      <cdr:grpSpPr>
        <a:xfrm xmlns:a="http://schemas.openxmlformats.org/drawingml/2006/main">
          <a:off x="1603379" y="122238"/>
          <a:ext cx="1796360" cy="359999"/>
          <a:chOff x="0" y="0"/>
          <a:chExt cx="13878028" cy="1150598"/>
        </a:xfrm>
        <a:noFill xmlns:a="http://schemas.openxmlformats.org/drawingml/2006/main"/>
      </cdr:grpSpPr>
      <cdr:grpSp>
        <cdr:nvGrpSpPr>
          <cdr:cNvPr id="4" name="Group 3">
            <a:extLst xmlns:a="http://schemas.openxmlformats.org/drawingml/2006/main">
              <a:ext uri="{FF2B5EF4-FFF2-40B4-BE49-F238E27FC236}">
                <a16:creationId xmlns:a16="http://schemas.microsoft.com/office/drawing/2014/main" id="{0F05A086-67AE-4DEE-B7A2-3DCD49FEA1D4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0" y="0"/>
            <a:ext cx="6940792" cy="1150598"/>
            <a:chOff x="0" y="0"/>
            <a:chExt cx="1660922" cy="642675"/>
          </a:xfrm>
        </cdr:grpSpPr>
      </cdr:grp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73BF6CEB-9148-4135-907C-13673246E22F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0" y="0"/>
            <a:ext cx="4614632" cy="1150598"/>
            <a:chOff x="0" y="0"/>
            <a:chExt cx="1104275" cy="642675"/>
          </a:xfrm>
        </cdr:grpSpPr>
        <cdr:sp macro="" textlink="Language!$B$292">
          <cdr:nvSpPr>
            <cdr:cNvPr id="11" name="TextBox 1"/>
            <cdr:cNvSpPr txBox="1"/>
          </cdr:nvSpPr>
          <cdr:spPr>
            <a:xfrm xmlns:a="http://schemas.openxmlformats.org/drawingml/2006/main">
              <a:off x="0" y="0"/>
              <a:ext cx="1104275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088AB257-BF67-42F1-81C3-5C5EB5AE4DB6}" type="TxLink">
                <a:rPr lang="en-US" altLang="ko-KR" sz="800" b="0" i="0" u="none" strike="noStrike">
                  <a:solidFill>
                    <a:schemeClr val="tx1"/>
                  </a:solidFill>
                  <a:latin typeface="+mn-lt"/>
                  <a:cs typeface="Arial"/>
                </a:rPr>
                <a:pPr algn="l"/>
                <a:t>Farm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3">
          <cdr:nvSpPr>
            <cdr:cNvPr id="12" name="TextBox 1"/>
            <cdr:cNvSpPr txBox="1"/>
          </cdr:nvSpPr>
          <cdr:spPr>
            <a:xfrm xmlns:a="http://schemas.openxmlformats.org/drawingml/2006/main">
              <a:off x="0" y="214097"/>
              <a:ext cx="1104275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D23E0DC4-E171-4F43-9F21-1B9BC4F1985C}" type="TxLink">
                <a:rPr lang="en-US" altLang="ko-KR" sz="800" b="0" i="0" u="none" strike="noStrike">
                  <a:solidFill>
                    <a:schemeClr val="tx1"/>
                  </a:solidFill>
                  <a:latin typeface="+mn-lt"/>
                  <a:cs typeface="Arial"/>
                </a:rPr>
                <a:pPr algn="l"/>
                <a:t>House number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Language!$B$294">
          <cdr:nvSpPr>
            <cdr:cNvPr id="13" name="TextBox 1"/>
            <cdr:cNvSpPr txBox="1"/>
          </cdr:nvSpPr>
          <cdr:spPr>
            <a:xfrm xmlns:a="http://schemas.openxmlformats.org/drawingml/2006/main">
              <a:off x="0" y="428362"/>
              <a:ext cx="1104275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CE4042F4-5AC0-42A7-BCDA-C647178A59D3}" type="TxLink">
                <a:rPr lang="en-US" altLang="ko-KR" sz="800" b="0" i="0" u="none" strike="noStrike">
                  <a:solidFill>
                    <a:schemeClr val="tx1"/>
                  </a:solidFill>
                  <a:latin typeface="+mn-lt"/>
                  <a:cs typeface="Arial"/>
                </a:rPr>
                <a:pPr algn="l"/>
                <a:t>Housing system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  <cdr:grpSp>
        <cdr:nvGrpSpPr>
          <cdr:cNvPr id="6" name="Group 5">
            <a:extLst xmlns:a="http://schemas.openxmlformats.org/drawingml/2006/main">
              <a:ext uri="{FF2B5EF4-FFF2-40B4-BE49-F238E27FC236}">
                <a16:creationId xmlns:a16="http://schemas.microsoft.com/office/drawing/2014/main" id="{1E81EF92-D3C6-475C-BB81-19E2AC705E7C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6937236" y="0"/>
            <a:ext cx="6940792" cy="1150598"/>
            <a:chOff x="2496886" y="0"/>
            <a:chExt cx="1660922" cy="642675"/>
          </a:xfrm>
        </cdr:grpSpPr>
      </cdr:grpSp>
      <cdr:grpSp>
        <cdr:nvGrpSpPr>
          <cdr:cNvPr id="7" name="Group 6">
            <a:extLst xmlns:a="http://schemas.openxmlformats.org/drawingml/2006/main">
              <a:ext uri="{FF2B5EF4-FFF2-40B4-BE49-F238E27FC236}">
                <a16:creationId xmlns:a16="http://schemas.microsoft.com/office/drawing/2014/main" id="{1FC17A3B-303F-4F97-B11E-C06E3774788E}"/>
              </a:ext>
            </a:extLst>
          </cdr:cNvPr>
          <cdr:cNvGrpSpPr>
            <a:grpSpLocks xmlns:a="http://schemas.openxmlformats.org/drawingml/2006/main"/>
          </cdr:cNvGrpSpPr>
        </cdr:nvGrpSpPr>
        <cdr:grpSpPr bwMode="auto">
          <a:xfrm xmlns:a="http://schemas.openxmlformats.org/drawingml/2006/main">
            <a:off x="6937237" y="0"/>
            <a:ext cx="4614632" cy="1150598"/>
            <a:chOff x="2496886" y="0"/>
            <a:chExt cx="1104275" cy="642675"/>
          </a:xfrm>
        </cdr:grpSpPr>
        <cdr:sp macro="" textlink="'General Input'!$B$20">
          <cdr:nvSpPr>
            <cdr:cNvPr id="8" name="TextBox 1"/>
            <cdr:cNvSpPr txBox="1"/>
          </cdr:nvSpPr>
          <cdr:spPr>
            <a:xfrm xmlns:a="http://schemas.openxmlformats.org/drawingml/2006/main">
              <a:off x="2496886" y="0"/>
              <a:ext cx="1104275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6A8CE0BF-0DF2-49A3-A79E-171F2F6A8BBE}" type="TxLink">
                <a:rPr lang="en-US" sz="800" b="0" i="0" u="none" strike="noStrike">
                  <a:solidFill>
                    <a:schemeClr val="tx1"/>
                  </a:solidFill>
                  <a:latin typeface="Calibri"/>
                </a:rPr>
                <a:pPr algn="l"/>
                <a:t> </a:t>
              </a:fld>
              <a:endParaRPr lang="en-US" sz="6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21">
          <cdr:nvSpPr>
            <cdr:cNvPr id="9" name="TextBox 1"/>
            <cdr:cNvSpPr txBox="1"/>
          </cdr:nvSpPr>
          <cdr:spPr>
            <a:xfrm xmlns:a="http://schemas.openxmlformats.org/drawingml/2006/main">
              <a:off x="2496886" y="214097"/>
              <a:ext cx="1104275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767B598A-3857-43B7-B398-FF24D6422CAF}" type="TxLink">
                <a:rPr lang="en-US" sz="800" b="0" i="0" u="none" strike="noStrike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  <cdr:sp macro="" textlink="'General Input'!$B$18">
          <cdr:nvSpPr>
            <cdr:cNvPr id="10" name="TextBox 1"/>
            <cdr:cNvSpPr txBox="1"/>
          </cdr:nvSpPr>
          <cdr:spPr>
            <a:xfrm xmlns:a="http://schemas.openxmlformats.org/drawingml/2006/main">
              <a:off x="2496886" y="428362"/>
              <a:ext cx="1104275" cy="21431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 w="3175">
              <a:noFill/>
            </a:ln>
          </cdr:spPr>
          <cdr:style>
            <a:lnRef xmlns:a="http://schemas.openxmlformats.org/drawingml/2006/main" idx="2">
              <a:schemeClr val="accent5"/>
            </a:lnRef>
            <a:fillRef xmlns:a="http://schemas.openxmlformats.org/drawingml/2006/main" idx="1">
              <a:schemeClr val="lt1"/>
            </a:fillRef>
            <a:effectRef xmlns:a="http://schemas.openxmlformats.org/drawingml/2006/main" idx="0">
              <a:schemeClr val="accent5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none" lIns="0" tIns="0" rIns="0" bIns="0" rtlCol="0" anchor="ctr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fld id="{EFC6E43A-85C9-43A7-B3C1-FA49985028DC}" type="TxLink">
                <a:rPr lang="en-US" altLang="ko-KR" sz="800" b="0" i="0" u="none" strike="noStrike">
                  <a:solidFill>
                    <a:schemeClr val="tx1"/>
                  </a:solidFill>
                  <a:latin typeface="+mn-lt"/>
                </a:rPr>
                <a:pPr algn="l"/>
                <a:t> </a:t>
              </a:fld>
              <a:endParaRPr lang="en-US" sz="800" b="0">
                <a:solidFill>
                  <a:schemeClr val="tx1"/>
                </a:solidFill>
                <a:latin typeface="+mn-lt"/>
              </a:endParaRPr>
            </a:p>
          </cdr:txBody>
        </cdr:sp>
      </cdr:grpSp>
    </cdr:grpSp>
  </cdr:relSizeAnchor>
  <cdr:relSizeAnchor xmlns:cdr="http://schemas.openxmlformats.org/drawingml/2006/chartDrawing">
    <cdr:from>
      <cdr:x>0.32137</cdr:x>
      <cdr:y>0.05722</cdr:y>
    </cdr:from>
    <cdr:to>
      <cdr:x>0.66992</cdr:x>
      <cdr:y>0.11651</cdr:y>
    </cdr:to>
    <cdr:sp macro="" textlink="Std!$B$1">
      <cdr:nvSpPr>
        <cdr:cNvPr id="24" name="TextBox 1"/>
        <cdr:cNvSpPr txBox="1"/>
      </cdr:nvSpPr>
      <cdr:spPr>
        <a:xfrm xmlns:a="http://schemas.openxmlformats.org/drawingml/2006/main">
          <a:off x="2984500" y="346075"/>
          <a:ext cx="3236940" cy="3586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txBody>
        <a:bodyPr xmlns:a="http://schemas.openxmlformats.org/drawingml/2006/main" rot="0" wrap="square" lIns="0" tIns="0" rIns="0" bIns="0" rtlCol="0" anchor="ctr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E063868-BB3D-406A-A3C1-96675C41496D}" type="TxLink">
            <a:rPr lang="en-US" sz="800" b="1" i="0" u="none" strike="noStrike">
              <a:ln w="3175">
                <a:noFill/>
              </a:ln>
              <a:solidFill>
                <a:srgbClr val="000000"/>
              </a:solidFill>
              <a:latin typeface="+mn-lt"/>
              <a:cs typeface="Arial"/>
            </a:rPr>
            <a:pPr algn="ctr"/>
            <a:t>ISA BROWN Baiada ALT 2021</a:t>
          </a:fld>
          <a:endParaRPr lang="en-US" sz="1600" b="1" u="sng">
            <a:ln w="3175">
              <a:noFill/>
            </a:ln>
            <a:solidFill>
              <a:schemeClr val="tx1"/>
            </a:solidFill>
            <a:latin typeface="+mn-lt"/>
          </a:endParaRPr>
        </a:p>
      </cdr:txBody>
    </cdr:sp>
  </cdr:relSizeAnchor>
  <cdr:relSizeAnchor xmlns:cdr="http://schemas.openxmlformats.org/drawingml/2006/chartDrawing">
    <cdr:from>
      <cdr:x>0.00547</cdr:x>
      <cdr:y>0.0084</cdr:y>
    </cdr:from>
    <cdr:to>
      <cdr:x>0.1113</cdr:x>
      <cdr:y>0.07982</cdr:y>
    </cdr:to>
    <cdr:pic>
      <cdr:nvPicPr>
        <cdr:cNvPr id="26" name="Picture 25">
          <a:extLst xmlns:a="http://schemas.openxmlformats.org/drawingml/2006/main">
            <a:ext uri="{FF2B5EF4-FFF2-40B4-BE49-F238E27FC236}">
              <a16:creationId xmlns:a16="http://schemas.microsoft.com/office/drawing/2014/main" id="{753A4D65-772A-46A6-9C09-9AF58D7CD7F6}"/>
            </a:ext>
          </a:extLst>
        </cdr:cNvPr>
        <cdr:cNvPicPr>
          <a:picLocks xmlns:a="http://schemas.openxmlformats.org/drawingml/2006/main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982800" cy="431999"/>
        </a:xfrm>
        <a:prstGeom xmlns:a="http://schemas.openxmlformats.org/drawingml/2006/main" prst="rect">
          <a:avLst/>
        </a:prstGeom>
      </cdr:spPr>
    </cdr:pic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720090</xdr:colOff>
      <xdr:row>0</xdr:row>
      <xdr:rowOff>0</xdr:rowOff>
    </xdr:from>
    <xdr:to>
      <xdr:col>9</xdr:col>
      <xdr:colOff>227699</xdr:colOff>
      <xdr:row>3</xdr:row>
      <xdr:rowOff>163335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897493-A809-48C8-8C48-F2C99C0FD5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3540" y="0"/>
          <a:ext cx="1707884" cy="76341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712470</xdr:colOff>
      <xdr:row>1</xdr:row>
      <xdr:rowOff>0</xdr:rowOff>
    </xdr:from>
    <xdr:to>
      <xdr:col>13</xdr:col>
      <xdr:colOff>220079</xdr:colOff>
      <xdr:row>4</xdr:row>
      <xdr:rowOff>161430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46EEF5-9328-4BB5-B054-7CFB8456F1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9620" y="200025"/>
          <a:ext cx="1707884" cy="76150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631559</xdr:colOff>
      <xdr:row>3</xdr:row>
      <xdr:rowOff>163335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8DE8E1-451F-4DD2-BDE2-B7EE513129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7884" cy="763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yers">
  <a:themeElements>
    <a:clrScheme name="ISA">
      <a:dk1>
        <a:srgbClr val="1D1D1B"/>
      </a:dk1>
      <a:lt1>
        <a:sysClr val="window" lastClr="FFFFFF"/>
      </a:lt1>
      <a:dk2>
        <a:srgbClr val="5E9AD3"/>
      </a:dk2>
      <a:lt2>
        <a:srgbClr val="009453"/>
      </a:lt2>
      <a:accent1>
        <a:srgbClr val="009453"/>
      </a:accent1>
      <a:accent2>
        <a:srgbClr val="B6FFDF"/>
      </a:accent2>
      <a:accent3>
        <a:srgbClr val="25FF9F"/>
      </a:accent3>
      <a:accent4>
        <a:srgbClr val="22376A"/>
      </a:accent4>
      <a:accent5>
        <a:srgbClr val="9EC2E4"/>
      </a:accent5>
      <a:accent6>
        <a:srgbClr val="DEEAF6"/>
      </a:accent6>
      <a:hlink>
        <a:srgbClr val="5E9AD3"/>
      </a:hlink>
      <a:folHlink>
        <a:srgbClr val="009453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Layers" id="{2F1901C1-CEC5-4BB2-A13D-2518C65417FD}" vid="{88B450D3-ECD6-4CD1-BFE6-928BD3DAAC66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07">
    <tabColor theme="0"/>
  </sheetPr>
  <dimension ref="A1:M113"/>
  <sheetViews>
    <sheetView zoomScaleNormal="100" workbookViewId="0">
      <selection sqref="A1:XFD1048576"/>
    </sheetView>
  </sheetViews>
  <sheetFormatPr defaultColWidth="9.140625" defaultRowHeight="12.75" x14ac:dyDescent="0.2"/>
  <cols>
    <col min="1" max="11" width="9.140625" customWidth="1"/>
  </cols>
  <sheetData>
    <row r="1" spans="1:13" x14ac:dyDescent="0.2">
      <c r="A1" t="s">
        <v>1379</v>
      </c>
      <c r="B1" t="s">
        <v>5297</v>
      </c>
    </row>
    <row r="2" spans="1:13" x14ac:dyDescent="0.2">
      <c r="B2" t="s">
        <v>1492</v>
      </c>
      <c r="C2" t="s">
        <v>5216</v>
      </c>
      <c r="D2" t="s">
        <v>5217</v>
      </c>
      <c r="E2" t="s">
        <v>189</v>
      </c>
      <c r="F2" t="s">
        <v>5218</v>
      </c>
      <c r="G2" t="s">
        <v>5219</v>
      </c>
      <c r="H2" t="s">
        <v>5220</v>
      </c>
      <c r="I2" t="s">
        <v>5221</v>
      </c>
      <c r="J2" t="s">
        <v>5224</v>
      </c>
      <c r="K2" t="s">
        <v>5225</v>
      </c>
      <c r="L2" t="s">
        <v>5293</v>
      </c>
      <c r="M2" t="s">
        <v>5294</v>
      </c>
    </row>
    <row r="3" spans="1:13" x14ac:dyDescent="0.2">
      <c r="A3" t="s">
        <v>948</v>
      </c>
      <c r="B3" t="s">
        <v>5206</v>
      </c>
      <c r="C3" t="s">
        <v>5207</v>
      </c>
      <c r="D3" t="s">
        <v>5208</v>
      </c>
      <c r="E3" t="s">
        <v>5209</v>
      </c>
      <c r="F3" t="s">
        <v>5210</v>
      </c>
      <c r="G3" t="s">
        <v>5211</v>
      </c>
      <c r="H3" t="s">
        <v>5222</v>
      </c>
      <c r="I3" t="s">
        <v>5223</v>
      </c>
      <c r="J3" t="s">
        <v>5226</v>
      </c>
      <c r="K3" t="s">
        <v>5227</v>
      </c>
      <c r="L3" t="s">
        <v>5295</v>
      </c>
      <c r="M3" t="s">
        <v>5296</v>
      </c>
    </row>
    <row r="4" spans="1:13" x14ac:dyDescent="0.2">
      <c r="A4">
        <v>1</v>
      </c>
      <c r="B4">
        <v>0</v>
      </c>
      <c r="C4">
        <v>0</v>
      </c>
      <c r="D4">
        <v>65.5</v>
      </c>
      <c r="E4">
        <v>0</v>
      </c>
      <c r="F4">
        <v>0</v>
      </c>
      <c r="G4">
        <v>0</v>
      </c>
      <c r="H4">
        <v>63.862499999999997</v>
      </c>
      <c r="I4">
        <v>67.137499999999989</v>
      </c>
      <c r="J4">
        <v>10</v>
      </c>
      <c r="K4">
        <v>12</v>
      </c>
      <c r="L4">
        <v>11</v>
      </c>
      <c r="M4">
        <v>99.7</v>
      </c>
    </row>
    <row r="5" spans="1:13" x14ac:dyDescent="0.2">
      <c r="A5">
        <v>2</v>
      </c>
      <c r="B5">
        <v>0</v>
      </c>
      <c r="C5">
        <v>0</v>
      </c>
      <c r="D5">
        <v>117.5</v>
      </c>
      <c r="E5">
        <v>0</v>
      </c>
      <c r="F5">
        <v>0</v>
      </c>
      <c r="G5">
        <v>0</v>
      </c>
      <c r="H5">
        <v>114.5625</v>
      </c>
      <c r="I5">
        <v>120.43749999999999</v>
      </c>
      <c r="J5">
        <v>17.224768414602718</v>
      </c>
      <c r="K5">
        <v>19.224768414602718</v>
      </c>
      <c r="L5">
        <v>18.224768414602718</v>
      </c>
      <c r="M5">
        <v>99.45</v>
      </c>
    </row>
    <row r="6" spans="1:13" x14ac:dyDescent="0.2">
      <c r="A6">
        <v>3</v>
      </c>
      <c r="B6">
        <v>0</v>
      </c>
      <c r="C6">
        <v>0</v>
      </c>
      <c r="D6">
        <v>191.5</v>
      </c>
      <c r="E6">
        <v>0</v>
      </c>
      <c r="F6">
        <v>0</v>
      </c>
      <c r="G6">
        <v>0</v>
      </c>
      <c r="H6">
        <v>186.71250000000001</v>
      </c>
      <c r="I6">
        <v>196.28749999999999</v>
      </c>
      <c r="J6">
        <v>24.165692369711092</v>
      </c>
      <c r="K6">
        <v>26.165692369711092</v>
      </c>
      <c r="L6">
        <v>25.165692369711092</v>
      </c>
      <c r="M6">
        <v>99.25</v>
      </c>
    </row>
    <row r="7" spans="1:13" x14ac:dyDescent="0.2">
      <c r="A7">
        <v>4</v>
      </c>
      <c r="B7">
        <v>0</v>
      </c>
      <c r="C7">
        <v>0</v>
      </c>
      <c r="D7">
        <v>275.5</v>
      </c>
      <c r="E7">
        <v>0</v>
      </c>
      <c r="F7">
        <v>0</v>
      </c>
      <c r="G7">
        <v>0</v>
      </c>
      <c r="H7">
        <v>268.61250000000001</v>
      </c>
      <c r="I7">
        <v>282.38749999999999</v>
      </c>
      <c r="J7">
        <v>30.387181176569865</v>
      </c>
      <c r="K7">
        <v>32.387181176569868</v>
      </c>
      <c r="L7">
        <v>31.387181176569865</v>
      </c>
      <c r="M7">
        <v>99.1</v>
      </c>
    </row>
    <row r="8" spans="1:13" x14ac:dyDescent="0.2">
      <c r="A8">
        <v>5</v>
      </c>
      <c r="B8">
        <v>0</v>
      </c>
      <c r="C8">
        <v>0</v>
      </c>
      <c r="D8">
        <v>370</v>
      </c>
      <c r="E8">
        <v>0</v>
      </c>
      <c r="F8">
        <v>0</v>
      </c>
      <c r="G8">
        <v>0</v>
      </c>
      <c r="H8">
        <v>360.75</v>
      </c>
      <c r="I8">
        <v>379.24999999999994</v>
      </c>
      <c r="J8">
        <v>35.969504328907703</v>
      </c>
      <c r="K8">
        <v>37.969504328907703</v>
      </c>
      <c r="L8">
        <v>36.969504328907703</v>
      </c>
      <c r="M8">
        <v>98.95</v>
      </c>
    </row>
    <row r="9" spans="1:13" x14ac:dyDescent="0.2">
      <c r="A9">
        <v>6</v>
      </c>
      <c r="B9">
        <v>0</v>
      </c>
      <c r="C9">
        <v>0</v>
      </c>
      <c r="D9">
        <v>471</v>
      </c>
      <c r="E9">
        <v>0</v>
      </c>
      <c r="F9">
        <v>0</v>
      </c>
      <c r="G9">
        <v>0</v>
      </c>
      <c r="H9">
        <v>459.22499999999997</v>
      </c>
      <c r="I9">
        <v>482.77499999999998</v>
      </c>
      <c r="J9">
        <v>40.990150345816488</v>
      </c>
      <c r="K9">
        <v>42.990150345816488</v>
      </c>
      <c r="L9">
        <v>41.990150345816488</v>
      </c>
      <c r="M9">
        <v>98.8</v>
      </c>
    </row>
    <row r="10" spans="1:13" x14ac:dyDescent="0.2">
      <c r="A10">
        <v>7</v>
      </c>
      <c r="B10">
        <v>0</v>
      </c>
      <c r="C10">
        <v>0</v>
      </c>
      <c r="D10">
        <v>577.5</v>
      </c>
      <c r="E10">
        <v>0</v>
      </c>
      <c r="F10">
        <v>0</v>
      </c>
      <c r="G10">
        <v>0</v>
      </c>
      <c r="H10">
        <v>563.0625</v>
      </c>
      <c r="I10">
        <v>591.9375</v>
      </c>
      <c r="J10">
        <v>45.523826771751203</v>
      </c>
      <c r="K10">
        <v>47.523826771751203</v>
      </c>
      <c r="L10">
        <v>46.523826771751203</v>
      </c>
      <c r="M10">
        <v>98.65</v>
      </c>
    </row>
    <row r="11" spans="1:13" x14ac:dyDescent="0.2">
      <c r="A11">
        <v>8</v>
      </c>
      <c r="B11">
        <v>0</v>
      </c>
      <c r="C11">
        <v>0</v>
      </c>
      <c r="D11">
        <v>686.5</v>
      </c>
      <c r="E11">
        <v>0</v>
      </c>
      <c r="F11">
        <v>0</v>
      </c>
      <c r="G11">
        <v>0</v>
      </c>
      <c r="H11">
        <v>669.33749999999998</v>
      </c>
      <c r="I11">
        <v>703.66249999999991</v>
      </c>
      <c r="J11">
        <v>49.642460176530108</v>
      </c>
      <c r="K11">
        <v>51.642460176530108</v>
      </c>
      <c r="L11">
        <v>50.642460176530108</v>
      </c>
      <c r="M11">
        <v>98.55</v>
      </c>
    </row>
    <row r="12" spans="1:13" x14ac:dyDescent="0.2">
      <c r="A12">
        <v>9</v>
      </c>
      <c r="B12">
        <v>0</v>
      </c>
      <c r="C12">
        <v>0</v>
      </c>
      <c r="D12">
        <v>793.5</v>
      </c>
      <c r="E12">
        <v>0</v>
      </c>
      <c r="F12">
        <v>0</v>
      </c>
      <c r="G12">
        <v>0</v>
      </c>
      <c r="H12">
        <v>773.66250000000002</v>
      </c>
      <c r="I12">
        <v>813.33749999999998</v>
      </c>
      <c r="J12">
        <v>53.41519615533457</v>
      </c>
      <c r="K12">
        <v>55.41519615533457</v>
      </c>
      <c r="L12">
        <v>54.41519615533457</v>
      </c>
      <c r="M12">
        <v>98.45</v>
      </c>
    </row>
    <row r="13" spans="1:13" x14ac:dyDescent="0.2">
      <c r="A13">
        <v>10</v>
      </c>
      <c r="B13">
        <v>0</v>
      </c>
      <c r="C13">
        <v>0</v>
      </c>
      <c r="D13">
        <v>894.5</v>
      </c>
      <c r="E13">
        <v>0</v>
      </c>
      <c r="F13">
        <v>0</v>
      </c>
      <c r="G13">
        <v>0</v>
      </c>
      <c r="H13">
        <v>872.13749999999993</v>
      </c>
      <c r="I13">
        <v>916.86249999999995</v>
      </c>
      <c r="J13">
        <v>56.90839932870918</v>
      </c>
      <c r="K13">
        <v>58.90839932870918</v>
      </c>
      <c r="L13">
        <v>57.90839932870918</v>
      </c>
      <c r="M13">
        <v>98.35</v>
      </c>
    </row>
    <row r="14" spans="1:13" x14ac:dyDescent="0.2">
      <c r="A14">
        <v>11</v>
      </c>
      <c r="B14">
        <v>0</v>
      </c>
      <c r="C14">
        <v>0</v>
      </c>
      <c r="D14">
        <v>989</v>
      </c>
      <c r="E14">
        <v>0</v>
      </c>
      <c r="F14">
        <v>0</v>
      </c>
      <c r="G14">
        <v>0</v>
      </c>
      <c r="H14">
        <v>964.27499999999998</v>
      </c>
      <c r="I14">
        <v>1013.7249999999999</v>
      </c>
      <c r="J14">
        <v>60.185653342561707</v>
      </c>
      <c r="K14">
        <v>62.185653342561707</v>
      </c>
      <c r="L14">
        <v>61.185653342561707</v>
      </c>
      <c r="M14">
        <v>98.25</v>
      </c>
    </row>
    <row r="15" spans="1:13" x14ac:dyDescent="0.2">
      <c r="A15">
        <v>12</v>
      </c>
      <c r="B15">
        <v>0</v>
      </c>
      <c r="C15">
        <v>0</v>
      </c>
      <c r="D15">
        <v>1076.5</v>
      </c>
      <c r="E15">
        <v>0</v>
      </c>
      <c r="F15">
        <v>0</v>
      </c>
      <c r="G15">
        <v>0</v>
      </c>
      <c r="H15">
        <v>1049.5874999999999</v>
      </c>
      <c r="I15">
        <v>1103.4124999999999</v>
      </c>
      <c r="J15">
        <v>63.307760868163029</v>
      </c>
      <c r="K15">
        <v>65.307760868163029</v>
      </c>
      <c r="L15">
        <v>64.307760868163029</v>
      </c>
      <c r="M15">
        <v>98.15</v>
      </c>
    </row>
    <row r="16" spans="1:13" x14ac:dyDescent="0.2">
      <c r="A16">
        <v>13</v>
      </c>
      <c r="B16">
        <v>0</v>
      </c>
      <c r="C16">
        <v>0</v>
      </c>
      <c r="D16">
        <v>1161</v>
      </c>
      <c r="E16">
        <v>0</v>
      </c>
      <c r="F16">
        <v>0</v>
      </c>
      <c r="G16">
        <v>0</v>
      </c>
      <c r="H16">
        <v>1131.9749999999999</v>
      </c>
      <c r="I16">
        <v>1190.0249999999999</v>
      </c>
      <c r="J16">
        <v>66.332743602147346</v>
      </c>
      <c r="K16">
        <v>68.332743602147346</v>
      </c>
      <c r="L16">
        <v>67.332743602147346</v>
      </c>
      <c r="M16">
        <v>98.05</v>
      </c>
    </row>
    <row r="17" spans="1:13" x14ac:dyDescent="0.2">
      <c r="A17">
        <v>14</v>
      </c>
      <c r="B17">
        <v>0</v>
      </c>
      <c r="C17">
        <v>0</v>
      </c>
      <c r="D17">
        <v>1237.5</v>
      </c>
      <c r="E17">
        <v>0</v>
      </c>
      <c r="F17">
        <v>0</v>
      </c>
      <c r="G17">
        <v>0</v>
      </c>
      <c r="H17">
        <v>1206.5625</v>
      </c>
      <c r="I17">
        <v>1268.4375</v>
      </c>
      <c r="J17">
        <v>69.315842266511879</v>
      </c>
      <c r="K17">
        <v>71.315842266511879</v>
      </c>
      <c r="L17">
        <v>70.315842266511879</v>
      </c>
      <c r="M17">
        <v>97.95</v>
      </c>
    </row>
    <row r="18" spans="1:13" x14ac:dyDescent="0.2">
      <c r="A18">
        <v>15</v>
      </c>
      <c r="B18">
        <v>0</v>
      </c>
      <c r="C18">
        <v>0</v>
      </c>
      <c r="D18">
        <v>1307.5</v>
      </c>
      <c r="E18">
        <v>0</v>
      </c>
      <c r="F18">
        <v>0</v>
      </c>
      <c r="G18">
        <v>0</v>
      </c>
      <c r="H18">
        <v>1274.8125</v>
      </c>
      <c r="I18">
        <v>1340.1874999999998</v>
      </c>
      <c r="J18">
        <v>72.309516608617116</v>
      </c>
      <c r="K18">
        <v>74.309516608617116</v>
      </c>
      <c r="L18">
        <v>73.309516608617116</v>
      </c>
      <c r="M18">
        <v>97.8</v>
      </c>
    </row>
    <row r="19" spans="1:13" x14ac:dyDescent="0.2">
      <c r="A19">
        <v>16</v>
      </c>
      <c r="B19">
        <v>0</v>
      </c>
      <c r="C19">
        <v>0</v>
      </c>
      <c r="D19">
        <v>1377.5</v>
      </c>
      <c r="E19">
        <v>0</v>
      </c>
      <c r="F19">
        <v>0</v>
      </c>
      <c r="G19">
        <v>0</v>
      </c>
      <c r="H19">
        <v>1343.0625</v>
      </c>
      <c r="I19">
        <v>1411.9374999999998</v>
      </c>
      <c r="J19">
        <v>75.363445401186738</v>
      </c>
      <c r="K19">
        <v>77.363445401186738</v>
      </c>
      <c r="L19">
        <v>76.363445401186738</v>
      </c>
      <c r="M19">
        <v>97.65</v>
      </c>
    </row>
    <row r="20" spans="1:13" x14ac:dyDescent="0.2">
      <c r="A20">
        <v>17</v>
      </c>
      <c r="B20">
        <v>0</v>
      </c>
      <c r="C20">
        <v>0</v>
      </c>
      <c r="D20">
        <v>1439.5</v>
      </c>
      <c r="E20">
        <v>0</v>
      </c>
      <c r="F20">
        <v>0</v>
      </c>
      <c r="G20">
        <v>0</v>
      </c>
      <c r="H20">
        <v>1403.5125</v>
      </c>
      <c r="I20">
        <v>1475.4875</v>
      </c>
      <c r="J20">
        <v>81</v>
      </c>
      <c r="K20">
        <v>83</v>
      </c>
      <c r="L20">
        <v>82</v>
      </c>
      <c r="M20">
        <v>97.5</v>
      </c>
    </row>
    <row r="21" spans="1:13" x14ac:dyDescent="0.2">
      <c r="A21">
        <v>18</v>
      </c>
      <c r="B21">
        <v>3</v>
      </c>
      <c r="C21">
        <v>42.492229512069038</v>
      </c>
      <c r="D21">
        <v>1500</v>
      </c>
      <c r="E21">
        <v>1.2747668853620713</v>
      </c>
      <c r="F21">
        <v>8.9148017640648652E-3</v>
      </c>
      <c r="G21">
        <v>0.2097984</v>
      </c>
      <c r="H21">
        <v>1462.5</v>
      </c>
      <c r="I21">
        <v>1537.4999999999998</v>
      </c>
      <c r="J21">
        <v>90</v>
      </c>
      <c r="K21">
        <v>92</v>
      </c>
      <c r="L21">
        <v>91</v>
      </c>
      <c r="M21">
        <v>97.35</v>
      </c>
    </row>
    <row r="22" spans="1:13" x14ac:dyDescent="0.2">
      <c r="A22">
        <v>19</v>
      </c>
      <c r="B22">
        <v>10.981494841287715</v>
      </c>
      <c r="C22">
        <v>46.165713667956219</v>
      </c>
      <c r="D22">
        <v>1558.6481528685708</v>
      </c>
      <c r="E22">
        <v>5.0696854648902692</v>
      </c>
      <c r="F22">
        <v>4.433446344564862E-2</v>
      </c>
      <c r="G22">
        <v>0.97702712598347086</v>
      </c>
      <c r="H22">
        <v>1519.6819490468565</v>
      </c>
      <c r="I22">
        <v>1597.6143566902849</v>
      </c>
      <c r="J22">
        <v>99.86807875222091</v>
      </c>
      <c r="K22">
        <v>101.86807875222091</v>
      </c>
      <c r="L22">
        <v>100.86807875222091</v>
      </c>
      <c r="M22">
        <v>0</v>
      </c>
    </row>
    <row r="23" spans="1:13" x14ac:dyDescent="0.2">
      <c r="A23">
        <v>20</v>
      </c>
      <c r="B23">
        <v>31.090325793650802</v>
      </c>
      <c r="C23">
        <v>49.278198677597565</v>
      </c>
      <c r="D23">
        <v>1621.516225625237</v>
      </c>
      <c r="E23">
        <v>15.320752514107605</v>
      </c>
      <c r="F23">
        <v>0.15127086467371742</v>
      </c>
      <c r="G23">
        <v>3.1470821218590266</v>
      </c>
      <c r="H23">
        <v>1580.9783199846061</v>
      </c>
      <c r="I23">
        <v>1662.0541312658677</v>
      </c>
      <c r="J23">
        <v>105.57213346481645</v>
      </c>
      <c r="K23">
        <v>107.57213346481645</v>
      </c>
      <c r="L23">
        <v>106.57213346481645</v>
      </c>
      <c r="M23">
        <v>0</v>
      </c>
    </row>
    <row r="24" spans="1:13" x14ac:dyDescent="0.2">
      <c r="A24">
        <v>21</v>
      </c>
      <c r="B24">
        <v>49.193548412693254</v>
      </c>
      <c r="C24">
        <v>51.892660224258563</v>
      </c>
      <c r="D24">
        <v>1684.3842983819034</v>
      </c>
      <c r="E24">
        <v>25.527840930055053</v>
      </c>
      <c r="F24">
        <v>0.32927956281990289</v>
      </c>
      <c r="G24">
        <v>6.577407284934222</v>
      </c>
      <c r="H24">
        <v>1642.2746909223558</v>
      </c>
      <c r="I24">
        <v>1726.4939058414509</v>
      </c>
      <c r="J24">
        <v>110.81655042402075</v>
      </c>
      <c r="K24">
        <v>112.81655042402075</v>
      </c>
      <c r="L24">
        <v>111.81655042402075</v>
      </c>
      <c r="M24">
        <v>0</v>
      </c>
    </row>
    <row r="25" spans="1:13" x14ac:dyDescent="0.2">
      <c r="A25">
        <v>22</v>
      </c>
      <c r="B25">
        <v>66.812851587314796</v>
      </c>
      <c r="C25">
        <v>54.068332197003436</v>
      </c>
      <c r="D25">
        <v>1722.8380769891196</v>
      </c>
      <c r="E25">
        <v>36.12459454652025</v>
      </c>
      <c r="F25">
        <v>0.5809379382687816</v>
      </c>
      <c r="G25">
        <v>11.23185777791292</v>
      </c>
      <c r="H25">
        <v>1679.7671250643916</v>
      </c>
      <c r="I25">
        <v>1765.9090289138474</v>
      </c>
      <c r="J25">
        <v>115.49637693233996</v>
      </c>
      <c r="K25">
        <v>117.49637693233996</v>
      </c>
      <c r="L25">
        <v>116.49637693233996</v>
      </c>
      <c r="M25">
        <v>0</v>
      </c>
    </row>
    <row r="26" spans="1:13" x14ac:dyDescent="0.2">
      <c r="A26">
        <v>23</v>
      </c>
      <c r="B26">
        <v>82.19717420633819</v>
      </c>
      <c r="C26">
        <v>55.86070669069413</v>
      </c>
      <c r="D26">
        <v>1750.3376435627622</v>
      </c>
      <c r="E26">
        <v>45.915922391441462</v>
      </c>
      <c r="F26">
        <v>0.90049806501804885</v>
      </c>
      <c r="G26">
        <v>16.952518071716597</v>
      </c>
      <c r="H26">
        <v>1706.5792024736932</v>
      </c>
      <c r="I26">
        <v>1794.096084651831</v>
      </c>
      <c r="J26">
        <v>121.54963434554323</v>
      </c>
      <c r="K26">
        <v>123.54963434554323</v>
      </c>
      <c r="L26">
        <v>122.54963434554323</v>
      </c>
      <c r="M26">
        <v>0</v>
      </c>
    </row>
    <row r="27" spans="1:13" x14ac:dyDescent="0.2">
      <c r="A27">
        <v>24</v>
      </c>
      <c r="B27">
        <v>90.322705158758438</v>
      </c>
      <c r="C27">
        <v>57.32153400599077</v>
      </c>
      <c r="D27">
        <v>1769.4420674095306</v>
      </c>
      <c r="E27">
        <v>51.774360152708496</v>
      </c>
      <c r="F27">
        <v>1.260483120185425</v>
      </c>
      <c r="G27">
        <v>23.232619632323008</v>
      </c>
      <c r="H27">
        <v>1725.2060157242922</v>
      </c>
      <c r="I27">
        <v>1813.6781190947688</v>
      </c>
      <c r="J27">
        <v>122.05293130539444</v>
      </c>
      <c r="K27">
        <v>124.05293130539444</v>
      </c>
      <c r="L27">
        <v>123.05293130539444</v>
      </c>
      <c r="M27">
        <v>0</v>
      </c>
    </row>
    <row r="28" spans="1:13" x14ac:dyDescent="0.2">
      <c r="A28">
        <v>25</v>
      </c>
      <c r="B28">
        <v>92.969803679609498</v>
      </c>
      <c r="C28">
        <v>58.498822649351531</v>
      </c>
      <c r="D28">
        <v>1782.4132835876542</v>
      </c>
      <c r="E28">
        <v>54.386240571985056</v>
      </c>
      <c r="F28">
        <v>1.6382629998961704</v>
      </c>
      <c r="G28">
        <v>29.690525323437512</v>
      </c>
      <c r="H28">
        <v>1737.8529514979627</v>
      </c>
      <c r="I28">
        <v>1826.9736156773454</v>
      </c>
      <c r="J28">
        <v>122.51034711894442</v>
      </c>
      <c r="K28">
        <v>124.51034711894442</v>
      </c>
      <c r="L28">
        <v>123.51034711894442</v>
      </c>
      <c r="M28">
        <v>0</v>
      </c>
    </row>
    <row r="29" spans="1:13" x14ac:dyDescent="0.2">
      <c r="A29">
        <v>26</v>
      </c>
      <c r="B29">
        <v>94.027253820241981</v>
      </c>
      <c r="C29">
        <v>59.436839333032999</v>
      </c>
      <c r="D29">
        <v>1791.2160929069075</v>
      </c>
      <c r="E29">
        <v>55.88682778240036</v>
      </c>
      <c r="F29">
        <v>2.0260907590286932</v>
      </c>
      <c r="G29">
        <v>36.215565407743966</v>
      </c>
      <c r="H29">
        <v>1746.4356905842349</v>
      </c>
      <c r="I29">
        <v>1835.99649522958</v>
      </c>
      <c r="J29">
        <v>122.92441019826825</v>
      </c>
      <c r="K29">
        <v>124.92441019826825</v>
      </c>
      <c r="L29">
        <v>123.92441019826825</v>
      </c>
      <c r="M29">
        <v>0</v>
      </c>
    </row>
    <row r="30" spans="1:13" x14ac:dyDescent="0.2">
      <c r="A30">
        <v>27</v>
      </c>
      <c r="B30">
        <v>94.815695421183847</v>
      </c>
      <c r="C30">
        <v>60.176108975089896</v>
      </c>
      <c r="D30">
        <v>1797.5181619286207</v>
      </c>
      <c r="E30">
        <v>57.056396202140917</v>
      </c>
      <c r="F30">
        <v>2.4216513426188957</v>
      </c>
      <c r="G30">
        <v>42.7889479399038</v>
      </c>
      <c r="H30">
        <v>1752.5802078804052</v>
      </c>
      <c r="I30">
        <v>1842.4561159768359</v>
      </c>
      <c r="J30">
        <v>123.29758580803335</v>
      </c>
      <c r="K30">
        <v>125.29758580803335</v>
      </c>
      <c r="L30">
        <v>124.29758580803335</v>
      </c>
      <c r="M30">
        <v>0</v>
      </c>
    </row>
    <row r="31" spans="1:13" x14ac:dyDescent="0.2">
      <c r="A31">
        <v>28</v>
      </c>
      <c r="B31">
        <v>95.375174273736476</v>
      </c>
      <c r="C31">
        <v>60.753414699374538</v>
      </c>
      <c r="D31">
        <v>1806</v>
      </c>
      <c r="E31">
        <v>57.943675146774304</v>
      </c>
      <c r="F31">
        <v>2.8229738721794662</v>
      </c>
      <c r="G31">
        <v>49.394708810242207</v>
      </c>
      <c r="H31">
        <v>1760.85</v>
      </c>
      <c r="I31">
        <v>1851.1499999999999</v>
      </c>
      <c r="J31">
        <v>123.63227606549933</v>
      </c>
      <c r="K31">
        <v>125.63227606549933</v>
      </c>
      <c r="L31">
        <v>124.63227606549933</v>
      </c>
      <c r="M31">
        <v>0</v>
      </c>
    </row>
    <row r="32" spans="1:13" x14ac:dyDescent="0.2">
      <c r="A32">
        <v>29</v>
      </c>
      <c r="B32">
        <v>95.742618862280708</v>
      </c>
      <c r="C32">
        <v>61.201797835538144</v>
      </c>
      <c r="D32">
        <v>1812</v>
      </c>
      <c r="E32">
        <v>58.596204038542844</v>
      </c>
      <c r="F32">
        <v>3.2284221025555979</v>
      </c>
      <c r="G32">
        <v>56.019485282751312</v>
      </c>
      <c r="H32">
        <v>1766.7</v>
      </c>
      <c r="I32">
        <v>1857.2999999999997</v>
      </c>
      <c r="J32">
        <v>123.93081994051803</v>
      </c>
      <c r="K32">
        <v>125.93081994051803</v>
      </c>
      <c r="L32">
        <v>124.93081994051803</v>
      </c>
      <c r="M32">
        <v>0</v>
      </c>
    </row>
    <row r="33" spans="1:13" x14ac:dyDescent="0.2">
      <c r="A33">
        <v>30</v>
      </c>
      <c r="B33">
        <v>95.951840364275711</v>
      </c>
      <c r="C33">
        <v>61.550557919029799</v>
      </c>
      <c r="D33">
        <v>1820</v>
      </c>
      <c r="E33">
        <v>59.058893077788532</v>
      </c>
      <c r="F33">
        <v>3.636674969200842</v>
      </c>
      <c r="G33">
        <v>62.652290580508378</v>
      </c>
      <c r="H33">
        <v>1774.5</v>
      </c>
      <c r="I33">
        <v>1865.4999999999998</v>
      </c>
      <c r="J33">
        <v>124.19549325553361</v>
      </c>
      <c r="K33">
        <v>126.19549325553361</v>
      </c>
      <c r="L33">
        <v>125.19549325553361</v>
      </c>
      <c r="M33">
        <v>0</v>
      </c>
    </row>
    <row r="34" spans="1:13" x14ac:dyDescent="0.2">
      <c r="A34">
        <v>31</v>
      </c>
      <c r="B34">
        <v>96.033532650259673</v>
      </c>
      <c r="C34">
        <v>61.825252691096402</v>
      </c>
      <c r="D34">
        <v>1829</v>
      </c>
      <c r="E34">
        <v>59.372974229209611</v>
      </c>
      <c r="F34">
        <v>4.0466999793898246</v>
      </c>
      <c r="G34">
        <v>69.284289518509183</v>
      </c>
      <c r="H34">
        <v>1783.2749999999999</v>
      </c>
      <c r="I34">
        <v>1874.7249999999999</v>
      </c>
      <c r="J34">
        <v>124.42850868558243</v>
      </c>
      <c r="K34">
        <v>126.42850868558243</v>
      </c>
      <c r="L34">
        <v>125.42850868558243</v>
      </c>
      <c r="M34">
        <v>0</v>
      </c>
    </row>
    <row r="35" spans="1:13" x14ac:dyDescent="0.2">
      <c r="A35">
        <v>32</v>
      </c>
      <c r="B35">
        <v>96.015272283849029</v>
      </c>
      <c r="C35">
        <v>62.047698098783528</v>
      </c>
      <c r="D35">
        <v>1838</v>
      </c>
      <c r="E35">
        <v>59.575266275407621</v>
      </c>
      <c r="F35">
        <v>4.4577216564771165</v>
      </c>
      <c r="G35">
        <v>75.908575183916497</v>
      </c>
      <c r="H35">
        <v>1792.05</v>
      </c>
      <c r="I35">
        <v>1883.9499999999998</v>
      </c>
      <c r="J35">
        <v>124.63201575829318</v>
      </c>
      <c r="K35">
        <v>126.63201575829318</v>
      </c>
      <c r="L35">
        <v>125.63201575829318</v>
      </c>
      <c r="M35">
        <v>0</v>
      </c>
    </row>
    <row r="36" spans="1:13" x14ac:dyDescent="0.2">
      <c r="A36">
        <v>33</v>
      </c>
      <c r="B36">
        <v>95.921518521739543</v>
      </c>
      <c r="C36">
        <v>62.235968294934345</v>
      </c>
      <c r="D36">
        <v>1847</v>
      </c>
      <c r="E36">
        <v>59.6976858552094</v>
      </c>
      <c r="F36">
        <v>4.8691867622804299</v>
      </c>
      <c r="G36">
        <v>82.519946663723687</v>
      </c>
      <c r="H36">
        <v>1800.825</v>
      </c>
      <c r="I36">
        <v>1893.1749999999997</v>
      </c>
      <c r="J36">
        <v>124.80810085388669</v>
      </c>
      <c r="K36">
        <v>126.80810085388669</v>
      </c>
      <c r="L36">
        <v>125.80810085388669</v>
      </c>
      <c r="M36">
        <v>0</v>
      </c>
    </row>
    <row r="37" spans="1:13" x14ac:dyDescent="0.2">
      <c r="A37">
        <v>34</v>
      </c>
      <c r="B37">
        <v>95.773613313705724</v>
      </c>
      <c r="C37">
        <v>62.404395638190486</v>
      </c>
      <c r="D37">
        <v>1854</v>
      </c>
      <c r="E37">
        <v>59.766944569275601</v>
      </c>
      <c r="F37">
        <v>5.2807275985177649</v>
      </c>
      <c r="G37">
        <v>89.114687819833506</v>
      </c>
      <c r="H37">
        <v>1807.6499999999999</v>
      </c>
      <c r="I37">
        <v>1900.35</v>
      </c>
      <c r="J37">
        <v>124.95878720517611</v>
      </c>
      <c r="K37">
        <v>126.95878720517611</v>
      </c>
      <c r="L37">
        <v>125.95878720517611</v>
      </c>
      <c r="M37">
        <v>0</v>
      </c>
    </row>
    <row r="38" spans="1:13" x14ac:dyDescent="0.2">
      <c r="A38">
        <v>35</v>
      </c>
      <c r="B38">
        <v>95.63</v>
      </c>
      <c r="C38">
        <v>62.563570692991696</v>
      </c>
      <c r="D38">
        <v>1861</v>
      </c>
      <c r="E38">
        <v>59.829542653707961</v>
      </c>
      <c r="F38">
        <v>5.6922974156143278</v>
      </c>
      <c r="G38">
        <v>95.693113771833495</v>
      </c>
      <c r="H38">
        <v>1814.4749999999999</v>
      </c>
      <c r="I38">
        <v>1907.5249999999999</v>
      </c>
      <c r="J38">
        <v>125.08603489756682</v>
      </c>
      <c r="K38">
        <v>127.08603489756682</v>
      </c>
      <c r="L38">
        <v>126.08603489756682</v>
      </c>
      <c r="M38">
        <v>0</v>
      </c>
    </row>
    <row r="39" spans="1:13" x14ac:dyDescent="0.2">
      <c r="A39">
        <v>36</v>
      </c>
      <c r="B39">
        <v>95.5</v>
      </c>
      <c r="C39">
        <v>62.720342229576147</v>
      </c>
      <c r="D39">
        <v>1869</v>
      </c>
      <c r="E39">
        <v>59.897926829245215</v>
      </c>
      <c r="F39">
        <v>6.1039351361214864</v>
      </c>
      <c r="G39">
        <v>102.2561793718335</v>
      </c>
      <c r="H39">
        <v>1822.2749999999999</v>
      </c>
      <c r="I39">
        <v>1915.7249999999999</v>
      </c>
      <c r="J39">
        <v>125.19174086905649</v>
      </c>
      <c r="K39">
        <v>127.19174086905649</v>
      </c>
      <c r="L39">
        <v>126.19174086905649</v>
      </c>
      <c r="M39">
        <v>0</v>
      </c>
    </row>
    <row r="40" spans="1:13" x14ac:dyDescent="0.2">
      <c r="A40">
        <v>37</v>
      </c>
      <c r="B40">
        <v>95.2</v>
      </c>
      <c r="C40">
        <v>62.877817223979292</v>
      </c>
      <c r="D40">
        <v>1871</v>
      </c>
      <c r="E40">
        <v>59.859681997228293</v>
      </c>
      <c r="F40">
        <v>6.514907768841657</v>
      </c>
      <c r="G40">
        <v>108.7922305718335</v>
      </c>
      <c r="H40">
        <v>1824.2249999999999</v>
      </c>
      <c r="I40">
        <v>1917.7749999999999</v>
      </c>
      <c r="J40">
        <v>125.27773891023497</v>
      </c>
      <c r="K40">
        <v>127.27773891023497</v>
      </c>
      <c r="L40">
        <v>126.27773891023497</v>
      </c>
      <c r="M40">
        <v>0</v>
      </c>
    </row>
    <row r="41" spans="1:13" x14ac:dyDescent="0.2">
      <c r="A41">
        <v>38</v>
      </c>
      <c r="B41">
        <v>95.03</v>
      </c>
      <c r="C41">
        <v>63.035360858035659</v>
      </c>
      <c r="D41">
        <v>1874</v>
      </c>
      <c r="E41">
        <v>59.902503423391288</v>
      </c>
      <c r="F41">
        <v>6.9257718515222866</v>
      </c>
      <c r="G41">
        <v>115.31022423583349</v>
      </c>
      <c r="H41">
        <v>1827.1499999999999</v>
      </c>
      <c r="I41">
        <v>1920.85</v>
      </c>
      <c r="J41">
        <v>125.34579966428444</v>
      </c>
      <c r="K41">
        <v>127.34579966428444</v>
      </c>
      <c r="L41">
        <v>126.34579966428444</v>
      </c>
      <c r="M41">
        <v>0</v>
      </c>
    </row>
    <row r="42" spans="1:13" x14ac:dyDescent="0.2">
      <c r="A42">
        <v>39</v>
      </c>
      <c r="B42">
        <v>94.8</v>
      </c>
      <c r="C42">
        <v>63.188596519377562</v>
      </c>
      <c r="D42">
        <v>1876.6073567709561</v>
      </c>
      <c r="E42">
        <v>59.902789500369927</v>
      </c>
      <c r="F42">
        <v>7.3362353496251407</v>
      </c>
      <c r="G42">
        <v>121.80607191583348</v>
      </c>
      <c r="H42">
        <v>1829.6921728516822</v>
      </c>
      <c r="I42">
        <v>1923.5225406902298</v>
      </c>
      <c r="J42">
        <v>125.39763062697925</v>
      </c>
      <c r="K42">
        <v>127.39763062697925</v>
      </c>
      <c r="L42">
        <v>126.39763062697925</v>
      </c>
      <c r="M42">
        <v>0</v>
      </c>
    </row>
    <row r="43" spans="1:13" x14ac:dyDescent="0.2">
      <c r="A43">
        <v>40</v>
      </c>
      <c r="B43">
        <v>94.63</v>
      </c>
      <c r="C43">
        <v>63.3</v>
      </c>
      <c r="D43">
        <v>1881.4714420164553</v>
      </c>
      <c r="E43">
        <v>59.900790000000001</v>
      </c>
      <c r="F43">
        <v>7.7462826135227401</v>
      </c>
      <c r="G43">
        <v>128.28391178783349</v>
      </c>
      <c r="H43">
        <v>1834.4346559660439</v>
      </c>
      <c r="I43">
        <v>1928.5082280668664</v>
      </c>
      <c r="J43">
        <v>125.43487614668607</v>
      </c>
      <c r="K43">
        <v>127.43487614668607</v>
      </c>
      <c r="L43">
        <v>126.43487614668607</v>
      </c>
      <c r="M43">
        <v>0</v>
      </c>
    </row>
    <row r="44" spans="1:13" x14ac:dyDescent="0.2">
      <c r="A44">
        <v>41</v>
      </c>
      <c r="B44">
        <v>94.5</v>
      </c>
      <c r="C44">
        <v>63.34</v>
      </c>
      <c r="D44">
        <v>1886.147837321306</v>
      </c>
      <c r="E44">
        <v>59.856300000000005</v>
      </c>
      <c r="F44">
        <v>8.1556230894587394</v>
      </c>
      <c r="G44">
        <v>134.74650218783347</v>
      </c>
      <c r="H44">
        <v>1838.9941413882734</v>
      </c>
      <c r="I44">
        <v>1933.3015332543384</v>
      </c>
      <c r="J44">
        <v>125.45911742436381</v>
      </c>
      <c r="K44">
        <v>127.45911742436381</v>
      </c>
      <c r="L44">
        <v>126.45911742436381</v>
      </c>
      <c r="M44">
        <v>0</v>
      </c>
    </row>
    <row r="45" spans="1:13" x14ac:dyDescent="0.2">
      <c r="A45">
        <v>42</v>
      </c>
      <c r="B45">
        <v>94.3</v>
      </c>
      <c r="C45">
        <v>63.42</v>
      </c>
      <c r="D45">
        <v>1890.6406400719209</v>
      </c>
      <c r="E45">
        <v>59.805060000000005</v>
      </c>
      <c r="F45">
        <v>8.5642112593787392</v>
      </c>
      <c r="G45">
        <v>141.18907818783347</v>
      </c>
      <c r="H45">
        <v>1843.3746240701228</v>
      </c>
      <c r="I45">
        <v>1937.9066560737188</v>
      </c>
      <c r="J45">
        <v>125.47187251356357</v>
      </c>
      <c r="K45">
        <v>127.47187251356357</v>
      </c>
      <c r="L45">
        <v>126.47187251356357</v>
      </c>
      <c r="M45">
        <v>0</v>
      </c>
    </row>
    <row r="46" spans="1:13" x14ac:dyDescent="0.2">
      <c r="A46">
        <v>43</v>
      </c>
      <c r="B46">
        <v>93.984006161543633</v>
      </c>
      <c r="C46">
        <v>63.44</v>
      </c>
      <c r="D46">
        <v>1894.9539435387394</v>
      </c>
      <c r="E46">
        <v>59.623453508883273</v>
      </c>
      <c r="F46">
        <v>8.9711580241438504</v>
      </c>
      <c r="G46">
        <v>147.60374976357608</v>
      </c>
      <c r="H46">
        <v>1847.5800949502709</v>
      </c>
      <c r="I46">
        <v>1942.3277921272077</v>
      </c>
      <c r="J46">
        <v>125.47459632042877</v>
      </c>
      <c r="K46">
        <v>127.47459632042877</v>
      </c>
      <c r="L46">
        <v>126.47459632042877</v>
      </c>
      <c r="M46">
        <v>0</v>
      </c>
    </row>
    <row r="47" spans="1:13" x14ac:dyDescent="0.2">
      <c r="A47">
        <v>44</v>
      </c>
      <c r="B47">
        <v>93.782586209177893</v>
      </c>
      <c r="C47">
        <v>63.45</v>
      </c>
      <c r="D47">
        <v>1899.0918368762261</v>
      </c>
      <c r="E47">
        <v>59.505050949723369</v>
      </c>
      <c r="F47">
        <v>9.3768967843475952</v>
      </c>
      <c r="G47">
        <v>153.99837167380059</v>
      </c>
      <c r="H47">
        <v>1851.6145409543203</v>
      </c>
      <c r="I47">
        <v>1946.5691327981317</v>
      </c>
      <c r="J47">
        <v>125.46868060369509</v>
      </c>
      <c r="K47">
        <v>127.46868060369509</v>
      </c>
      <c r="L47">
        <v>126.46868060369509</v>
      </c>
      <c r="M47">
        <v>0</v>
      </c>
    </row>
    <row r="48" spans="1:13" x14ac:dyDescent="0.2">
      <c r="A48">
        <v>45</v>
      </c>
      <c r="B48">
        <v>93.556034001602939</v>
      </c>
      <c r="C48">
        <v>63.49</v>
      </c>
      <c r="D48">
        <v>1903.0584051228739</v>
      </c>
      <c r="E48">
        <v>59.398725987617709</v>
      </c>
      <c r="F48">
        <v>9.7815114019790883</v>
      </c>
      <c r="G48">
        <v>160.37125902033537</v>
      </c>
      <c r="H48">
        <v>1855.481944994802</v>
      </c>
      <c r="I48">
        <v>1950.6348652509455</v>
      </c>
      <c r="J48">
        <v>125.45545397469037</v>
      </c>
      <c r="K48">
        <v>127.45545397469037</v>
      </c>
      <c r="L48">
        <v>126.45545397469037</v>
      </c>
      <c r="M48">
        <v>0</v>
      </c>
    </row>
    <row r="49" spans="1:13" x14ac:dyDescent="0.2">
      <c r="A49">
        <v>46</v>
      </c>
      <c r="B49">
        <v>93.28828380553783</v>
      </c>
      <c r="C49">
        <v>63.51</v>
      </c>
      <c r="D49">
        <v>1906.8577292012003</v>
      </c>
      <c r="E49">
        <v>59.247389044897069</v>
      </c>
      <c r="F49">
        <v>10.184696994116297</v>
      </c>
      <c r="G49">
        <v>166.71963867924279</v>
      </c>
      <c r="H49">
        <v>1859.1862859711703</v>
      </c>
      <c r="I49">
        <v>1954.5291724312301</v>
      </c>
      <c r="J49">
        <v>125.43618189733483</v>
      </c>
      <c r="K49">
        <v>127.43618189733483</v>
      </c>
      <c r="L49">
        <v>126.43618189733483</v>
      </c>
      <c r="M49">
        <v>0</v>
      </c>
    </row>
    <row r="50" spans="1:13" x14ac:dyDescent="0.2">
      <c r="A50">
        <v>47</v>
      </c>
      <c r="B50">
        <v>92.960152580781255</v>
      </c>
      <c r="C50">
        <v>63.53</v>
      </c>
      <c r="D50">
        <v>1910.4938859177516</v>
      </c>
      <c r="E50">
        <v>59.057584934570329</v>
      </c>
      <c r="F50">
        <v>10.586194079535479</v>
      </c>
      <c r="G50">
        <v>173.03944169229462</v>
      </c>
      <c r="H50">
        <v>1862.7315387698079</v>
      </c>
      <c r="I50">
        <v>1958.2562330656954</v>
      </c>
      <c r="J50">
        <v>125.41206668814084</v>
      </c>
      <c r="K50">
        <v>127.41206668814084</v>
      </c>
      <c r="L50">
        <v>126.41206668814084</v>
      </c>
      <c r="M50">
        <v>0</v>
      </c>
    </row>
    <row r="51" spans="1:13" x14ac:dyDescent="0.2">
      <c r="A51">
        <v>48</v>
      </c>
      <c r="B51">
        <v>92.549339980209297</v>
      </c>
      <c r="C51">
        <v>63.58</v>
      </c>
      <c r="D51">
        <v>1913.9709479630992</v>
      </c>
      <c r="E51">
        <v>58.842870359417063</v>
      </c>
      <c r="F51">
        <v>10.985836025298125</v>
      </c>
      <c r="G51">
        <v>179.32509670586248</v>
      </c>
      <c r="H51">
        <v>1866.1216742640217</v>
      </c>
      <c r="I51">
        <v>1961.8202216621764</v>
      </c>
      <c r="J51">
        <v>125.38424751621302</v>
      </c>
      <c r="K51">
        <v>127.38424751621302</v>
      </c>
      <c r="L51">
        <v>126.38424751621302</v>
      </c>
      <c r="M51">
        <v>0</v>
      </c>
    </row>
    <row r="52" spans="1:13" x14ac:dyDescent="0.2">
      <c r="A52">
        <v>49</v>
      </c>
      <c r="B52">
        <v>92.3</v>
      </c>
      <c r="C52">
        <v>63.6</v>
      </c>
      <c r="D52">
        <v>1917.2929839118417</v>
      </c>
      <c r="E52">
        <v>58.702799999999996</v>
      </c>
      <c r="F52">
        <v>11.384132175186124</v>
      </c>
      <c r="G52">
        <v>185.58761478586246</v>
      </c>
      <c r="H52">
        <v>1869.3606593140455</v>
      </c>
      <c r="I52">
        <v>1965.2253085096377</v>
      </c>
      <c r="J52">
        <v>125.35380040324834</v>
      </c>
      <c r="K52">
        <v>127.35380040324834</v>
      </c>
      <c r="L52">
        <v>126.35380040324834</v>
      </c>
      <c r="M52">
        <v>0</v>
      </c>
    </row>
    <row r="53" spans="1:13" x14ac:dyDescent="0.2">
      <c r="A53">
        <v>50</v>
      </c>
      <c r="B53">
        <v>91.94</v>
      </c>
      <c r="C53">
        <v>63.62</v>
      </c>
      <c r="D53">
        <v>1920.4640582226043</v>
      </c>
      <c r="E53">
        <v>58.492227999999997</v>
      </c>
      <c r="F53">
        <v>11.780606534704845</v>
      </c>
      <c r="G53">
        <v>191.81952864186246</v>
      </c>
      <c r="H53">
        <v>1872.4524567670392</v>
      </c>
      <c r="I53">
        <v>1968.4756596781692</v>
      </c>
      <c r="J53">
        <v>125.3217382235359</v>
      </c>
      <c r="K53">
        <v>127.3217382235359</v>
      </c>
      <c r="L53">
        <v>126.3217382235359</v>
      </c>
      <c r="M53">
        <v>0</v>
      </c>
    </row>
    <row r="54" spans="1:13" x14ac:dyDescent="0.2">
      <c r="A54">
        <v>51</v>
      </c>
      <c r="B54">
        <v>91.606110666657599</v>
      </c>
      <c r="C54">
        <v>63.64</v>
      </c>
      <c r="D54">
        <v>1923.4882312380375</v>
      </c>
      <c r="E54">
        <v>58.2981288282609</v>
      </c>
      <c r="F54">
        <v>12.175373480027989</v>
      </c>
      <c r="G54">
        <v>198.02265474687729</v>
      </c>
      <c r="H54">
        <v>1875.4010254570865</v>
      </c>
      <c r="I54">
        <v>1971.5754370189884</v>
      </c>
      <c r="J54">
        <v>125.28901070395716</v>
      </c>
      <c r="K54">
        <v>127.28901070395716</v>
      </c>
      <c r="L54">
        <v>126.28901070395716</v>
      </c>
      <c r="M54">
        <v>0</v>
      </c>
    </row>
    <row r="55" spans="1:13" x14ac:dyDescent="0.2">
      <c r="A55">
        <v>52</v>
      </c>
      <c r="B55">
        <v>91.33</v>
      </c>
      <c r="C55">
        <v>63.65</v>
      </c>
      <c r="D55">
        <v>1926.3695591848195</v>
      </c>
      <c r="E55">
        <v>58.131544999999996</v>
      </c>
      <c r="F55">
        <v>12.568621755643989</v>
      </c>
      <c r="G55">
        <v>204.20094658687728</v>
      </c>
      <c r="H55">
        <v>1878.210320205199</v>
      </c>
      <c r="I55">
        <v>1974.5287981644399</v>
      </c>
      <c r="J55">
        <v>125.25650442398567</v>
      </c>
      <c r="K55">
        <v>127.25650442398567</v>
      </c>
      <c r="L55">
        <v>126.25650442398567</v>
      </c>
      <c r="M55">
        <v>0</v>
      </c>
    </row>
    <row r="56" spans="1:13" x14ac:dyDescent="0.2">
      <c r="A56">
        <v>53</v>
      </c>
      <c r="B56">
        <v>91.019934805801839</v>
      </c>
      <c r="C56">
        <v>63.66</v>
      </c>
      <c r="D56">
        <v>1929.1120941736554</v>
      </c>
      <c r="E56">
        <v>57.943290497373447</v>
      </c>
      <c r="F56">
        <v>12.960207148288477</v>
      </c>
      <c r="G56">
        <v>210.35214659700119</v>
      </c>
      <c r="H56">
        <v>1880.8842918193138</v>
      </c>
      <c r="I56">
        <v>1977.3398965279966</v>
      </c>
      <c r="J56">
        <v>125.22504281568754</v>
      </c>
      <c r="K56">
        <v>127.22504281568754</v>
      </c>
      <c r="L56">
        <v>126.22504281568754</v>
      </c>
      <c r="M56">
        <v>0</v>
      </c>
    </row>
    <row r="57" spans="1:13" x14ac:dyDescent="0.2">
      <c r="A57">
        <v>54</v>
      </c>
      <c r="B57">
        <v>90.697063234176312</v>
      </c>
      <c r="C57">
        <v>63.64</v>
      </c>
      <c r="D57">
        <v>1931.7198841992767</v>
      </c>
      <c r="E57">
        <v>57.719611042229808</v>
      </c>
      <c r="F57">
        <v>13.349893021494545</v>
      </c>
      <c r="G57">
        <v>216.47543184536806</v>
      </c>
      <c r="H57">
        <v>1883.4268870942949</v>
      </c>
      <c r="I57">
        <v>1980.0128813042586</v>
      </c>
      <c r="J57">
        <v>125.19538616372077</v>
      </c>
      <c r="K57">
        <v>127.19538616372077</v>
      </c>
      <c r="L57">
        <v>126.19538616372077</v>
      </c>
      <c r="M57">
        <v>0</v>
      </c>
    </row>
    <row r="58" spans="1:13" x14ac:dyDescent="0.2">
      <c r="A58">
        <v>55</v>
      </c>
      <c r="B58">
        <v>90.356178521997279</v>
      </c>
      <c r="C58">
        <v>63.655254871975345</v>
      </c>
      <c r="D58">
        <v>1934.1969731404404</v>
      </c>
      <c r="E58">
        <v>57.516455730754416</v>
      </c>
      <c r="F58">
        <v>13.737820809474419</v>
      </c>
      <c r="G58">
        <v>222.5696308044341</v>
      </c>
      <c r="H58">
        <v>1885.8420488119293</v>
      </c>
      <c r="I58">
        <v>1982.5518974689512</v>
      </c>
      <c r="J58">
        <v>125.16823160533582</v>
      </c>
      <c r="K58">
        <v>127.16823160533582</v>
      </c>
      <c r="L58">
        <v>126.16823160533582</v>
      </c>
      <c r="M58">
        <v>0</v>
      </c>
    </row>
    <row r="59" spans="1:13" x14ac:dyDescent="0.2">
      <c r="A59">
        <v>56</v>
      </c>
      <c r="B59">
        <v>89.998605852268298</v>
      </c>
      <c r="C59">
        <v>63.68611659004501</v>
      </c>
      <c r="D59">
        <v>1936.5474007599307</v>
      </c>
      <c r="E59">
        <v>57.316617052490663</v>
      </c>
      <c r="F59">
        <v>14.124015589844737</v>
      </c>
      <c r="G59">
        <v>228.63366486787524</v>
      </c>
      <c r="H59">
        <v>1888.1337157409323</v>
      </c>
      <c r="I59">
        <v>1984.9610857789289</v>
      </c>
      <c r="J59">
        <v>125.14421313037532</v>
      </c>
      <c r="K59">
        <v>127.14421313037532</v>
      </c>
      <c r="L59">
        <v>126.14421313037532</v>
      </c>
      <c r="M59">
        <v>0</v>
      </c>
    </row>
    <row r="60" spans="1:13" x14ac:dyDescent="0.2">
      <c r="A60">
        <v>57</v>
      </c>
      <c r="B60">
        <v>89.625624982248567</v>
      </c>
      <c r="C60">
        <v>63.716978308114676</v>
      </c>
      <c r="D60">
        <v>1938.775202704559</v>
      </c>
      <c r="E60">
        <v>57.106740028451533</v>
      </c>
      <c r="F60">
        <v>14.508412478324249</v>
      </c>
      <c r="G60">
        <v>234.66654493668034</v>
      </c>
      <c r="H60">
        <v>1890.3058226369449</v>
      </c>
      <c r="I60">
        <v>1987.2445827721729</v>
      </c>
      <c r="J60">
        <v>125.12390158127425</v>
      </c>
      <c r="K60">
        <v>127.12390158127425</v>
      </c>
      <c r="L60">
        <v>126.12390158127425</v>
      </c>
      <c r="M60">
        <v>0</v>
      </c>
    </row>
    <row r="61" spans="1:13" x14ac:dyDescent="0.2">
      <c r="A61">
        <v>58</v>
      </c>
      <c r="B61">
        <v>89.23847024345315</v>
      </c>
      <c r="C61">
        <v>63.747840026184335</v>
      </c>
      <c r="D61">
        <v>1940.8844105051628</v>
      </c>
      <c r="E61">
        <v>56.887597252610618</v>
      </c>
      <c r="F61">
        <v>14.890951988297484</v>
      </c>
      <c r="G61">
        <v>240.6673680205073</v>
      </c>
      <c r="H61">
        <v>1892.3623002425336</v>
      </c>
      <c r="I61">
        <v>1989.4065207677918</v>
      </c>
      <c r="J61">
        <v>125.1078046530598</v>
      </c>
      <c r="K61">
        <v>127.1078046530598</v>
      </c>
      <c r="L61">
        <v>126.1078046530598</v>
      </c>
      <c r="M61">
        <v>0</v>
      </c>
    </row>
    <row r="62" spans="1:13" x14ac:dyDescent="0.2">
      <c r="A62">
        <v>59</v>
      </c>
      <c r="B62">
        <v>88.838330541652724</v>
      </c>
      <c r="C62">
        <v>63.778701744254001</v>
      </c>
      <c r="D62">
        <v>1942.8790515766059</v>
      </c>
      <c r="E62">
        <v>56.659933870735202</v>
      </c>
      <c r="F62">
        <v>15.271579825656953</v>
      </c>
      <c r="G62">
        <v>246.63531385430221</v>
      </c>
      <c r="H62">
        <v>1894.3070752871906</v>
      </c>
      <c r="I62">
        <v>1991.4510278660209</v>
      </c>
      <c r="J62">
        <v>125.09636689335123</v>
      </c>
      <c r="K62">
        <v>127.09636689335123</v>
      </c>
      <c r="L62">
        <v>126.09636689335123</v>
      </c>
      <c r="M62">
        <v>0</v>
      </c>
    </row>
    <row r="63" spans="1:13" x14ac:dyDescent="0.2">
      <c r="A63">
        <v>60</v>
      </c>
      <c r="B63">
        <v>88.426349356873871</v>
      </c>
      <c r="C63">
        <v>63.809563462323666</v>
      </c>
      <c r="D63">
        <v>1944.7631492177793</v>
      </c>
      <c r="E63">
        <v>56.424467510290469</v>
      </c>
      <c r="F63">
        <v>15.650246684097212</v>
      </c>
      <c r="G63">
        <v>252.56964153018174</v>
      </c>
      <c r="H63">
        <v>1896.1440704873348</v>
      </c>
      <c r="I63">
        <v>1993.3822279482235</v>
      </c>
      <c r="J63">
        <v>125.37652322126515</v>
      </c>
      <c r="K63">
        <v>127.37652322126515</v>
      </c>
      <c r="L63">
        <v>126.37652322126515</v>
      </c>
      <c r="M63">
        <v>0</v>
      </c>
    </row>
    <row r="64" spans="1:13" x14ac:dyDescent="0.2">
      <c r="A64">
        <v>61</v>
      </c>
      <c r="B64">
        <v>88.003624743398731</v>
      </c>
      <c r="C64">
        <v>63.840425180393325</v>
      </c>
      <c r="D64">
        <v>1946.5407226115997</v>
      </c>
      <c r="E64">
        <v>56.18188821034358</v>
      </c>
      <c r="F64">
        <v>16.026908040863582</v>
      </c>
      <c r="G64">
        <v>258.46968614457836</v>
      </c>
      <c r="H64">
        <v>1897.8772045463097</v>
      </c>
      <c r="I64">
        <v>1995.2042406768894</v>
      </c>
      <c r="J64">
        <v>125.4038663952242</v>
      </c>
      <c r="K64">
        <v>127.4038663952242</v>
      </c>
      <c r="L64">
        <v>126.4038663952242</v>
      </c>
      <c r="M64">
        <v>0</v>
      </c>
    </row>
    <row r="65" spans="1:13" x14ac:dyDescent="0.2">
      <c r="A65">
        <v>62</v>
      </c>
      <c r="B65">
        <v>87.571209329765423</v>
      </c>
      <c r="C65">
        <v>63.871286898462991</v>
      </c>
      <c r="D65">
        <v>1948.215786825011</v>
      </c>
      <c r="E65">
        <v>55.93285835146807</v>
      </c>
      <c r="F65">
        <v>16.401523952958375</v>
      </c>
      <c r="G65">
        <v>264.33485546064873</v>
      </c>
      <c r="H65">
        <v>1899.5103921543857</v>
      </c>
      <c r="I65">
        <v>1996.9211814956361</v>
      </c>
      <c r="J65">
        <v>125.43120956918325</v>
      </c>
      <c r="K65">
        <v>127.43120956918325</v>
      </c>
      <c r="L65">
        <v>126.43120956918325</v>
      </c>
      <c r="M65">
        <v>0</v>
      </c>
    </row>
    <row r="66" spans="1:13" x14ac:dyDescent="0.2">
      <c r="A66">
        <v>63</v>
      </c>
      <c r="B66">
        <v>87.130110318767734</v>
      </c>
      <c r="C66">
        <v>63.902148616532656</v>
      </c>
      <c r="D66">
        <v>1949.7923528089837</v>
      </c>
      <c r="E66">
        <v>55.678012585647814</v>
      </c>
      <c r="F66">
        <v>16.774058853807432</v>
      </c>
      <c r="G66">
        <v>270.16462658594509</v>
      </c>
      <c r="H66">
        <v>1901.0475439887591</v>
      </c>
      <c r="I66">
        <v>1998.537161629208</v>
      </c>
      <c r="J66">
        <v>125.45855274314231</v>
      </c>
      <c r="K66">
        <v>127.45855274314231</v>
      </c>
      <c r="L66">
        <v>126.45855274314231</v>
      </c>
      <c r="M66">
        <v>0</v>
      </c>
    </row>
    <row r="67" spans="1:13" x14ac:dyDescent="0.2">
      <c r="A67">
        <v>64</v>
      </c>
      <c r="B67">
        <v>86.681289487455103</v>
      </c>
      <c r="C67">
        <v>63.933010334602315</v>
      </c>
      <c r="D67">
        <v>1951.2744273985134</v>
      </c>
      <c r="E67">
        <v>55.417957766181225</v>
      </c>
      <c r="F67">
        <v>17.144481350389828</v>
      </c>
      <c r="G67">
        <v>275.95854266534974</v>
      </c>
      <c r="H67">
        <v>1902.4925667135506</v>
      </c>
      <c r="I67">
        <v>2000.0562880834759</v>
      </c>
      <c r="J67">
        <v>125.48589591710137</v>
      </c>
      <c r="K67">
        <v>127.48589591710137</v>
      </c>
      <c r="L67">
        <v>126.48589591710137</v>
      </c>
      <c r="M67">
        <v>0</v>
      </c>
    </row>
    <row r="68" spans="1:13" x14ac:dyDescent="0.2">
      <c r="A68">
        <v>65</v>
      </c>
      <c r="B68">
        <v>86.225663187132866</v>
      </c>
      <c r="C68">
        <v>63.963872052671981</v>
      </c>
      <c r="D68">
        <v>1952.6660133126259</v>
      </c>
      <c r="E68">
        <v>55.15327287758555</v>
      </c>
      <c r="F68">
        <v>17.512764020833533</v>
      </c>
      <c r="G68">
        <v>281.71620958927264</v>
      </c>
      <c r="H68">
        <v>1903.8493629798102</v>
      </c>
      <c r="I68">
        <v>2001.4826636454413</v>
      </c>
      <c r="J68">
        <v>125.51323909106043</v>
      </c>
      <c r="K68">
        <v>127.51323909106043</v>
      </c>
      <c r="L68">
        <v>126.51323909106043</v>
      </c>
      <c r="M68">
        <v>0</v>
      </c>
    </row>
    <row r="69" spans="1:13" x14ac:dyDescent="0.2">
      <c r="A69">
        <v>66</v>
      </c>
      <c r="B69">
        <v>85.764102343362055</v>
      </c>
      <c r="C69">
        <v>63.994733770741647</v>
      </c>
      <c r="D69">
        <v>1953.9711091543686</v>
      </c>
      <c r="E69">
        <v>54.884508965500942</v>
      </c>
      <c r="F69">
        <v>17.878883212479877</v>
      </c>
      <c r="G69">
        <v>287.43729271711175</v>
      </c>
      <c r="H69">
        <v>1905.1218314255093</v>
      </c>
      <c r="I69">
        <v>2002.8203868832277</v>
      </c>
      <c r="J69">
        <v>125.54058226501948</v>
      </c>
      <c r="K69">
        <v>127.54058226501948</v>
      </c>
      <c r="L69">
        <v>126.54058226501948</v>
      </c>
      <c r="M69">
        <v>0</v>
      </c>
    </row>
    <row r="70" spans="1:13" x14ac:dyDescent="0.2">
      <c r="A70">
        <v>67</v>
      </c>
      <c r="B70">
        <v>85.297432455959438</v>
      </c>
      <c r="C70">
        <v>64.025595488811305</v>
      </c>
      <c r="D70">
        <v>1955.19370941082</v>
      </c>
      <c r="E70">
        <v>54.612189066594638</v>
      </c>
      <c r="F70">
        <v>18.242818840419663</v>
      </c>
      <c r="G70">
        <v>293.12151361597688</v>
      </c>
      <c r="H70">
        <v>1906.3138666755494</v>
      </c>
      <c r="I70">
        <v>2004.0735521460904</v>
      </c>
      <c r="J70">
        <v>125.56792543897855</v>
      </c>
      <c r="K70">
        <v>127.56792543897855</v>
      </c>
      <c r="L70">
        <v>126.56792543897855</v>
      </c>
      <c r="M70">
        <v>0</v>
      </c>
    </row>
    <row r="71" spans="1:13" x14ac:dyDescent="0.2">
      <c r="A71">
        <v>68</v>
      </c>
      <c r="B71">
        <v>84.826433598997625</v>
      </c>
      <c r="C71">
        <v>64.056457206880978</v>
      </c>
      <c r="D71">
        <v>1956.3378044530825</v>
      </c>
      <c r="E71">
        <v>54.336808138465223</v>
      </c>
      <c r="F71">
        <v>18.604554186503705</v>
      </c>
      <c r="G71">
        <v>298.76864681467623</v>
      </c>
      <c r="H71">
        <v>1907.4293593417553</v>
      </c>
      <c r="I71">
        <v>2005.2462495644095</v>
      </c>
      <c r="J71">
        <v>125.5952686129376</v>
      </c>
      <c r="K71">
        <v>127.5952686129376</v>
      </c>
      <c r="L71">
        <v>126.5952686129376</v>
      </c>
      <c r="M71">
        <v>0</v>
      </c>
    </row>
    <row r="72" spans="1:13" x14ac:dyDescent="0.2">
      <c r="A72">
        <v>69</v>
      </c>
      <c r="B72">
        <v>84.351840420804891</v>
      </c>
      <c r="C72">
        <v>64.087318924950637</v>
      </c>
      <c r="D72">
        <v>1957.4073805362857</v>
      </c>
      <c r="E72">
        <v>54.058832989546652</v>
      </c>
      <c r="F72">
        <v>18.964075698830666</v>
      </c>
      <c r="G72">
        <v>304.37851657296608</v>
      </c>
      <c r="H72">
        <v>1908.4721960228785</v>
      </c>
      <c r="I72">
        <v>2006.3425650496927</v>
      </c>
      <c r="J72">
        <v>125.62261178689666</v>
      </c>
      <c r="K72">
        <v>127.62261178689666</v>
      </c>
      <c r="L72">
        <v>126.62261178689666</v>
      </c>
      <c r="M72">
        <v>0</v>
      </c>
    </row>
    <row r="73" spans="1:13" x14ac:dyDescent="0.2">
      <c r="A73">
        <v>70</v>
      </c>
      <c r="B73">
        <v>83.874342143965322</v>
      </c>
      <c r="C73">
        <v>64.118180643020295</v>
      </c>
      <c r="D73">
        <v>1958.406419799586</v>
      </c>
      <c r="E73">
        <v>53.778702209012593</v>
      </c>
      <c r="F73">
        <v>19.321372791714992</v>
      </c>
      <c r="G73">
        <v>309.95099366606371</v>
      </c>
      <c r="H73">
        <v>1909.4462593045964</v>
      </c>
      <c r="I73">
        <v>2007.3665802945754</v>
      </c>
      <c r="J73">
        <v>125.64995496085572</v>
      </c>
      <c r="K73">
        <v>127.64995496085572</v>
      </c>
      <c r="L73">
        <v>126.64995496085572</v>
      </c>
      <c r="M73">
        <v>0</v>
      </c>
    </row>
    <row r="74" spans="1:13" x14ac:dyDescent="0.2">
      <c r="A74">
        <v>71</v>
      </c>
      <c r="B74">
        <v>83.394582565318686</v>
      </c>
      <c r="C74">
        <v>64.149042361089968</v>
      </c>
      <c r="D74">
        <v>1959.3389002661665</v>
      </c>
      <c r="E74">
        <v>53.496826096680437</v>
      </c>
      <c r="F74">
        <v>19.676437646137792</v>
      </c>
      <c r="G74">
        <v>315.48599218442297</v>
      </c>
      <c r="H74">
        <v>1910.3554277595124</v>
      </c>
      <c r="I74">
        <v>2008.3223727728205</v>
      </c>
      <c r="J74">
        <v>125.67729813481478</v>
      </c>
      <c r="K74">
        <v>127.67729813481478</v>
      </c>
      <c r="L74">
        <v>126.67729813481478</v>
      </c>
      <c r="M74">
        <v>0</v>
      </c>
    </row>
    <row r="75" spans="1:13" x14ac:dyDescent="0.2">
      <c r="A75">
        <v>72</v>
      </c>
      <c r="B75">
        <v>82.913160055960603</v>
      </c>
      <c r="C75">
        <v>64.179904079159627</v>
      </c>
      <c r="D75">
        <v>1960.2087958432362</v>
      </c>
      <c r="E75">
        <v>53.213586592915611</v>
      </c>
      <c r="F75">
        <v>20.02926501068346</v>
      </c>
      <c r="G75">
        <v>320.98346634877339</v>
      </c>
      <c r="H75">
        <v>1911.2035759471553</v>
      </c>
      <c r="I75">
        <v>2009.2140157393169</v>
      </c>
      <c r="J75">
        <v>125.70464130877383</v>
      </c>
      <c r="K75">
        <v>127.70464130877383</v>
      </c>
      <c r="L75">
        <v>126.70464130877383</v>
      </c>
      <c r="M75">
        <v>0</v>
      </c>
    </row>
    <row r="76" spans="1:13" x14ac:dyDescent="0.2">
      <c r="A76">
        <v>73</v>
      </c>
      <c r="B76">
        <v>82.430627561242446</v>
      </c>
      <c r="C76">
        <v>64.210765797229286</v>
      </c>
      <c r="D76">
        <v>1961.0200763220321</v>
      </c>
      <c r="E76">
        <v>52.929337208535713</v>
      </c>
      <c r="F76">
        <v>20.379852002964892</v>
      </c>
      <c r="G76">
        <v>326.44340734042186</v>
      </c>
      <c r="H76">
        <v>1911.9945744139811</v>
      </c>
      <c r="I76">
        <v>2010.0455782300828</v>
      </c>
      <c r="J76">
        <v>125.7319844827329</v>
      </c>
      <c r="K76">
        <v>127.7319844827329</v>
      </c>
      <c r="L76">
        <v>126.7319844827329</v>
      </c>
      <c r="M76">
        <v>0</v>
      </c>
    </row>
    <row r="77" spans="1:13" x14ac:dyDescent="0.2">
      <c r="A77">
        <v>74</v>
      </c>
      <c r="B77">
        <v>81.947492600771255</v>
      </c>
      <c r="C77">
        <v>64.241627515298958</v>
      </c>
      <c r="D77">
        <v>1961.7767073778152</v>
      </c>
      <c r="E77">
        <v>52.644402954714643</v>
      </c>
      <c r="F77">
        <v>20.728197911540121</v>
      </c>
      <c r="G77">
        <v>331.86584014681785</v>
      </c>
      <c r="H77">
        <v>1912.7322896933697</v>
      </c>
      <c r="I77">
        <v>2010.8211250622605</v>
      </c>
      <c r="J77">
        <v>125.75932765669195</v>
      </c>
      <c r="K77">
        <v>127.75932765669195</v>
      </c>
      <c r="L77">
        <v>126.75932765669195</v>
      </c>
      <c r="M77">
        <v>0</v>
      </c>
    </row>
    <row r="78" spans="1:13" x14ac:dyDescent="0.2">
      <c r="A78">
        <v>75</v>
      </c>
      <c r="B78">
        <v>81.464217268409868</v>
      </c>
      <c r="C78">
        <v>64.272489233368617</v>
      </c>
      <c r="D78">
        <v>1962.4826505698759</v>
      </c>
      <c r="E78">
        <v>52.35908027288675</v>
      </c>
      <c r="F78">
        <v>21.074303998323167</v>
      </c>
      <c r="G78">
        <v>337.2508204223812</v>
      </c>
      <c r="H78">
        <v>1913.4205843056288</v>
      </c>
      <c r="I78">
        <v>2011.5447168341227</v>
      </c>
      <c r="J78">
        <v>125.786670830651</v>
      </c>
      <c r="K78">
        <v>127.786670830651</v>
      </c>
      <c r="L78">
        <v>126.786670830651</v>
      </c>
      <c r="M78">
        <v>0</v>
      </c>
    </row>
    <row r="79" spans="1:13" x14ac:dyDescent="0.2">
      <c r="A79">
        <v>76</v>
      </c>
      <c r="B79">
        <v>80.981218232276845</v>
      </c>
      <c r="C79">
        <v>64.303350951438276</v>
      </c>
      <c r="D79">
        <v>1963.1418633415285</v>
      </c>
      <c r="E79">
        <v>52.073636964651094</v>
      </c>
      <c r="F79">
        <v>21.418173301491979</v>
      </c>
      <c r="G79">
        <v>342.59843136459324</v>
      </c>
      <c r="H79">
        <v>1914.0633167579902</v>
      </c>
      <c r="I79">
        <v>2012.2204099250666</v>
      </c>
      <c r="J79">
        <v>125.81401400461007</v>
      </c>
      <c r="K79">
        <v>127.81401400461007</v>
      </c>
      <c r="L79">
        <v>126.81401400461007</v>
      </c>
      <c r="M79">
        <v>0</v>
      </c>
    </row>
    <row r="80" spans="1:13" x14ac:dyDescent="0.2">
      <c r="A80">
        <v>77</v>
      </c>
      <c r="B80">
        <v>80.49886673474667</v>
      </c>
      <c r="C80">
        <v>64.334212669507949</v>
      </c>
      <c r="D80">
        <v>1963.7582990201167</v>
      </c>
      <c r="E80">
        <v>51.788312121675709</v>
      </c>
      <c r="F80">
        <v>21.759810438896249</v>
      </c>
      <c r="G80">
        <v>347.90878060535101</v>
      </c>
      <c r="H80">
        <v>1914.6643415446138</v>
      </c>
      <c r="I80">
        <v>2012.8522564956195</v>
      </c>
      <c r="J80">
        <v>125.84135717856913</v>
      </c>
      <c r="K80">
        <v>127.84135717856913</v>
      </c>
      <c r="L80">
        <v>126.84135717856913</v>
      </c>
      <c r="M80">
        <v>0</v>
      </c>
    </row>
    <row r="81" spans="1:13" x14ac:dyDescent="0.2">
      <c r="A81">
        <v>78</v>
      </c>
      <c r="B81">
        <v>80.017488592449368</v>
      </c>
      <c r="C81">
        <v>64.365074387577607</v>
      </c>
      <c r="D81">
        <v>1964.3359068170082</v>
      </c>
      <c r="E81">
        <v>51.503316055601459</v>
      </c>
      <c r="F81">
        <v>22.099221411967946</v>
      </c>
      <c r="G81">
        <v>353.18199711758427</v>
      </c>
      <c r="H81">
        <v>1915.2275091465829</v>
      </c>
      <c r="I81">
        <v>2013.4443044874333</v>
      </c>
      <c r="J81">
        <v>125.86870035252818</v>
      </c>
      <c r="K81">
        <v>127.86870035252818</v>
      </c>
      <c r="L81">
        <v>126.86870035252818</v>
      </c>
      <c r="M81">
        <v>0</v>
      </c>
    </row>
    <row r="82" spans="1:13" x14ac:dyDescent="0.2">
      <c r="A82">
        <v>79</v>
      </c>
      <c r="B82">
        <v>79.537364196270815</v>
      </c>
      <c r="C82">
        <v>64.395936105647266</v>
      </c>
      <c r="D82">
        <v>1964.8786318275993</v>
      </c>
      <c r="E82">
        <v>51.218830227946519</v>
      </c>
      <c r="F82">
        <v>22.436413410137398</v>
      </c>
      <c r="G82">
        <v>358.41822813713588</v>
      </c>
      <c r="H82">
        <v>1915.7566660319092</v>
      </c>
      <c r="I82">
        <v>2014.0005976232892</v>
      </c>
      <c r="J82">
        <v>125.89604352648723</v>
      </c>
      <c r="K82">
        <v>127.89604352648723</v>
      </c>
      <c r="L82">
        <v>126.89604352648723</v>
      </c>
      <c r="M82">
        <v>0</v>
      </c>
    </row>
    <row r="83" spans="1:13" x14ac:dyDescent="0.2">
      <c r="A83">
        <v>80</v>
      </c>
      <c r="B83">
        <v>79.058728511352655</v>
      </c>
      <c r="C83">
        <v>64.426797823716939</v>
      </c>
      <c r="D83">
        <v>1965.3904150313112</v>
      </c>
      <c r="E83">
        <v>50.935007180010437</v>
      </c>
      <c r="F83">
        <v>22.771394615757742</v>
      </c>
      <c r="G83">
        <v>363.61763609990487</v>
      </c>
      <c r="H83">
        <v>1916.2556546555284</v>
      </c>
      <c r="I83">
        <v>2014.5251754070939</v>
      </c>
      <c r="J83">
        <v>125.9233867004463</v>
      </c>
      <c r="K83">
        <v>127.9233867004463</v>
      </c>
      <c r="L83">
        <v>126.9233867004463</v>
      </c>
      <c r="M83">
        <v>0</v>
      </c>
    </row>
    <row r="84" spans="1:13" x14ac:dyDescent="0.2">
      <c r="A84">
        <v>81</v>
      </c>
      <c r="B84">
        <v>78.581771077092313</v>
      </c>
      <c r="C84">
        <v>64.457659541786597</v>
      </c>
      <c r="D84">
        <v>1965.8751932915932</v>
      </c>
      <c r="E84">
        <v>50.651970462778287</v>
      </c>
      <c r="F84">
        <v>23.104174009540557</v>
      </c>
      <c r="G84">
        <v>368.78039559425298</v>
      </c>
      <c r="H84">
        <v>1916.7283134593033</v>
      </c>
      <c r="I84">
        <v>2015.0220731238828</v>
      </c>
      <c r="J84">
        <v>125.95072987440535</v>
      </c>
      <c r="K84">
        <v>127.95072987440535</v>
      </c>
      <c r="L84">
        <v>126.95072987440535</v>
      </c>
      <c r="M84">
        <v>0</v>
      </c>
    </row>
    <row r="85" spans="1:13" x14ac:dyDescent="0.2">
      <c r="A85">
        <v>82</v>
      </c>
      <c r="B85">
        <v>78.106636007142811</v>
      </c>
      <c r="C85">
        <v>64.488521259856256</v>
      </c>
      <c r="D85">
        <v>1966.3368993559193</v>
      </c>
      <c r="E85">
        <v>50.369814566824836</v>
      </c>
      <c r="F85">
        <v>23.434761176505543</v>
      </c>
      <c r="G85">
        <v>373.90669032867379</v>
      </c>
      <c r="H85">
        <v>1917.1784768720213</v>
      </c>
      <c r="I85">
        <v>2015.4953218398171</v>
      </c>
      <c r="J85">
        <v>125.97807304836441</v>
      </c>
      <c r="K85">
        <v>127.97807304836441</v>
      </c>
      <c r="L85">
        <v>126.97807304836441</v>
      </c>
      <c r="M85">
        <v>0</v>
      </c>
    </row>
    <row r="86" spans="1:13" x14ac:dyDescent="0.2">
      <c r="A86">
        <v>83</v>
      </c>
      <c r="B86">
        <v>77.633421989413165</v>
      </c>
      <c r="C86">
        <v>64.519382977925929</v>
      </c>
      <c r="D86">
        <v>1966.7794618557923</v>
      </c>
      <c r="E86">
        <v>50.088604852218843</v>
      </c>
      <c r="F86">
        <v>23.763166112447017</v>
      </c>
      <c r="G86">
        <v>378.99671011472526</v>
      </c>
      <c r="H86">
        <v>1917.6099753093974</v>
      </c>
      <c r="I86">
        <v>2015.9489484021869</v>
      </c>
      <c r="J86">
        <v>126.00541622232348</v>
      </c>
      <c r="K86">
        <v>128.00541622232348</v>
      </c>
      <c r="L86">
        <v>127.00541622232348</v>
      </c>
      <c r="M86">
        <v>0</v>
      </c>
    </row>
    <row r="87" spans="1:13" x14ac:dyDescent="0.2">
      <c r="A87">
        <v>84</v>
      </c>
      <c r="B87">
        <v>77.162182286067889</v>
      </c>
      <c r="C87">
        <v>64.550244695995588</v>
      </c>
      <c r="D87">
        <v>1967.2068053067403</v>
      </c>
      <c r="E87">
        <v>49.808377478426983</v>
      </c>
      <c r="F87">
        <v>24.089399030920116</v>
      </c>
      <c r="G87">
        <v>384.05064786522519</v>
      </c>
      <c r="H87">
        <v>1918.0266351740718</v>
      </c>
      <c r="I87">
        <v>2016.3869754394086</v>
      </c>
      <c r="J87">
        <v>126.03275939628253</v>
      </c>
      <c r="K87">
        <v>128.03275939628253</v>
      </c>
      <c r="L87">
        <v>127.03275939628253</v>
      </c>
      <c r="M87">
        <v>0</v>
      </c>
    </row>
    <row r="88" spans="1:13" x14ac:dyDescent="0.2">
      <c r="A88">
        <v>85</v>
      </c>
      <c r="B88">
        <v>76.692924733527533</v>
      </c>
      <c r="C88">
        <v>64.581106414065246</v>
      </c>
      <c r="D88">
        <v>1968.2524748679448</v>
      </c>
      <c r="E88">
        <v>49.529139334218378</v>
      </c>
      <c r="F88">
        <v>24.413470170749481</v>
      </c>
      <c r="G88">
        <v>389.0686966077098</v>
      </c>
      <c r="H88">
        <v>1919.046162996246</v>
      </c>
      <c r="I88">
        <v>2017.4587867396433</v>
      </c>
      <c r="J88">
        <v>126.06010257024158</v>
      </c>
      <c r="K88">
        <v>128.06010257024158</v>
      </c>
      <c r="L88">
        <v>127.06010257024158</v>
      </c>
      <c r="M88">
        <v>0</v>
      </c>
    </row>
    <row r="89" spans="1:13" x14ac:dyDescent="0.2">
      <c r="A89">
        <v>86</v>
      </c>
      <c r="B89">
        <v>76.22561174246826</v>
      </c>
      <c r="C89">
        <v>64.611968132134919</v>
      </c>
      <c r="D89">
        <v>1968.7198617363865</v>
      </c>
      <c r="E89">
        <v>49.250867967568482</v>
      </c>
      <c r="F89">
        <v>24.735389604063258</v>
      </c>
      <c r="G89">
        <v>394.05104651315509</v>
      </c>
      <c r="H89">
        <v>1919.5018651929768</v>
      </c>
      <c r="I89">
        <v>2017.937858279796</v>
      </c>
      <c r="J89">
        <v>126.08744574420065</v>
      </c>
      <c r="K89">
        <v>128.08744574420064</v>
      </c>
      <c r="L89">
        <v>127.08744574420065</v>
      </c>
      <c r="M89">
        <v>0</v>
      </c>
    </row>
    <row r="90" spans="1:13" x14ac:dyDescent="0.2">
      <c r="A90">
        <v>87</v>
      </c>
      <c r="B90">
        <v>75.760160297821784</v>
      </c>
      <c r="C90">
        <v>64.642829850204578</v>
      </c>
      <c r="D90">
        <v>1969.1872486048283</v>
      </c>
      <c r="E90">
        <v>48.973511515563175</v>
      </c>
      <c r="F90">
        <v>25.055167044855278</v>
      </c>
      <c r="G90">
        <v>398.99788193996164</v>
      </c>
      <c r="H90">
        <v>1919.9575673897075</v>
      </c>
      <c r="I90">
        <v>2018.4169298199488</v>
      </c>
      <c r="J90">
        <v>126.1147889181597</v>
      </c>
      <c r="K90">
        <v>128.11478891815972</v>
      </c>
      <c r="L90">
        <v>127.1147889181597</v>
      </c>
      <c r="M90">
        <v>0</v>
      </c>
    </row>
    <row r="91" spans="1:13" x14ac:dyDescent="0.2">
      <c r="A91">
        <v>88</v>
      </c>
      <c r="B91">
        <v>75.296441958776086</v>
      </c>
      <c r="C91">
        <v>64.673691568274251</v>
      </c>
      <c r="D91">
        <v>1969.65463547327</v>
      </c>
      <c r="E91">
        <v>48.696988634303487</v>
      </c>
      <c r="F91">
        <v>25.372811658078202</v>
      </c>
      <c r="G91">
        <v>403.90937849320227</v>
      </c>
      <c r="H91">
        <v>1920.4132695864382</v>
      </c>
      <c r="I91">
        <v>2018.8960013601015</v>
      </c>
      <c r="J91">
        <v>126.14213209211876</v>
      </c>
      <c r="K91">
        <v>128.14213209211874</v>
      </c>
      <c r="L91">
        <v>127.14213209211876</v>
      </c>
      <c r="M91">
        <v>0</v>
      </c>
    </row>
    <row r="92" spans="1:13" x14ac:dyDescent="0.2">
      <c r="A92">
        <v>89</v>
      </c>
      <c r="B92">
        <v>74.834282858774387</v>
      </c>
      <c r="C92">
        <v>64.704553286343909</v>
      </c>
      <c r="D92">
        <v>1970.1220223417117</v>
      </c>
      <c r="E92">
        <v>48.421188428809003</v>
      </c>
      <c r="F92">
        <v>25.688331869270471</v>
      </c>
      <c r="G92">
        <v>408.78570009913255</v>
      </c>
      <c r="H92">
        <v>1920.8689717831689</v>
      </c>
      <c r="I92">
        <v>2019.3750729002543</v>
      </c>
      <c r="J92">
        <v>126.16947526607782</v>
      </c>
      <c r="K92">
        <v>128.16947526607782</v>
      </c>
      <c r="L92">
        <v>127.16947526607782</v>
      </c>
      <c r="M92">
        <v>0</v>
      </c>
    </row>
    <row r="93" spans="1:13" x14ac:dyDescent="0.2">
      <c r="A93">
        <v>90</v>
      </c>
      <c r="B93">
        <v>74.373463705515775</v>
      </c>
      <c r="C93">
        <v>64.735415004413568</v>
      </c>
      <c r="D93">
        <v>1970.5894092101535</v>
      </c>
      <c r="E93">
        <v>48.145970382922542</v>
      </c>
      <c r="F93">
        <v>26.001735174719879</v>
      </c>
      <c r="G93">
        <v>413.62699609496485</v>
      </c>
      <c r="H93">
        <v>1921.3246739798997</v>
      </c>
      <c r="I93">
        <v>2019.854144440407</v>
      </c>
      <c r="J93">
        <v>126.19681844003688</v>
      </c>
      <c r="K93">
        <v>128.19681844003688</v>
      </c>
      <c r="L93">
        <v>127.19681844003688</v>
      </c>
      <c r="M93">
        <v>0</v>
      </c>
    </row>
    <row r="94" spans="1:13" x14ac:dyDescent="0.2">
      <c r="A94">
        <v>91</v>
      </c>
      <c r="B94">
        <v>73.913719780955503</v>
      </c>
      <c r="C94">
        <v>64.766276722483241</v>
      </c>
      <c r="D94">
        <v>1971.0567960785952</v>
      </c>
      <c r="E94">
        <v>47.871164289214477</v>
      </c>
      <c r="F94">
        <v>26.313027952166639</v>
      </c>
      <c r="G94">
        <v>418.43339833390496</v>
      </c>
      <c r="H94">
        <v>1921.7803761766302</v>
      </c>
      <c r="I94">
        <v>2020.33321598056</v>
      </c>
      <c r="J94">
        <v>126.22416161399593</v>
      </c>
      <c r="K94">
        <v>128.22416161399593</v>
      </c>
      <c r="L94">
        <v>127.22416161399593</v>
      </c>
      <c r="M94">
        <v>0</v>
      </c>
    </row>
    <row r="95" spans="1:13" x14ac:dyDescent="0.2">
      <c r="A95">
        <v>92</v>
      </c>
      <c r="B95">
        <v>73.454740941304152</v>
      </c>
      <c r="C95">
        <v>64.797138440552899</v>
      </c>
      <c r="D95">
        <v>1971.5241829470369</v>
      </c>
      <c r="E95">
        <v>47.596570178886338</v>
      </c>
      <c r="F95">
        <v>26.622215272048685</v>
      </c>
      <c r="G95">
        <v>423.20501830545209</v>
      </c>
      <c r="H95">
        <v>1922.2360783733609</v>
      </c>
      <c r="I95">
        <v>2020.8122875207127</v>
      </c>
      <c r="J95">
        <v>126.25150478795499</v>
      </c>
      <c r="K95">
        <v>128.25150478795499</v>
      </c>
      <c r="L95">
        <v>127.25150478795499</v>
      </c>
      <c r="M95">
        <v>0</v>
      </c>
    </row>
    <row r="96" spans="1:13" x14ac:dyDescent="0.2">
      <c r="A96">
        <v>93</v>
      </c>
      <c r="B96">
        <v>72.99617161702804</v>
      </c>
      <c r="C96">
        <v>64.828000158622558</v>
      </c>
      <c r="D96">
        <v>1971.9915698154787</v>
      </c>
      <c r="E96">
        <v>47.321958251675333</v>
      </c>
      <c r="F96">
        <v>26.929300709292114</v>
      </c>
      <c r="G96">
        <v>427.94194427096153</v>
      </c>
      <c r="H96">
        <v>1922.6917805700916</v>
      </c>
      <c r="I96">
        <v>2021.2913590608655</v>
      </c>
      <c r="J96">
        <v>126.27884796191405</v>
      </c>
      <c r="K96">
        <v>128.27884796191404</v>
      </c>
      <c r="L96">
        <v>127.27884796191405</v>
      </c>
      <c r="M96">
        <v>0</v>
      </c>
    </row>
    <row r="97" spans="1:13" x14ac:dyDescent="0.2">
      <c r="A97">
        <v>94</v>
      </c>
      <c r="B97">
        <v>72.537610812849536</v>
      </c>
      <c r="C97">
        <v>64.858861876692231</v>
      </c>
      <c r="D97">
        <v>1972.4589566839204</v>
      </c>
      <c r="E97">
        <v>47.047068805758641</v>
      </c>
      <c r="F97">
        <v>27.234286155649571</v>
      </c>
      <c r="G97">
        <v>432.64423841447098</v>
      </c>
      <c r="H97">
        <v>1923.1474827668223</v>
      </c>
      <c r="I97">
        <v>2021.7704306010182</v>
      </c>
      <c r="J97">
        <v>126.30619113587311</v>
      </c>
      <c r="K97">
        <v>128.30619113587312</v>
      </c>
      <c r="L97">
        <v>127.30619113587311</v>
      </c>
      <c r="M97">
        <v>0</v>
      </c>
    </row>
    <row r="98" spans="1:13" x14ac:dyDescent="0.2">
      <c r="A98">
        <v>95</v>
      </c>
      <c r="B98">
        <v>72.078612107746565</v>
      </c>
      <c r="C98">
        <v>64.88972359476189</v>
      </c>
      <c r="D98">
        <v>1972.9263435523621</v>
      </c>
      <c r="E98">
        <v>46.771612167657324</v>
      </c>
      <c r="F98">
        <v>27.53717163258937</v>
      </c>
      <c r="G98">
        <v>437.31193400878925</v>
      </c>
      <c r="H98">
        <v>1923.6031849635531</v>
      </c>
      <c r="I98">
        <v>2022.249502141171</v>
      </c>
      <c r="J98">
        <v>126.33353430983216</v>
      </c>
      <c r="K98">
        <v>128.33353430983215</v>
      </c>
      <c r="L98">
        <v>127.33353430983216</v>
      </c>
      <c r="M98">
        <v>0</v>
      </c>
    </row>
    <row r="99" spans="1:13" x14ac:dyDescent="0.2">
      <c r="A99">
        <v>96</v>
      </c>
      <c r="B99">
        <v>71.618683654952662</v>
      </c>
      <c r="C99">
        <v>64.920585312831548</v>
      </c>
      <c r="D99">
        <v>1973.3937304208039</v>
      </c>
      <c r="E99">
        <v>46.495268622140486</v>
      </c>
      <c r="F99">
        <v>27.837955104738231</v>
      </c>
      <c r="G99">
        <v>441.94503259684853</v>
      </c>
      <c r="H99">
        <v>1924.0588871602838</v>
      </c>
      <c r="I99">
        <v>2022.7285736813237</v>
      </c>
      <c r="J99">
        <v>126.36087748379123</v>
      </c>
      <c r="K99">
        <v>128.36087748379123</v>
      </c>
      <c r="L99">
        <v>127.36087748379123</v>
      </c>
      <c r="M99">
        <v>0</v>
      </c>
    </row>
    <row r="100" spans="1:13" x14ac:dyDescent="0.2">
      <c r="A100">
        <v>97</v>
      </c>
      <c r="B100">
        <v>71.157288181957654</v>
      </c>
      <c r="C100">
        <v>64.951447030901221</v>
      </c>
      <c r="D100">
        <v>1973.8611172892458</v>
      </c>
      <c r="E100">
        <v>46.217688342129961</v>
      </c>
      <c r="F100">
        <v>28.13663229388041</v>
      </c>
      <c r="G100">
        <v>446.54350118831934</v>
      </c>
      <c r="H100">
        <v>1924.5145893570148</v>
      </c>
      <c r="I100">
        <v>2023.2076452214769</v>
      </c>
      <c r="J100">
        <v>126.38822065775028</v>
      </c>
      <c r="K100">
        <v>128.38822065775028</v>
      </c>
      <c r="L100">
        <v>127.38822065775028</v>
      </c>
      <c r="M100">
        <v>0</v>
      </c>
    </row>
    <row r="101" spans="1:13" x14ac:dyDescent="0.2">
      <c r="A101">
        <v>98</v>
      </c>
      <c r="B101">
        <v>70.693842990506596</v>
      </c>
      <c r="C101">
        <v>64.98230874897088</v>
      </c>
      <c r="D101">
        <v>1974.3285041576876</v>
      </c>
      <c r="E101">
        <v>45.938491318603702</v>
      </c>
      <c r="F101">
        <v>28.433196493516093</v>
      </c>
      <c r="G101">
        <v>451.10726947148885</v>
      </c>
      <c r="H101">
        <v>1924.9702915537453</v>
      </c>
      <c r="I101">
        <v>2023.6867167616297</v>
      </c>
      <c r="J101">
        <v>126.41556383170933</v>
      </c>
      <c r="K101">
        <v>128.41556383170933</v>
      </c>
      <c r="L101">
        <v>127.41556383170933</v>
      </c>
      <c r="M101">
        <v>0</v>
      </c>
    </row>
    <row r="102" spans="1:13" x14ac:dyDescent="0.2">
      <c r="A102">
        <v>99</v>
      </c>
      <c r="B102">
        <v>70.227719956600424</v>
      </c>
      <c r="C102">
        <v>65.013170467040538</v>
      </c>
      <c r="D102">
        <v>1974.7958910261293</v>
      </c>
      <c r="E102">
        <v>45.657267290500485</v>
      </c>
      <c r="F102">
        <v>28.727638383981837</v>
      </c>
      <c r="G102">
        <v>455.63622704040199</v>
      </c>
      <c r="H102">
        <v>1925.425993750476</v>
      </c>
      <c r="I102">
        <v>2024.1657883017824</v>
      </c>
      <c r="J102">
        <v>126.4429070056684</v>
      </c>
      <c r="K102">
        <v>128.44290700566842</v>
      </c>
      <c r="L102">
        <v>127.4429070056684</v>
      </c>
      <c r="M102">
        <v>0</v>
      </c>
    </row>
    <row r="103" spans="1:13" x14ac:dyDescent="0.2">
      <c r="A103">
        <v>100</v>
      </c>
      <c r="B103">
        <v>69.75824553049604</v>
      </c>
      <c r="C103">
        <v>65.044032185110211</v>
      </c>
      <c r="D103">
        <v>1975.263277894571</v>
      </c>
      <c r="E103">
        <v>45.37357567462405</v>
      </c>
      <c r="F103">
        <v>29.019945848135926</v>
      </c>
      <c r="G103">
        <v>460.13022063726578</v>
      </c>
      <c r="H103">
        <v>1925.8816959472067</v>
      </c>
      <c r="I103">
        <v>2024.6448598419352</v>
      </c>
      <c r="J103">
        <v>126.47025017962746</v>
      </c>
      <c r="K103">
        <v>128.47025017962744</v>
      </c>
      <c r="L103">
        <v>127.47025017962746</v>
      </c>
      <c r="M103">
        <v>0</v>
      </c>
    </row>
    <row r="104" spans="1:13" x14ac:dyDescent="0.2">
      <c r="A104">
        <v>101</v>
      </c>
      <c r="B104">
        <v>0</v>
      </c>
      <c r="C104">
        <v>0</v>
      </c>
      <c r="D104">
        <v>0</v>
      </c>
      <c r="E104">
        <v>0</v>
      </c>
      <c r="F104">
        <v>29.019945848135926</v>
      </c>
      <c r="G104">
        <v>460.13022063726578</v>
      </c>
      <c r="H104">
        <v>0</v>
      </c>
      <c r="I104">
        <v>0</v>
      </c>
      <c r="J104">
        <v>-1</v>
      </c>
      <c r="K104">
        <v>1</v>
      </c>
      <c r="L104">
        <v>0</v>
      </c>
      <c r="M104">
        <v>0</v>
      </c>
    </row>
    <row r="105" spans="1:13" x14ac:dyDescent="0.2">
      <c r="A105">
        <v>102</v>
      </c>
      <c r="B105">
        <v>0</v>
      </c>
      <c r="C105">
        <v>0</v>
      </c>
      <c r="D105">
        <v>0</v>
      </c>
      <c r="E105">
        <v>0</v>
      </c>
      <c r="F105">
        <v>29.019945848135926</v>
      </c>
      <c r="G105">
        <v>460.13022063726578</v>
      </c>
      <c r="H105">
        <v>0</v>
      </c>
      <c r="I105">
        <v>0</v>
      </c>
      <c r="J105">
        <v>-1</v>
      </c>
      <c r="K105">
        <v>1</v>
      </c>
      <c r="L105">
        <v>0</v>
      </c>
      <c r="M105">
        <v>0</v>
      </c>
    </row>
    <row r="106" spans="1:13" x14ac:dyDescent="0.2">
      <c r="A106">
        <v>103</v>
      </c>
      <c r="B106">
        <v>0</v>
      </c>
      <c r="C106">
        <v>0</v>
      </c>
      <c r="D106">
        <v>0</v>
      </c>
      <c r="E106">
        <v>0</v>
      </c>
      <c r="F106">
        <v>29.019945848135926</v>
      </c>
      <c r="G106">
        <v>460.13022063726578</v>
      </c>
      <c r="H106">
        <v>0</v>
      </c>
      <c r="I106">
        <v>0</v>
      </c>
      <c r="J106">
        <v>-1</v>
      </c>
      <c r="K106">
        <v>1</v>
      </c>
      <c r="L106">
        <v>0</v>
      </c>
      <c r="M106">
        <v>0</v>
      </c>
    </row>
    <row r="107" spans="1:13" x14ac:dyDescent="0.2">
      <c r="A107">
        <v>104</v>
      </c>
      <c r="B107">
        <v>0</v>
      </c>
      <c r="C107">
        <v>0</v>
      </c>
      <c r="D107">
        <v>0</v>
      </c>
      <c r="E107">
        <v>0</v>
      </c>
      <c r="F107">
        <v>29.019945848135926</v>
      </c>
      <c r="G107">
        <v>460.13022063726578</v>
      </c>
      <c r="H107">
        <v>0</v>
      </c>
      <c r="I107">
        <v>0</v>
      </c>
      <c r="J107">
        <v>-1</v>
      </c>
      <c r="K107">
        <v>1</v>
      </c>
      <c r="L107">
        <v>0</v>
      </c>
      <c r="M107">
        <v>0</v>
      </c>
    </row>
    <row r="108" spans="1:13" x14ac:dyDescent="0.2">
      <c r="A108">
        <v>105</v>
      </c>
      <c r="B108">
        <v>0</v>
      </c>
      <c r="C108">
        <v>0</v>
      </c>
      <c r="D108">
        <v>0</v>
      </c>
      <c r="E108">
        <v>0</v>
      </c>
      <c r="F108">
        <v>29.019945848135926</v>
      </c>
      <c r="G108">
        <v>460.13022063726578</v>
      </c>
      <c r="H108">
        <v>0</v>
      </c>
      <c r="I108">
        <v>0</v>
      </c>
      <c r="J108">
        <v>-1</v>
      </c>
      <c r="K108">
        <v>1</v>
      </c>
      <c r="L108">
        <v>0</v>
      </c>
      <c r="M108">
        <v>0</v>
      </c>
    </row>
    <row r="109" spans="1:13" x14ac:dyDescent="0.2">
      <c r="A109">
        <v>106</v>
      </c>
      <c r="B109">
        <v>0</v>
      </c>
      <c r="C109">
        <v>0</v>
      </c>
      <c r="D109">
        <v>0</v>
      </c>
      <c r="E109">
        <v>0</v>
      </c>
      <c r="F109">
        <v>29.019945848135926</v>
      </c>
      <c r="G109">
        <v>460.13022063726578</v>
      </c>
      <c r="H109">
        <v>0</v>
      </c>
      <c r="I109">
        <v>0</v>
      </c>
      <c r="J109">
        <v>-1</v>
      </c>
      <c r="K109">
        <v>1</v>
      </c>
      <c r="L109">
        <v>0</v>
      </c>
      <c r="M109">
        <v>0</v>
      </c>
    </row>
    <row r="110" spans="1:13" x14ac:dyDescent="0.2">
      <c r="A110">
        <v>107</v>
      </c>
      <c r="B110">
        <v>0</v>
      </c>
      <c r="C110">
        <v>0</v>
      </c>
      <c r="D110">
        <v>0</v>
      </c>
      <c r="E110">
        <v>0</v>
      </c>
      <c r="F110">
        <v>29.019945848135926</v>
      </c>
      <c r="G110">
        <v>460.13022063726578</v>
      </c>
      <c r="H110">
        <v>0</v>
      </c>
      <c r="I110">
        <v>0</v>
      </c>
      <c r="J110">
        <v>-1</v>
      </c>
      <c r="K110">
        <v>1</v>
      </c>
      <c r="L110">
        <v>0</v>
      </c>
      <c r="M110">
        <v>0</v>
      </c>
    </row>
    <row r="111" spans="1:13" x14ac:dyDescent="0.2">
      <c r="A111">
        <v>108</v>
      </c>
      <c r="B111">
        <v>0</v>
      </c>
      <c r="C111">
        <v>0</v>
      </c>
      <c r="D111">
        <v>0</v>
      </c>
      <c r="E111">
        <v>0</v>
      </c>
      <c r="F111">
        <v>29.019945848135926</v>
      </c>
      <c r="G111">
        <v>460.13022063726578</v>
      </c>
      <c r="H111">
        <v>0</v>
      </c>
      <c r="I111">
        <v>0</v>
      </c>
      <c r="J111">
        <v>-1</v>
      </c>
      <c r="K111">
        <v>1</v>
      </c>
      <c r="L111">
        <v>0</v>
      </c>
      <c r="M111">
        <v>0</v>
      </c>
    </row>
    <row r="112" spans="1:13" x14ac:dyDescent="0.2">
      <c r="A112">
        <v>109</v>
      </c>
      <c r="B112">
        <v>0</v>
      </c>
      <c r="C112">
        <v>0</v>
      </c>
      <c r="D112">
        <v>0</v>
      </c>
      <c r="E112">
        <v>0</v>
      </c>
      <c r="F112">
        <v>29.019945848135926</v>
      </c>
      <c r="G112">
        <v>460.13022063726578</v>
      </c>
      <c r="H112">
        <v>0</v>
      </c>
      <c r="I112">
        <v>0</v>
      </c>
      <c r="J112">
        <v>-1</v>
      </c>
      <c r="K112">
        <v>1</v>
      </c>
      <c r="L112">
        <v>0</v>
      </c>
      <c r="M112">
        <v>0</v>
      </c>
    </row>
    <row r="113" spans="1:13" x14ac:dyDescent="0.2">
      <c r="A113">
        <v>110</v>
      </c>
      <c r="B113">
        <v>0</v>
      </c>
      <c r="C113">
        <v>0</v>
      </c>
      <c r="D113">
        <v>0</v>
      </c>
      <c r="E113">
        <v>0</v>
      </c>
      <c r="F113">
        <v>29.019945848135926</v>
      </c>
      <c r="G113">
        <v>460.13022063726578</v>
      </c>
      <c r="H113">
        <v>0</v>
      </c>
      <c r="I113">
        <v>0</v>
      </c>
      <c r="J113">
        <v>-1</v>
      </c>
      <c r="K113">
        <v>1</v>
      </c>
      <c r="L113">
        <v>0</v>
      </c>
      <c r="M113">
        <v>0</v>
      </c>
    </row>
  </sheetData>
  <sheetProtection select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01">
    <tabColor theme="0"/>
  </sheetPr>
  <dimension ref="A1:O363"/>
  <sheetViews>
    <sheetView topLeftCell="A336" zoomScaleNormal="100" workbookViewId="0">
      <pane xSplit="1" topLeftCell="B1" activePane="topRight" state="frozen"/>
      <selection activeCell="B20" sqref="B20:D20"/>
      <selection pane="topRight" activeCell="B363" sqref="B363"/>
    </sheetView>
  </sheetViews>
  <sheetFormatPr defaultColWidth="9.140625" defaultRowHeight="12.75" x14ac:dyDescent="0.2"/>
  <cols>
    <col min="1" max="3" width="9.140625" customWidth="1"/>
  </cols>
  <sheetData>
    <row r="1" spans="1:2" x14ac:dyDescent="0.2">
      <c r="B1" t="str">
        <f>'General Input'!B12</f>
        <v>English</v>
      </c>
    </row>
    <row r="2" spans="1:2" x14ac:dyDescent="0.2">
      <c r="A2" t="s">
        <v>944</v>
      </c>
      <c r="B2" t="str">
        <f>VLOOKUP(Languages!B2,Languages!$B$2:$S$400,MATCH($B$1,Languages!$B$1:$S$1,0),FALSE)</f>
        <v>General input</v>
      </c>
    </row>
    <row r="3" spans="1:2" x14ac:dyDescent="0.2">
      <c r="B3" t="str">
        <f>VLOOKUP(Languages!B3,Languages!$B$2:$S$400,MATCH($B$1,Languages!$B$1:$S$1,0),FALSE)</f>
        <v>Spread sheet explanation</v>
      </c>
    </row>
    <row r="4" spans="1:2" x14ac:dyDescent="0.2">
      <c r="B4">
        <f>VLOOKUP(Languages!B4,Languages!$B$2:$S$400,MATCH($B$1,Languages!$B$1:$S$1,0),FALSE)</f>
        <v>0</v>
      </c>
    </row>
    <row r="5" spans="1:2" x14ac:dyDescent="0.2">
      <c r="B5" t="str">
        <f>VLOOKUP(Languages!B5,Languages!$B$2:$S$400,MATCH($B$1,Languages!$B$1:$S$1,0),FALSE)</f>
        <v xml:space="preserve">Please fill in the coloured cells. </v>
      </c>
    </row>
    <row r="6" spans="1:2" x14ac:dyDescent="0.2">
      <c r="B6" t="str">
        <f>VLOOKUP(Languages!B6,Languages!$B$2:$S$400,MATCH($B$1,Languages!$B$1:$S$1,0),FALSE)</f>
        <v>Your document name will be in cell B25</v>
      </c>
    </row>
    <row r="7" spans="1:2" x14ac:dyDescent="0.2">
      <c r="B7" t="str">
        <f>VLOOKUP(Languages!B7,Languages!$B$2:$S$400,MATCH($B$1,Languages!$B$1:$S$1,0),FALSE)</f>
        <v>You can use this format to name your document.</v>
      </c>
    </row>
    <row r="8" spans="1:2" x14ac:dyDescent="0.2">
      <c r="B8" t="str">
        <f>VLOOKUP(Languages!B8,Languages!$B$2:$S$400,MATCH($B$1,Languages!$B$1:$S$1,0),FALSE)</f>
        <v>Required informations</v>
      </c>
    </row>
    <row r="9" spans="1:2" x14ac:dyDescent="0.2">
      <c r="B9" t="str">
        <f>VLOOKUP(Languages!B9,Languages!$B$2:$S$400,MATCH($B$1,Languages!$B$1:$S$1,0),FALSE)</f>
        <v>Every calculation and graph will generate themselves from the data</v>
      </c>
    </row>
    <row r="10" spans="1:2" x14ac:dyDescent="0.2">
      <c r="B10" t="str">
        <f>VLOOKUP(Languages!B10,Languages!$B$2:$S$400,MATCH($B$1,Languages!$B$1:$S$1,0),FALSE)</f>
        <v xml:space="preserve"> entered in "input general", "input rearing" and "input laying" worksheets.</v>
      </c>
    </row>
    <row r="11" spans="1:2" x14ac:dyDescent="0.2">
      <c r="B11" t="str">
        <f>VLOOKUP(Languages!B11,Languages!$B$2:$S$400,MATCH($B$1,Languages!$B$1:$S$1,0),FALSE)</f>
        <v>Hatch date</v>
      </c>
    </row>
    <row r="12" spans="1:2" x14ac:dyDescent="0.2">
      <c r="B12" t="str">
        <f>VLOOKUP(Languages!B12,Languages!$B$2:$S$400,MATCH($B$1,Languages!$B$1:$S$1,0),FALSE)</f>
        <v>Breed</v>
      </c>
    </row>
    <row r="13" spans="1:2" x14ac:dyDescent="0.2">
      <c r="B13" t="str">
        <f>VLOOKUP(Languages!B13,Languages!$B$2:$S$400,MATCH($B$1,Languages!$B$1:$S$1,0),FALSE)</f>
        <v>Housing system during laying period</v>
      </c>
    </row>
    <row r="14" spans="1:2" x14ac:dyDescent="0.2">
      <c r="B14" t="str">
        <f>VLOOKUP(Languages!B14,Languages!$B$2:$S$400,MATCH($B$1,Languages!$B$1:$S$1,0),FALSE)</f>
        <v>Company name / Egg Organisation</v>
      </c>
    </row>
    <row r="15" spans="1:2" x14ac:dyDescent="0.2">
      <c r="B15" t="str">
        <f>VLOOKUP(Languages!B15,Languages!$B$2:$S$400,MATCH($B$1,Languages!$B$1:$S$1,0),FALSE)</f>
        <v>Laying farm name</v>
      </c>
    </row>
    <row r="16" spans="1:2" x14ac:dyDescent="0.2">
      <c r="B16" t="str">
        <f>VLOOKUP(Languages!B16,Languages!$B$2:$S$400,MATCH($B$1,Languages!$B$1:$S$1,0),FALSE)</f>
        <v>House No. during laying period</v>
      </c>
    </row>
    <row r="17" spans="2:2" x14ac:dyDescent="0.2">
      <c r="B17" t="str">
        <f>VLOOKUP(Languages!B17,Languages!$B$2:$S$400,MATCH($B$1,Languages!$B$1:$S$1,0),FALSE)</f>
        <v>Country</v>
      </c>
    </row>
    <row r="18" spans="2:2" x14ac:dyDescent="0.2">
      <c r="B18" t="str">
        <f>VLOOKUP(Languages!B18,Languages!$B$2:$S$400,MATCH($B$1,Languages!$B$1:$S$1,0),FALSE)</f>
        <v>Currency</v>
      </c>
    </row>
    <row r="19" spans="2:2" x14ac:dyDescent="0.2">
      <c r="B19" t="str">
        <f>VLOOKUP(Languages!B19,Languages!$B$2:$S$400,MATCH($B$1,Languages!$B$1:$S$1,0),FALSE)</f>
        <v>Technical contact (e-mail)</v>
      </c>
    </row>
    <row r="20" spans="2:2" x14ac:dyDescent="0.2">
      <c r="B20" t="str">
        <f>VLOOKUP(Languages!B20,Languages!$B$2:$S$400,MATCH($B$1,Languages!$B$1:$S$1,0),FALSE)</f>
        <v>File name</v>
      </c>
    </row>
    <row r="21" spans="2:2" x14ac:dyDescent="0.2">
      <c r="B21" t="str">
        <f>VLOOKUP(Languages!B21,Languages!$B$2:$S$400,MATCH($B$1,Languages!$B$1:$S$1,0),FALSE)</f>
        <v>Please send your results to us by clicking on the following button.</v>
      </c>
    </row>
    <row r="22" spans="2:2" x14ac:dyDescent="0.2">
      <c r="B22">
        <f>VLOOKUP(Languages!B22,Languages!$B$2:$S$400,MATCH($B$1,Languages!$B$1:$S$1,0),FALSE)</f>
        <v>0</v>
      </c>
    </row>
    <row r="23" spans="2:2" x14ac:dyDescent="0.2">
      <c r="B23" t="str">
        <f>VLOOKUP(Languages!B23,Languages!$B$2:$S$400,MATCH($B$1,Languages!$B$1:$S$1,0),FALSE)</f>
        <v>Available sheets</v>
      </c>
    </row>
    <row r="24" spans="2:2" x14ac:dyDescent="0.2">
      <c r="B24" t="str">
        <f>VLOOKUP(Languages!B24,Languages!$B$2:$S$400,MATCH($B$1,Languages!$B$1:$S$1,0),FALSE)</f>
        <v>Input rearing</v>
      </c>
    </row>
    <row r="25" spans="2:2" x14ac:dyDescent="0.2">
      <c r="B25" t="str">
        <f>VLOOKUP(Languages!B25,Languages!$B$2:$S$400,MATCH($B$1,Languages!$B$1:$S$1,0),FALSE)</f>
        <v>Rearing graph</v>
      </c>
    </row>
    <row r="26" spans="2:2" x14ac:dyDescent="0.2">
      <c r="B26" t="str">
        <f>VLOOKUP(Languages!B26,Languages!$B$2:$S$400,MATCH($B$1,Languages!$B$1:$S$1,0),FALSE)</f>
        <v>Input Laying</v>
      </c>
    </row>
    <row r="27" spans="2:2" x14ac:dyDescent="0.2">
      <c r="B27" t="str">
        <f>VLOOKUP(Languages!B27,Languages!$B$2:$S$400,MATCH($B$1,Languages!$B$1:$S$1,0),FALSE)</f>
        <v>Laying graph</v>
      </c>
    </row>
    <row r="28" spans="2:2" x14ac:dyDescent="0.2">
      <c r="B28" t="str">
        <f>VLOOKUP(Languages!B28,Languages!$B$2:$S$400,MATCH($B$1,Languages!$B$1:$S$1,0),FALSE)</f>
        <v>Mass &amp; cons graph</v>
      </c>
    </row>
    <row r="29" spans="2:2" x14ac:dyDescent="0.2">
      <c r="B29" t="str">
        <f>VLOOKUP(Languages!B29,Languages!$B$2:$S$400,MATCH($B$1,Languages!$B$1:$S$1,0),FALSE)</f>
        <v>FCR graph</v>
      </c>
    </row>
    <row r="30" spans="2:2" x14ac:dyDescent="0.2">
      <c r="B30" t="str">
        <f>VLOOKUP(Languages!B30,Languages!$B$2:$S$400,MATCH($B$1,Languages!$B$1:$S$1,0),FALSE)</f>
        <v>Down grading graph</v>
      </c>
    </row>
    <row r="31" spans="2:2" x14ac:dyDescent="0.2">
      <c r="B31" t="str">
        <f>VLOOKUP(Languages!B31,Languages!$B$2:$S$400,MATCH($B$1,Languages!$B$1:$S$1,0),FALSE)</f>
        <v>Egg grading</v>
      </c>
    </row>
    <row r="32" spans="2:2" x14ac:dyDescent="0.2">
      <c r="B32" t="str">
        <f>VLOOKUP(Languages!B32,Languages!$B$2:$S$400,MATCH($B$1,Languages!$B$1:$S$1,0),FALSE)</f>
        <v>Egg grading distribution graph</v>
      </c>
    </row>
    <row r="33" spans="2:2" x14ac:dyDescent="0.2">
      <c r="B33" t="str">
        <f>VLOOKUP(Languages!B33,Languages!$B$2:$S$400,MATCH($B$1,Languages!$B$1:$S$1,0),FALSE)</f>
        <v>Egg grading cum</v>
      </c>
    </row>
    <row r="34" spans="2:2" x14ac:dyDescent="0.2">
      <c r="B34" t="str">
        <f>VLOOKUP(Languages!B34,Languages!$B$2:$S$400,MATCH($B$1,Languages!$B$1:$S$1,0),FALSE)</f>
        <v>Financial sheet</v>
      </c>
    </row>
    <row r="35" spans="2:2" x14ac:dyDescent="0.2">
      <c r="B35" t="str">
        <f>VLOOKUP(Languages!B35,Languages!$B$2:$S$400,MATCH($B$1,Languages!$B$1:$S$1,0),FALSE)</f>
        <v>Production data</v>
      </c>
    </row>
    <row r="36" spans="2:2" x14ac:dyDescent="0.2">
      <c r="B36" t="str">
        <f>VLOOKUP(Languages!B36,Languages!$B$2:$S$400,MATCH($B$1,Languages!$B$1:$S$1,0),FALSE)</f>
        <v>Summary</v>
      </c>
    </row>
    <row r="37" spans="2:2" x14ac:dyDescent="0.2">
      <c r="B37">
        <f>VLOOKUP(Languages!B37,Languages!$B$2:$S$400,MATCH($B$1,Languages!$B$1:$S$1,0),FALSE)</f>
        <v>0</v>
      </c>
    </row>
    <row r="38" spans="2:2" x14ac:dyDescent="0.2">
      <c r="B38" t="str">
        <f>VLOOKUP(Languages!B38,Languages!$B$2:$S$400,MATCH($B$1,Languages!$B$1:$S$1,0),FALSE)</f>
        <v>Content</v>
      </c>
    </row>
    <row r="39" spans="2:2" x14ac:dyDescent="0.2">
      <c r="B39" t="str">
        <f>VLOOKUP(Languages!B39,Languages!$B$2:$S$400,MATCH($B$1,Languages!$B$1:$S$1,0),FALSE)</f>
        <v>Daily and weekly mortality, body weight, consumptions and light programs.</v>
      </c>
    </row>
    <row r="40" spans="2:2" x14ac:dyDescent="0.2">
      <c r="B40" t="str">
        <f>VLOOKUP(Languages!B40,Languages!$B$2:$S$400,MATCH($B$1,Languages!$B$1:$S$1,0),FALSE)</f>
        <v>Mortality, feed consumption, body weight and uniformity</v>
      </c>
    </row>
    <row r="41" spans="2:2" x14ac:dyDescent="0.2">
      <c r="B41" t="str">
        <f>VLOOKUP(Languages!B41,Languages!$B$2:$S$400,MATCH($B$1,Languages!$B$1:$S$1,0),FALSE)</f>
        <v>Daily and weekly production, weekly egg and body weights, consumptions and feed price.</v>
      </c>
    </row>
    <row r="42" spans="2:2" x14ac:dyDescent="0.2">
      <c r="B42" t="str">
        <f>VLOOKUP(Languages!B42,Languages!$B$2:$S$400,MATCH($B$1,Languages!$B$1:$S$1,0),FALSE)</f>
        <v>Liveability, % lay, egg weight and body weight</v>
      </c>
    </row>
    <row r="43" spans="2:2" x14ac:dyDescent="0.2">
      <c r="B43" t="str">
        <f>VLOOKUP(Languages!B43,Languages!$B$2:$S$400,MATCH($B$1,Languages!$B$1:$S$1,0),FALSE)</f>
        <v>Egg mass, consumption and cum. egg no.</v>
      </c>
    </row>
    <row r="44" spans="2:2" x14ac:dyDescent="0.2">
      <c r="B44" t="str">
        <f>VLOOKUP(Languages!B44,Languages!$B$2:$S$400,MATCH($B$1,Languages!$B$1:$S$1,0),FALSE)</f>
        <v>Feed conversion ratio and feed conversion/egg</v>
      </c>
    </row>
    <row r="45" spans="2:2" x14ac:dyDescent="0.2">
      <c r="B45" t="str">
        <f>VLOOKUP(Languages!B45,Languages!$B$2:$S$400,MATCH($B$1,Languages!$B$1:$S$1,0),FALSE)</f>
        <v>Downgrading farm and packing station, weekly and cum.</v>
      </c>
    </row>
    <row r="46" spans="2:2" x14ac:dyDescent="0.2">
      <c r="B46" t="str">
        <f>VLOOKUP(Languages!B46,Languages!$B$2:$S$400,MATCH($B$1,Languages!$B$1:$S$1,0),FALSE)</f>
        <v>Egg weight distribution and number of eggs produced per grading</v>
      </c>
    </row>
    <row r="47" spans="2:2" x14ac:dyDescent="0.2">
      <c r="B47" t="str">
        <f>VLOOKUP(Languages!B47,Languages!$B$2:$S$400,MATCH($B$1,Languages!$B$1:$S$1,0),FALSE)</f>
        <v>% egg grading repartion.</v>
      </c>
    </row>
    <row r="48" spans="2:2" x14ac:dyDescent="0.2">
      <c r="B48" t="str">
        <f>VLOOKUP(Languages!B48,Languages!$B$2:$S$400,MATCH($B$1,Languages!$B$1:$S$1,0),FALSE)</f>
        <v>Quantity egg produced per grading</v>
      </c>
    </row>
    <row r="49" spans="1:2" x14ac:dyDescent="0.2">
      <c r="B49" t="str">
        <f>VLOOKUP(Languages!B49,Languages!$B$2:$S$400,MATCH($B$1,Languages!$B$1:$S$1,0),FALSE)</f>
        <v>Weekly feed cost in ton, kg, egg and bird.</v>
      </c>
    </row>
    <row r="50" spans="1:2" x14ac:dyDescent="0.2">
      <c r="B50" t="str">
        <f>VLOOKUP(Languages!B50,Languages!$B$2:$S$400,MATCH($B$1,Languages!$B$1:$S$1,0),FALSE)</f>
        <v>Production chart, overview of the flock performance every week</v>
      </c>
    </row>
    <row r="51" spans="1:2" x14ac:dyDescent="0.2">
      <c r="B51" t="str">
        <f>VLOOKUP(Languages!B51,Languages!$B$2:$S$400,MATCH($B$1,Languages!$B$1:$S$1,0),FALSE)</f>
        <v>Detailed overview of the flock performance during the laying period every 5 weeks</v>
      </c>
    </row>
    <row r="52" spans="1:2" x14ac:dyDescent="0.2">
      <c r="B52">
        <f>VLOOKUP(Languages!B52,Languages!$B$2:$S$400,MATCH($B$1,Languages!$B$1:$S$1,0),FALSE)</f>
        <v>0</v>
      </c>
    </row>
    <row r="53" spans="1:2" x14ac:dyDescent="0.2">
      <c r="B53" t="str">
        <f>VLOOKUP(Languages!B53,Languages!$B$2:$S$400,MATCH($B$1,Languages!$B$1:$S$1,0),FALSE)</f>
        <v>Year</v>
      </c>
    </row>
    <row r="54" spans="1:2" x14ac:dyDescent="0.2">
      <c r="B54" t="str">
        <f>VLOOKUP(Languages!B54,Languages!$B$2:$S$400,MATCH($B$1,Languages!$B$1:$S$1,0),FALSE)</f>
        <v>Month</v>
      </c>
    </row>
    <row r="55" spans="1:2" x14ac:dyDescent="0.2">
      <c r="B55" t="str">
        <f>VLOOKUP(Languages!B55,Languages!$B$2:$S$400,MATCH($B$1,Languages!$B$1:$S$1,0),FALSE)</f>
        <v>Date</v>
      </c>
    </row>
    <row r="56" spans="1:2" x14ac:dyDescent="0.2">
      <c r="B56" t="str">
        <f>VLOOKUP(Languages!B56,Languages!$B$2:$S$400,MATCH($B$1,Languages!$B$1:$S$1,0),FALSE)</f>
        <v>We would be very pleased to receive your results</v>
      </c>
    </row>
    <row r="57" spans="1:2" x14ac:dyDescent="0.2">
      <c r="B57" t="str">
        <f>VLOOKUP(Languages!B57,Languages!$B$2:$S$400,MATCH($B$1,Languages!$B$1:$S$1,0),FALSE)</f>
        <v>In order to create overviews of different breeds and compare their performances.</v>
      </c>
    </row>
    <row r="58" spans="1:2" x14ac:dyDescent="0.2">
      <c r="B58" t="str">
        <f>VLOOKUP(Languages!B58,Languages!$B$2:$S$400,MATCH($B$1,Languages!$B$1:$S$1,0),FALSE)</f>
        <v>The overviews will be available on OxyGen for all ISA employees</v>
      </c>
    </row>
    <row r="59" spans="1:2" x14ac:dyDescent="0.2">
      <c r="B59" t="str">
        <f>VLOOKUP(Languages!B59,Languages!$B$2:$S$400,MATCH($B$1,Languages!$B$1:$S$1,0),FALSE)</f>
        <v xml:space="preserve">Please send this document to: isa.technicalfieldresults@hendrix-genetics.com </v>
      </c>
    </row>
    <row r="60" spans="1:2" x14ac:dyDescent="0.2">
      <c r="B60" t="str">
        <f>VLOOKUP(Languages!B60,Languages!$B$2:$S$400,MATCH($B$1,Languages!$B$1:$S$1,0),FALSE)</f>
        <v>Version:</v>
      </c>
    </row>
    <row r="61" spans="1:2" x14ac:dyDescent="0.2">
      <c r="A61" t="s">
        <v>946</v>
      </c>
      <c r="B61" t="str">
        <f>VLOOKUP(Languages!B61,Languages!$B$2:$S$400,MATCH($B$1,Languages!$B$1:$S$1,0),FALSE)</f>
        <v>Rearing input</v>
      </c>
    </row>
    <row r="62" spans="1:2" x14ac:dyDescent="0.2">
      <c r="B62" t="str">
        <f>VLOOKUP(Languages!B62,Languages!$B$2:$S$400,MATCH($B$1,Languages!$B$1:$S$1,0),FALSE)</f>
        <v>Date</v>
      </c>
    </row>
    <row r="63" spans="1:2" x14ac:dyDescent="0.2">
      <c r="B63" t="str">
        <f>VLOOKUP(Languages!B63,Languages!$B$2:$S$400,MATCH($B$1,Languages!$B$1:$S$1,0),FALSE)</f>
        <v>Age</v>
      </c>
    </row>
    <row r="64" spans="1:2" x14ac:dyDescent="0.2">
      <c r="B64" t="str">
        <f>VLOOKUP(Languages!B64,Languages!$B$2:$S$400,MATCH($B$1,Languages!$B$1:$S$1,0),FALSE)</f>
        <v>Mortality</v>
      </c>
    </row>
    <row r="65" spans="2:2" x14ac:dyDescent="0.2">
      <c r="B65" t="str">
        <f>VLOOKUP(Languages!B65,Languages!$B$2:$S$400,MATCH($B$1,Languages!$B$1:$S$1,0),FALSE)</f>
        <v>Daily</v>
      </c>
    </row>
    <row r="66" spans="2:2" x14ac:dyDescent="0.2">
      <c r="B66" t="str">
        <f>VLOOKUP(Languages!B66,Languages!$B$2:$S$400,MATCH($B$1,Languages!$B$1:$S$1,0),FALSE)</f>
        <v>Weekly</v>
      </c>
    </row>
    <row r="67" spans="2:2" x14ac:dyDescent="0.2">
      <c r="B67" t="str">
        <f>VLOOKUP(Languages!B67,Languages!$B$2:$S$400,MATCH($B$1,Languages!$B$1:$S$1,0),FALSE)</f>
        <v>Cum.</v>
      </c>
    </row>
    <row r="68" spans="2:2" x14ac:dyDescent="0.2">
      <c r="B68" t="str">
        <f>VLOOKUP(Languages!B68,Languages!$B$2:$S$400,MATCH($B$1,Languages!$B$1:$S$1,0),FALSE)</f>
        <v>Transfer</v>
      </c>
    </row>
    <row r="69" spans="2:2" x14ac:dyDescent="0.2">
      <c r="B69" t="str">
        <f>VLOOKUP(Languages!B69,Languages!$B$2:$S$400,MATCH($B$1,Languages!$B$1:$S$1,0),FALSE)</f>
        <v>Mortality %</v>
      </c>
    </row>
    <row r="70" spans="2:2" x14ac:dyDescent="0.2">
      <c r="B70" t="str">
        <f>VLOOKUP(Languages!B70,Languages!$B$2:$S$400,MATCH($B$1,Languages!$B$1:$S$1,0),FALSE)</f>
        <v>Number of birds end of period</v>
      </c>
    </row>
    <row r="71" spans="2:2" x14ac:dyDescent="0.2">
      <c r="B71" t="str">
        <f>VLOOKUP(Languages!B71,Languages!$B$2:$S$400,MATCH($B$1,Languages!$B$1:$S$1,0),FALSE)</f>
        <v>Body weight</v>
      </c>
    </row>
    <row r="72" spans="2:2" x14ac:dyDescent="0.2">
      <c r="B72" t="str">
        <f>VLOOKUP(Languages!B72,Languages!$B$2:$S$400,MATCH($B$1,Languages!$B$1:$S$1,0),FALSE)</f>
        <v>Actual (g)</v>
      </c>
    </row>
    <row r="73" spans="2:2" x14ac:dyDescent="0.2">
      <c r="B73" t="str">
        <f>VLOOKUP(Languages!B73,Languages!$B$2:$S$400,MATCH($B$1,Languages!$B$1:$S$1,0),FALSE)</f>
        <v>Unif. %</v>
      </c>
    </row>
    <row r="74" spans="2:2" x14ac:dyDescent="0.2">
      <c r="B74" t="str">
        <f>VLOOKUP(Languages!B74,Languages!$B$2:$S$400,MATCH($B$1,Languages!$B$1:$S$1,0),FALSE)</f>
        <v>Standard</v>
      </c>
    </row>
    <row r="75" spans="2:2" x14ac:dyDescent="0.2">
      <c r="B75" t="str">
        <f>VLOOKUP(Languages!B75,Languages!$B$2:$S$400,MATCH($B$1,Languages!$B$1:$S$1,0),FALSE)</f>
        <v>Min</v>
      </c>
    </row>
    <row r="76" spans="2:2" x14ac:dyDescent="0.2">
      <c r="B76" t="str">
        <f>VLOOKUP(Languages!B76,Languages!$B$2:$S$400,MATCH($B$1,Languages!$B$1:$S$1,0),FALSE)</f>
        <v>Max</v>
      </c>
    </row>
    <row r="77" spans="2:2" x14ac:dyDescent="0.2">
      <c r="B77" t="str">
        <f>VLOOKUP(Languages!B77,Languages!$B$2:$S$400,MATCH($B$1,Languages!$B$1:$S$1,0),FALSE)</f>
        <v>Total feed intake (kg)</v>
      </c>
    </row>
    <row r="78" spans="2:2" x14ac:dyDescent="0.2">
      <c r="B78" t="str">
        <f>VLOOKUP(Languages!B78,Languages!$B$2:$S$400,MATCH($B$1,Languages!$B$1:$S$1,0),FALSE)</f>
        <v>Cum. Feed intake (kg)</v>
      </c>
    </row>
    <row r="79" spans="2:2" x14ac:dyDescent="0.2">
      <c r="B79" t="str">
        <f>VLOOKUP(Languages!B79,Languages!$B$2:$S$400,MATCH($B$1,Languages!$B$1:$S$1,0),FALSE)</f>
        <v>Daily feed cons per bird (g)</v>
      </c>
    </row>
    <row r="80" spans="2:2" x14ac:dyDescent="0.2">
      <c r="B80" t="str">
        <f>VLOOKUP(Languages!B80,Languages!$B$2:$S$400,MATCH($B$1,Languages!$B$1:$S$1,0),FALSE)</f>
        <v>Cum. Feed cons per bird (g)</v>
      </c>
    </row>
    <row r="81" spans="2:2" x14ac:dyDescent="0.2">
      <c r="B81" t="str">
        <f>VLOOKUP(Languages!B81,Languages!$B$2:$S$400,MATCH($B$1,Languages!$B$1:$S$1,0),FALSE)</f>
        <v>Lighting</v>
      </c>
    </row>
    <row r="82" spans="2:2" x14ac:dyDescent="0.2">
      <c r="B82" t="str">
        <f>VLOOKUP(Languages!B82,Languages!$B$2:$S$400,MATCH($B$1,Languages!$B$1:$S$1,0),FALSE)</f>
        <v>Light duration in hrs</v>
      </c>
    </row>
    <row r="83" spans="2:2" x14ac:dyDescent="0.2">
      <c r="B83" t="str">
        <f>VLOOKUP(Languages!B83,Languages!$B$2:$S$400,MATCH($B$1,Languages!$B$1:$S$1,0),FALSE)</f>
        <v>Light on at</v>
      </c>
    </row>
    <row r="84" spans="2:2" x14ac:dyDescent="0.2">
      <c r="B84" t="str">
        <f>VLOOKUP(Languages!B84,Languages!$B$2:$S$400,MATCH($B$1,Languages!$B$1:$S$1,0),FALSE)</f>
        <v>Vaccination or Operations</v>
      </c>
    </row>
    <row r="85" spans="2:2" x14ac:dyDescent="0.2">
      <c r="B85">
        <f>VLOOKUP(Languages!B85,Languages!$B$2:$S$400,MATCH($B$1,Languages!$B$1:$S$1,0),FALSE)</f>
        <v>0</v>
      </c>
    </row>
    <row r="86" spans="2:2" x14ac:dyDescent="0.2">
      <c r="B86" t="str">
        <f>VLOOKUP(Languages!B86,Languages!$B$2:$S$400,MATCH($B$1,Languages!$B$1:$S$1,0),FALSE)</f>
        <v>Rearing farm name</v>
      </c>
    </row>
    <row r="87" spans="2:2" x14ac:dyDescent="0.2">
      <c r="B87" t="str">
        <f>VLOOKUP(Languages!B87,Languages!$B$2:$S$400,MATCH($B$1,Languages!$B$1:$S$1,0),FALSE)</f>
        <v>Number of day old chickens</v>
      </c>
    </row>
    <row r="88" spans="2:2" x14ac:dyDescent="0.2">
      <c r="B88" t="str">
        <f>VLOOKUP(Languages!B88,Languages!$B$2:$S$400,MATCH($B$1,Languages!$B$1:$S$1,0),FALSE)</f>
        <v>Housing system</v>
      </c>
    </row>
    <row r="89" spans="2:2" x14ac:dyDescent="0.2">
      <c r="B89" t="str">
        <f>VLOOKUP(Languages!B89,Languages!$B$2:$S$400,MATCH($B$1,Languages!$B$1:$S$1,0),FALSE)</f>
        <v>Flock no. :</v>
      </c>
    </row>
    <row r="90" spans="2:2" x14ac:dyDescent="0.2">
      <c r="B90" t="str">
        <f>VLOOKUP(Languages!B90,Languages!$B$2:$S$400,MATCH($B$1,Languages!$B$1:$S$1,0),FALSE)</f>
        <v>House no.</v>
      </c>
    </row>
    <row r="91" spans="2:2" x14ac:dyDescent="0.2">
      <c r="B91" t="str">
        <f>VLOOKUP(Languages!B91,Languages!$B$2:$S$400,MATCH($B$1,Languages!$B$1:$S$1,0),FALSE)</f>
        <v>Transfer date (dd/mm/yyyy)</v>
      </c>
    </row>
    <row r="92" spans="2:2" x14ac:dyDescent="0.2">
      <c r="B92" t="str">
        <f>VLOOKUP(Languages!B92,Languages!$B$2:$S$400,MATCH($B$1,Languages!$B$1:$S$1,0),FALSE)</f>
        <v>Age at transfer</v>
      </c>
    </row>
    <row r="93" spans="2:2" x14ac:dyDescent="0.2">
      <c r="B93" t="str">
        <f>VLOOKUP(Languages!B93,Languages!$B$2:$S$400,MATCH($B$1,Languages!$B$1:$S$1,0),FALSE)</f>
        <v>Weeks</v>
      </c>
    </row>
    <row r="94" spans="2:2" x14ac:dyDescent="0.2">
      <c r="B94" t="str">
        <f>VLOOKUP(Languages!B94,Languages!$B$2:$S$400,MATCH($B$1,Languages!$B$1:$S$1,0),FALSE)</f>
        <v>Days</v>
      </c>
    </row>
    <row r="95" spans="2:2" x14ac:dyDescent="0.2">
      <c r="B95" t="str">
        <f>VLOOKUP(Languages!B95,Languages!$B$2:$S$400,MATCH($B$1,Languages!$B$1:$S$1,0),FALSE)</f>
        <v>No. of pullets transferred</v>
      </c>
    </row>
    <row r="96" spans="2:2" x14ac:dyDescent="0.2">
      <c r="B96" t="str">
        <f>VLOOKUP(Languages!B96,Languages!$B$2:$S$400,MATCH($B$1,Languages!$B$1:$S$1,0),FALSE)</f>
        <v>Water Cons in Ltrs</v>
      </c>
    </row>
    <row r="97" spans="1:2" x14ac:dyDescent="0.2">
      <c r="B97" t="str">
        <f>VLOOKUP(Languages!B97,Languages!$B$2:$S$400,MATCH($B$1,Languages!$B$1:$S$1,0),FALSE)</f>
        <v>Consumptions</v>
      </c>
    </row>
    <row r="98" spans="1:2" x14ac:dyDescent="0.2">
      <c r="B98" t="str">
        <f>VLOOKUP(Languages!B98,Languages!$B$2:$S$400,MATCH($B$1,Languages!$B$1:$S$1,0),FALSE)</f>
        <v>Water Cons ml/d/bird</v>
      </c>
    </row>
    <row r="99" spans="1:2" x14ac:dyDescent="0.2">
      <c r="B99" t="str">
        <f>VLOOKUP(Languages!B99,Languages!$B$2:$S$400,MATCH($B$1,Languages!$B$1:$S$1,0),FALSE)</f>
        <v>Water/feed ratio</v>
      </c>
    </row>
    <row r="100" spans="1:2" x14ac:dyDescent="0.2">
      <c r="A100" t="s">
        <v>952</v>
      </c>
      <c r="B100" t="str">
        <f>VLOOKUP(Languages!B100,Languages!$B$2:$S$400,MATCH($B$1,Languages!$B$1:$S$1,0),FALSE)</f>
        <v>Laying input</v>
      </c>
    </row>
    <row r="101" spans="1:2" x14ac:dyDescent="0.2">
      <c r="B101" t="str">
        <f>VLOOKUP(Languages!B101,Languages!$B$2:$S$400,MATCH($B$1,Languages!$B$1:$S$1,0),FALSE)</f>
        <v>Farm name:</v>
      </c>
    </row>
    <row r="102" spans="1:2" x14ac:dyDescent="0.2">
      <c r="B102" t="str">
        <f>VLOOKUP(Languages!B102,Languages!$B$2:$S$400,MATCH($B$1,Languages!$B$1:$S$1,0),FALSE)</f>
        <v>House no. :</v>
      </c>
    </row>
    <row r="103" spans="1:2" x14ac:dyDescent="0.2">
      <c r="B103" t="str">
        <f>VLOOKUP(Languages!B103,Languages!$B$2:$S$400,MATCH($B$1,Languages!$B$1:$S$1,0),FALSE)</f>
        <v>Hatch date:</v>
      </c>
    </row>
    <row r="104" spans="1:2" x14ac:dyDescent="0.2">
      <c r="B104" t="str">
        <f>VLOOKUP(Languages!B104,Languages!$B$2:$S$400,MATCH($B$1,Languages!$B$1:$S$1,0),FALSE)</f>
        <v>Date at 18 weeks old :</v>
      </c>
    </row>
    <row r="105" spans="1:2" x14ac:dyDescent="0.2">
      <c r="B105" t="str">
        <f>VLOOKUP(Languages!B105,Languages!$B$2:$S$400,MATCH($B$1,Languages!$B$1:$S$1,0),FALSE)</f>
        <v xml:space="preserve">Transfer date: </v>
      </c>
    </row>
    <row r="106" spans="1:2" x14ac:dyDescent="0.2">
      <c r="B106" t="str">
        <f>VLOOKUP(Languages!B106,Languages!$B$2:$S$400,MATCH($B$1,Languages!$B$1:$S$1,0),FALSE)</f>
        <v>Number of laying birds housed:</v>
      </c>
    </row>
    <row r="107" spans="1:2" x14ac:dyDescent="0.2">
      <c r="B107">
        <f>VLOOKUP(Languages!B107,Languages!$B$2:$S$400,MATCH($B$1,Languages!$B$1:$S$1,0),FALSE)</f>
        <v>0</v>
      </c>
    </row>
    <row r="108" spans="1:2" x14ac:dyDescent="0.2">
      <c r="B108" t="str">
        <f>VLOOKUP(Languages!B108,Languages!$B$2:$S$400,MATCH($B$1,Languages!$B$1:$S$1,0),FALSE)</f>
        <v>Date beginning of the week</v>
      </c>
    </row>
    <row r="109" spans="1:2" x14ac:dyDescent="0.2">
      <c r="B109" t="str">
        <f>VLOOKUP(Languages!B109,Languages!$B$2:$S$400,MATCH($B$1,Languages!$B$1:$S$1,0),FALSE)</f>
        <v>Age in weeks</v>
      </c>
    </row>
    <row r="110" spans="1:2" x14ac:dyDescent="0.2">
      <c r="B110" t="str">
        <f>VLOOKUP(Languages!B110,Languages!$B$2:$S$400,MATCH($B$1,Languages!$B$1:$S$1,0),FALSE)</f>
        <v>No. of birds end of week</v>
      </c>
    </row>
    <row r="111" spans="1:2" x14ac:dyDescent="0.2">
      <c r="B111" t="str">
        <f>VLOOKUP(Languages!B111,Languages!$B$2:$S$400,MATCH($B$1,Languages!$B$1:$S$1,0),FALSE)</f>
        <v>Weekly mortality No. of birds</v>
      </c>
    </row>
    <row r="112" spans="1:2" x14ac:dyDescent="0.2">
      <c r="B112">
        <f>VLOOKUP(Languages!B112,Languages!$B$2:$S$400,MATCH($B$1,Languages!$B$1:$S$1,0),FALSE)</f>
        <v>0</v>
      </c>
    </row>
    <row r="113" spans="2:2" x14ac:dyDescent="0.2">
      <c r="B113" t="str">
        <f>VLOOKUP(Languages!B113,Languages!$B$2:$S$400,MATCH($B$1,Languages!$B$1:$S$1,0),FALSE)</f>
        <v>Egg production per day OR per week</v>
      </c>
    </row>
    <row r="114" spans="2:2" x14ac:dyDescent="0.2">
      <c r="B114" t="str">
        <f>VLOOKUP(Languages!B114,Languages!$B$2:$S$400,MATCH($B$1,Languages!$B$1:$S$1,0),FALSE)</f>
        <v>Day of the week</v>
      </c>
    </row>
    <row r="115" spans="2:2" x14ac:dyDescent="0.2">
      <c r="B115" t="str">
        <f>VLOOKUP(Languages!B115,Languages!$B$2:$S$400,MATCH($B$1,Languages!$B$1:$S$1,0),FALSE)</f>
        <v>Mon.</v>
      </c>
    </row>
    <row r="116" spans="2:2" x14ac:dyDescent="0.2">
      <c r="B116" t="str">
        <f>VLOOKUP(Languages!B116,Languages!$B$2:$S$400,MATCH($B$1,Languages!$B$1:$S$1,0),FALSE)</f>
        <v>Tue.</v>
      </c>
    </row>
    <row r="117" spans="2:2" x14ac:dyDescent="0.2">
      <c r="B117" t="str">
        <f>VLOOKUP(Languages!B117,Languages!$B$2:$S$400,MATCH($B$1,Languages!$B$1:$S$1,0),FALSE)</f>
        <v>Wed.</v>
      </c>
    </row>
    <row r="118" spans="2:2" x14ac:dyDescent="0.2">
      <c r="B118" t="str">
        <f>VLOOKUP(Languages!B118,Languages!$B$2:$S$400,MATCH($B$1,Languages!$B$1:$S$1,0),FALSE)</f>
        <v>Thu.</v>
      </c>
    </row>
    <row r="119" spans="2:2" x14ac:dyDescent="0.2">
      <c r="B119" t="str">
        <f>VLOOKUP(Languages!B119,Languages!$B$2:$S$400,MATCH($B$1,Languages!$B$1:$S$1,0),FALSE)</f>
        <v>Fri.</v>
      </c>
    </row>
    <row r="120" spans="2:2" x14ac:dyDescent="0.2">
      <c r="B120" t="str">
        <f>VLOOKUP(Languages!B120,Languages!$B$2:$S$400,MATCH($B$1,Languages!$B$1:$S$1,0),FALSE)</f>
        <v>Sat.</v>
      </c>
    </row>
    <row r="121" spans="2:2" x14ac:dyDescent="0.2">
      <c r="B121" t="str">
        <f>VLOOKUP(Languages!B121,Languages!$B$2:$S$400,MATCH($B$1,Languages!$B$1:$S$1,0),FALSE)</f>
        <v>Sun.</v>
      </c>
    </row>
    <row r="122" spans="2:2" x14ac:dyDescent="0.2">
      <c r="B122" t="str">
        <f>VLOOKUP(Languages!B122,Languages!$B$2:$S$400,MATCH($B$1,Languages!$B$1:$S$1,0),FALSE)</f>
        <v>Or per week</v>
      </c>
    </row>
    <row r="123" spans="2:2" x14ac:dyDescent="0.2">
      <c r="B123" t="str">
        <f>VLOOKUP(Languages!B123,Languages!$B$2:$S$400,MATCH($B$1,Languages!$B$1:$S$1,0),FALSE)</f>
        <v>Weekly egg prod.</v>
      </c>
    </row>
    <row r="124" spans="2:2" x14ac:dyDescent="0.2">
      <c r="B124" t="str">
        <f>VLOOKUP(Languages!B124,Languages!$B$2:$S$400,MATCH($B$1,Languages!$B$1:$S$1,0),FALSE)</f>
        <v>Cum. Egg Prod.</v>
      </c>
    </row>
    <row r="125" spans="2:2" x14ac:dyDescent="0.2">
      <c r="B125" t="str">
        <f>VLOOKUP(Languages!B125,Languages!$B$2:$S$400,MATCH($B$1,Languages!$B$1:$S$1,0),FALSE)</f>
        <v>Seconds</v>
      </c>
    </row>
    <row r="126" spans="2:2" x14ac:dyDescent="0.2">
      <c r="B126" t="str">
        <f>VLOOKUP(Languages!B126,Languages!$B$2:$S$400,MATCH($B$1,Languages!$B$1:$S$1,0),FALSE)</f>
        <v>Weekly</v>
      </c>
    </row>
    <row r="127" spans="2:2" x14ac:dyDescent="0.2">
      <c r="B127" t="str">
        <f>VLOOKUP(Languages!B127,Languages!$B$2:$S$400,MATCH($B$1,Languages!$B$1:$S$1,0),FALSE)</f>
        <v>Farm</v>
      </c>
    </row>
    <row r="128" spans="2:2" x14ac:dyDescent="0.2">
      <c r="B128" t="str">
        <f>VLOOKUP(Languages!B128,Languages!$B$2:$S$400,MATCH($B$1,Languages!$B$1:$S$1,0),FALSE)</f>
        <v>Packing station</v>
      </c>
    </row>
    <row r="129" spans="2:2" x14ac:dyDescent="0.2">
      <c r="B129" t="str">
        <f>VLOOKUP(Languages!B129,Languages!$B$2:$S$400,MATCH($B$1,Languages!$B$1:$S$1,0),FALSE)</f>
        <v>Cum. Number</v>
      </c>
    </row>
    <row r="130" spans="2:2" x14ac:dyDescent="0.2">
      <c r="B130" t="str">
        <f>VLOOKUP(Languages!B130,Languages!$B$2:$S$400,MATCH($B$1,Languages!$B$1:$S$1,0),FALSE)</f>
        <v>Week</v>
      </c>
    </row>
    <row r="131" spans="2:2" x14ac:dyDescent="0.2">
      <c r="B131" t="str">
        <f>VLOOKUP(Languages!B131,Languages!$B$2:$S$400,MATCH($B$1,Languages!$B$1:$S$1,0),FALSE)</f>
        <v>Cum.</v>
      </c>
    </row>
    <row r="132" spans="2:2" x14ac:dyDescent="0.2">
      <c r="B132" t="str">
        <f>VLOOKUP(Languages!B132,Languages!$B$2:$S$400,MATCH($B$1,Languages!$B$1:$S$1,0),FALSE)</f>
        <v>Egg weight (g)</v>
      </c>
    </row>
    <row r="133" spans="2:2" x14ac:dyDescent="0.2">
      <c r="B133" t="str">
        <f>VLOOKUP(Languages!B133,Languages!$B$2:$S$400,MATCH($B$1,Languages!$B$1:$S$1,0),FALSE)</f>
        <v>Consumptions</v>
      </c>
    </row>
    <row r="134" spans="2:2" x14ac:dyDescent="0.2">
      <c r="B134" t="str">
        <f>VLOOKUP(Languages!B134,Languages!$B$2:$S$400,MATCH($B$1,Languages!$B$1:$S$1,0),FALSE)</f>
        <v>Water</v>
      </c>
    </row>
    <row r="135" spans="2:2" x14ac:dyDescent="0.2">
      <c r="B135" t="str">
        <f>VLOOKUP(Languages!B135,Languages!$B$2:$S$400,MATCH($B$1,Languages!$B$1:$S$1,0),FALSE)</f>
        <v>Water cons in Ltrs.</v>
      </c>
    </row>
    <row r="136" spans="2:2" x14ac:dyDescent="0.2">
      <c r="B136" t="str">
        <f>VLOOKUP(Languages!B136,Languages!$B$2:$S$400,MATCH($B$1,Languages!$B$1:$S$1,0),FALSE)</f>
        <v>Water cons ml/d/bird</v>
      </c>
    </row>
    <row r="137" spans="2:2" x14ac:dyDescent="0.2">
      <c r="B137" t="str">
        <f>VLOOKUP(Languages!B137,Languages!$B$2:$S$400,MATCH($B$1,Languages!$B$1:$S$1,0),FALSE)</f>
        <v>Water/feed ratio</v>
      </c>
    </row>
    <row r="138" spans="2:2" x14ac:dyDescent="0.2">
      <c r="B138" t="str">
        <f>VLOOKUP(Languages!B138,Languages!$B$2:$S$400,MATCH($B$1,Languages!$B$1:$S$1,0),FALSE)</f>
        <v>Feed</v>
      </c>
    </row>
    <row r="139" spans="2:2" x14ac:dyDescent="0.2">
      <c r="B139" t="str">
        <f>VLOOKUP(Languages!B139,Languages!$B$2:$S$400,MATCH($B$1,Languages!$B$1:$S$1,0),FALSE)</f>
        <v>Price per ton</v>
      </c>
    </row>
    <row r="140" spans="2:2" x14ac:dyDescent="0.2">
      <c r="B140" t="str">
        <f>VLOOKUP(Languages!B140,Languages!$B$2:$S$400,MATCH($B$1,Languages!$B$1:$S$1,0),FALSE)</f>
        <v>Intake in kg</v>
      </c>
    </row>
    <row r="141" spans="2:2" x14ac:dyDescent="0.2">
      <c r="B141" t="str">
        <f>VLOOKUP(Languages!B141,Languages!$B$2:$S$400,MATCH($B$1,Languages!$B$1:$S$1,0),FALSE)</f>
        <v>Stock End of week</v>
      </c>
    </row>
    <row r="142" spans="2:2" x14ac:dyDescent="0.2">
      <c r="B142" t="str">
        <f>VLOOKUP(Languages!B142,Languages!$B$2:$S$400,MATCH($B$1,Languages!$B$1:$S$1,0),FALSE)</f>
        <v>Cum.</v>
      </c>
    </row>
    <row r="143" spans="2:2" x14ac:dyDescent="0.2">
      <c r="B143" t="str">
        <f>VLOOKUP(Languages!B143,Languages!$B$2:$S$400,MATCH($B$1,Languages!$B$1:$S$1,0),FALSE)</f>
        <v>Body Weight (g)</v>
      </c>
    </row>
    <row r="144" spans="2:2" x14ac:dyDescent="0.2">
      <c r="B144" t="str">
        <f>VLOOKUP(Languages!B144,Languages!$B$2:$S$400,MATCH($B$1,Languages!$B$1:$S$1,0),FALSE)</f>
        <v>Uniformity %</v>
      </c>
    </row>
    <row r="145" spans="1:2" x14ac:dyDescent="0.2">
      <c r="B145" t="str">
        <f>VLOOKUP(Languages!B145,Languages!$B$2:$S$400,MATCH($B$1,Languages!$B$1:$S$1,0),FALSE)</f>
        <v>Weekly average</v>
      </c>
    </row>
    <row r="146" spans="1:2" x14ac:dyDescent="0.2">
      <c r="B146" t="str">
        <f>VLOOKUP(Languages!B146,Languages!$B$2:$S$400,MATCH($B$1,Languages!$B$1:$S$1,0),FALSE)</f>
        <v>Comments</v>
      </c>
    </row>
    <row r="147" spans="1:2" x14ac:dyDescent="0.2">
      <c r="A147" t="s">
        <v>953</v>
      </c>
      <c r="B147" t="str">
        <f>VLOOKUP(Languages!B147,Languages!$B$2:$S$400,MATCH($B$1,Languages!$B$1:$S$1,0),FALSE)</f>
        <v>Egg grading input</v>
      </c>
    </row>
    <row r="148" spans="1:2" x14ac:dyDescent="0.2">
      <c r="B148" t="str">
        <f>VLOOKUP(Languages!B148,Languages!$B$2:$S$400,MATCH($B$1,Languages!$B$1:$S$1,0),FALSE)</f>
        <v>Egg weight distribution</v>
      </c>
    </row>
    <row r="149" spans="1:2" x14ac:dyDescent="0.2">
      <c r="B149" t="str">
        <f>VLOOKUP(Languages!B149,Languages!$B$2:$S$400,MATCH($B$1,Languages!$B$1:$S$1,0),FALSE)</f>
        <v>S</v>
      </c>
    </row>
    <row r="150" spans="1:2" x14ac:dyDescent="0.2">
      <c r="B150" t="str">
        <f>VLOOKUP(Languages!B150,Languages!$B$2:$S$400,MATCH($B$1,Languages!$B$1:$S$1,0),FALSE)</f>
        <v>M</v>
      </c>
    </row>
    <row r="151" spans="1:2" x14ac:dyDescent="0.2">
      <c r="B151" t="str">
        <f>VLOOKUP(Languages!B151,Languages!$B$2:$S$400,MATCH($B$1,Languages!$B$1:$S$1,0),FALSE)</f>
        <v>L</v>
      </c>
    </row>
    <row r="152" spans="1:2" x14ac:dyDescent="0.2">
      <c r="B152" t="str">
        <f>VLOOKUP(Languages!B152,Languages!$B$2:$S$400,MATCH($B$1,Languages!$B$1:$S$1,0),FALSE)</f>
        <v>XL</v>
      </c>
    </row>
    <row r="153" spans="1:2" x14ac:dyDescent="0.2">
      <c r="B153" t="str">
        <f>VLOOKUP(Languages!B153,Languages!$B$2:$S$400,MATCH($B$1,Languages!$B$1:$S$1,0),FALSE)</f>
        <v>max.</v>
      </c>
    </row>
    <row r="154" spans="1:2" x14ac:dyDescent="0.2">
      <c r="B154" t="str">
        <f>VLOOKUP(Languages!B154,Languages!$B$2:$S$400,MATCH($B$1,Languages!$B$1:$S$1,0),FALSE)</f>
        <v>Table of egg weight distribution</v>
      </c>
    </row>
    <row r="155" spans="1:2" x14ac:dyDescent="0.2">
      <c r="B155" t="str">
        <f>VLOOKUP(Languages!B155,Languages!$B$2:$S$400,MATCH($B$1,Languages!$B$1:$S$1,0),FALSE)</f>
        <v>Age</v>
      </c>
    </row>
    <row r="156" spans="1:2" x14ac:dyDescent="0.2">
      <c r="B156" t="str">
        <f>VLOOKUP(Languages!B156,Languages!$B$2:$S$400,MATCH($B$1,Languages!$B$1:$S$1,0),FALSE)</f>
        <v>Average weight week</v>
      </c>
    </row>
    <row r="157" spans="1:2" x14ac:dyDescent="0.2">
      <c r="B157" t="str">
        <f>VLOOKUP(Languages!B157,Languages!$B$2:$S$400,MATCH($B$1,Languages!$B$1:$S$1,0),FALSE)</f>
        <v>Standard</v>
      </c>
    </row>
    <row r="158" spans="1:2" x14ac:dyDescent="0.2">
      <c r="B158" t="str">
        <f>VLOOKUP(Languages!B158,Languages!$B$2:$S$400,MATCH($B$1,Languages!$B$1:$S$1,0),FALSE)</f>
        <v>Current average weight</v>
      </c>
    </row>
    <row r="159" spans="1:2" x14ac:dyDescent="0.2">
      <c r="B159" t="str">
        <f>VLOOKUP(Languages!B159,Languages!$B$2:$S$400,MATCH($B$1,Languages!$B$1:$S$1,0),FALSE)</f>
        <v>Percentage grade</v>
      </c>
    </row>
    <row r="160" spans="1:2" x14ac:dyDescent="0.2">
      <c r="B160">
        <f>VLOOKUP(Languages!B160,Languages!$B$2:$S$400,MATCH($B$1,Languages!$B$1:$S$1,0),FALSE)</f>
        <v>0</v>
      </c>
    </row>
    <row r="161" spans="1:2" x14ac:dyDescent="0.2">
      <c r="B161" t="str">
        <f>VLOOKUP(Languages!B161,Languages!$B$2:$S$400,MATCH($B$1,Languages!$B$1:$S$1,0),FALSE)</f>
        <v>Table of egg weight distribution in volume per grade</v>
      </c>
    </row>
    <row r="162" spans="1:2" x14ac:dyDescent="0.2">
      <c r="B162" t="str">
        <f>VLOOKUP(Languages!B162,Languages!$B$2:$S$400,MATCH($B$1,Languages!$B$1:$S$1,0),FALSE)</f>
        <v>Week of the year</v>
      </c>
    </row>
    <row r="163" spans="1:2" x14ac:dyDescent="0.2">
      <c r="B163" t="str">
        <f>VLOOKUP(Languages!B163,Languages!$B$2:$S$400,MATCH($B$1,Languages!$B$1:$S$1,0),FALSE)</f>
        <v>Age</v>
      </c>
    </row>
    <row r="164" spans="1:2" x14ac:dyDescent="0.2">
      <c r="B164" t="str">
        <f>VLOOKUP(Languages!B164,Languages!$B$2:$S$400,MATCH($B$1,Languages!$B$1:$S$1,0),FALSE)</f>
        <v>Weekly produced eggs</v>
      </c>
    </row>
    <row r="165" spans="1:2" x14ac:dyDescent="0.2">
      <c r="B165" t="str">
        <f>VLOOKUP(Languages!B165,Languages!$B$2:$S$400,MATCH($B$1,Languages!$B$1:$S$1,0),FALSE)</f>
        <v>Eggs repartition per grading</v>
      </c>
    </row>
    <row r="166" spans="1:2" x14ac:dyDescent="0.2">
      <c r="B166" t="str">
        <f>VLOOKUP(Languages!B166,Languages!$B$2:$S$400,MATCH($B$1,Languages!$B$1:$S$1,0),FALSE)</f>
        <v>Average weight distribution over the whole production (%)</v>
      </c>
    </row>
    <row r="167" spans="1:2" x14ac:dyDescent="0.2">
      <c r="B167" t="str">
        <f>VLOOKUP(Languages!B167,Languages!$B$2:$S$400,MATCH($B$1,Languages!$B$1:$S$1,0),FALSE)</f>
        <v>Cumulative No's of eggs produced</v>
      </c>
    </row>
    <row r="168" spans="1:2" x14ac:dyDescent="0.2">
      <c r="A168" t="s">
        <v>954</v>
      </c>
      <c r="B168" t="str">
        <f>VLOOKUP(Languages!B168,Languages!$B$2:$S$400,MATCH($B$1,Languages!$B$1:$S$1,0),FALSE)</f>
        <v>Production costs</v>
      </c>
    </row>
    <row r="169" spans="1:2" x14ac:dyDescent="0.2">
      <c r="B169" t="str">
        <f>VLOOKUP(Languages!B169,Languages!$B$2:$S$400,MATCH($B$1,Languages!$B$1:$S$1,0),FALSE)</f>
        <v>Date</v>
      </c>
    </row>
    <row r="170" spans="1:2" x14ac:dyDescent="0.2">
      <c r="B170" t="str">
        <f>VLOOKUP(Languages!B170,Languages!$B$2:$S$400,MATCH($B$1,Languages!$B$1:$S$1,0),FALSE)</f>
        <v>Age in weeks</v>
      </c>
    </row>
    <row r="171" spans="1:2" x14ac:dyDescent="0.2">
      <c r="B171" t="str">
        <f>VLOOKUP(Languages!B171,Languages!$B$2:$S$400,MATCH($B$1,Languages!$B$1:$S$1,0),FALSE)</f>
        <v>Feed consumption</v>
      </c>
    </row>
    <row r="172" spans="1:2" x14ac:dyDescent="0.2">
      <c r="B172" t="str">
        <f>VLOOKUP(Languages!B172,Languages!$B$2:$S$400,MATCH($B$1,Languages!$B$1:$S$1,0),FALSE)</f>
        <v>Weekly (kg)</v>
      </c>
    </row>
    <row r="173" spans="1:2" x14ac:dyDescent="0.2">
      <c r="B173" t="str">
        <f>VLOOKUP(Languages!B173,Languages!$B$2:$S$400,MATCH($B$1,Languages!$B$1:$S$1,0),FALSE)</f>
        <v>Cum (kg)</v>
      </c>
    </row>
    <row r="174" spans="1:2" x14ac:dyDescent="0.2">
      <c r="B174" t="str">
        <f>VLOOKUP(Languages!B174,Languages!$B$2:$S$400,MATCH($B$1,Languages!$B$1:$S$1,0),FALSE)</f>
        <v>Feed price</v>
      </c>
    </row>
    <row r="175" spans="1:2" x14ac:dyDescent="0.2">
      <c r="B175" t="str">
        <f>VLOOKUP(Languages!B175,Languages!$B$2:$S$400,MATCH($B$1,Languages!$B$1:$S$1,0),FALSE)</f>
        <v>/ton</v>
      </c>
    </row>
    <row r="176" spans="1:2" x14ac:dyDescent="0.2">
      <c r="B176" t="str">
        <f>VLOOKUP(Languages!B176,Languages!$B$2:$S$400,MATCH($B$1,Languages!$B$1:$S$1,0),FALSE)</f>
        <v>/egg</v>
      </c>
    </row>
    <row r="177" spans="1:2" x14ac:dyDescent="0.2">
      <c r="B177" t="str">
        <f>VLOOKUP(Languages!B177,Languages!$B$2:$S$400,MATCH($B$1,Languages!$B$1:$S$1,0),FALSE)</f>
        <v>/kg egg mass</v>
      </c>
    </row>
    <row r="178" spans="1:2" x14ac:dyDescent="0.2">
      <c r="B178" t="str">
        <f>VLOOKUP(Languages!B178,Languages!$B$2:$S$400,MATCH($B$1,Languages!$B$1:$S$1,0),FALSE)</f>
        <v>Cumulative average</v>
      </c>
    </row>
    <row r="179" spans="1:2" x14ac:dyDescent="0.2">
      <c r="B179" t="str">
        <f>VLOOKUP(Languages!B179,Languages!$B$2:$S$400,MATCH($B$1,Languages!$B$1:$S$1,0),FALSE)</f>
        <v>Feed cost</v>
      </c>
    </row>
    <row r="180" spans="1:2" x14ac:dyDescent="0.2">
      <c r="B180" t="str">
        <f>VLOOKUP(Languages!B180,Languages!$B$2:$S$400,MATCH($B$1,Languages!$B$1:$S$1,0),FALSE)</f>
        <v>/bird/day</v>
      </c>
    </row>
    <row r="181" spans="1:2" x14ac:dyDescent="0.2">
      <c r="B181" t="str">
        <f>VLOOKUP(Languages!B181,Languages!$B$2:$S$400,MATCH($B$1,Languages!$B$1:$S$1,0),FALSE)</f>
        <v>Average feed price</v>
      </c>
    </row>
    <row r="182" spans="1:2" x14ac:dyDescent="0.2">
      <c r="B182" t="str">
        <f>VLOOKUP(Languages!B182,Languages!$B$2:$S$400,MATCH($B$1,Languages!$B$1:$S$1,0),FALSE)</f>
        <v>Weekly</v>
      </c>
    </row>
    <row r="183" spans="1:2" x14ac:dyDescent="0.2">
      <c r="B183" t="str">
        <f>VLOOKUP(Languages!B183,Languages!$B$2:$S$400,MATCH($B$1,Languages!$B$1:$S$1,0),FALSE)</f>
        <v>Cumulative average</v>
      </c>
    </row>
    <row r="184" spans="1:2" x14ac:dyDescent="0.2">
      <c r="A184" t="s">
        <v>955</v>
      </c>
      <c r="B184" t="str">
        <f>VLOOKUP(Languages!B184,Languages!$B$2:$S$400,MATCH($B$1,Languages!$B$1:$S$1,0),FALSE)</f>
        <v>Production data</v>
      </c>
    </row>
    <row r="185" spans="1:2" x14ac:dyDescent="0.2">
      <c r="B185" t="str">
        <f>VLOOKUP(Languages!B185,Languages!$B$2:$S$400,MATCH($B$1,Languages!$B$1:$S$1,0),FALSE)</f>
        <v>Farm name :</v>
      </c>
    </row>
    <row r="186" spans="1:2" x14ac:dyDescent="0.2">
      <c r="B186" t="str">
        <f>VLOOKUP(Languages!B186,Languages!$B$2:$S$400,MATCH($B$1,Languages!$B$1:$S$1,0),FALSE)</f>
        <v>House No.  / Housing system:</v>
      </c>
    </row>
    <row r="187" spans="1:2" x14ac:dyDescent="0.2">
      <c r="B187" t="str">
        <f>VLOOKUP(Languages!B187,Languages!$B$2:$S$400,MATCH($B$1,Languages!$B$1:$S$1,0),FALSE)</f>
        <v>Hatch date:</v>
      </c>
    </row>
    <row r="188" spans="1:2" x14ac:dyDescent="0.2">
      <c r="B188" t="str">
        <f>VLOOKUP(Languages!B188,Languages!$B$2:$S$400,MATCH($B$1,Languages!$B$1:$S$1,0),FALSE)</f>
        <v xml:space="preserve">Transfer date: </v>
      </c>
    </row>
    <row r="189" spans="1:2" x14ac:dyDescent="0.2">
      <c r="B189" t="str">
        <f>VLOOKUP(Languages!B189,Languages!$B$2:$S$400,MATCH($B$1,Languages!$B$1:$S$1,0),FALSE)</f>
        <v>No. of laying birds housed:</v>
      </c>
    </row>
    <row r="190" spans="1:2" x14ac:dyDescent="0.2">
      <c r="B190" t="str">
        <f>VLOOKUP(Languages!B190,Languages!$B$2:$S$400,MATCH($B$1,Languages!$B$1:$S$1,0),FALSE)</f>
        <v xml:space="preserve">Feed company: </v>
      </c>
    </row>
    <row r="191" spans="1:2" x14ac:dyDescent="0.2">
      <c r="B191" t="str">
        <f>VLOOKUP(Languages!B191,Languages!$B$2:$S$400,MATCH($B$1,Languages!$B$1:$S$1,0),FALSE)</f>
        <v>House No.</v>
      </c>
    </row>
    <row r="192" spans="1:2" x14ac:dyDescent="0.2">
      <c r="B192" t="str">
        <f>VLOOKUP(Languages!B192,Languages!$B$2:$S$400,MATCH($B$1,Languages!$B$1:$S$1,0),FALSE)</f>
        <v>Housing system</v>
      </c>
    </row>
    <row r="193" spans="2:2" x14ac:dyDescent="0.2">
      <c r="B193">
        <f>VLOOKUP(Languages!B193,Languages!$B$2:$S$400,MATCH($B$1,Languages!$B$1:$S$1,0),FALSE)</f>
        <v>0</v>
      </c>
    </row>
    <row r="194" spans="2:2" x14ac:dyDescent="0.2">
      <c r="B194" t="str">
        <f>VLOOKUP(Languages!B194,Languages!$B$2:$S$400,MATCH($B$1,Languages!$B$1:$S$1,0),FALSE)</f>
        <v>Week of the year</v>
      </c>
    </row>
    <row r="195" spans="2:2" x14ac:dyDescent="0.2">
      <c r="B195" t="str">
        <f>VLOOKUP(Languages!B195,Languages!$B$2:$S$400,MATCH($B$1,Languages!$B$1:$S$1,0),FALSE)</f>
        <v>Age in weeks</v>
      </c>
    </row>
    <row r="196" spans="2:2" x14ac:dyDescent="0.2">
      <c r="B196" t="str">
        <f>VLOOKUP(Languages!B196,Languages!$B$2:$S$400,MATCH($B$1,Languages!$B$1:$S$1,0),FALSE)</f>
        <v>Liveability %</v>
      </c>
    </row>
    <row r="197" spans="2:2" x14ac:dyDescent="0.2">
      <c r="B197" t="str">
        <f>VLOOKUP(Languages!B197,Languages!$B$2:$S$400,MATCH($B$1,Languages!$B$1:$S$1,0),FALSE)</f>
        <v>Laying rate</v>
      </c>
    </row>
    <row r="198" spans="2:2" x14ac:dyDescent="0.2">
      <c r="B198" t="str">
        <f>VLOOKUP(Languages!B198,Languages!$B$2:$S$400,MATCH($B$1,Languages!$B$1:$S$1,0),FALSE)</f>
        <v>Egg number HH</v>
      </c>
    </row>
    <row r="199" spans="2:2" x14ac:dyDescent="0.2">
      <c r="B199" t="str">
        <f>VLOOKUP(Languages!B199,Languages!$B$2:$S$400,MATCH($B$1,Languages!$B$1:$S$1,0),FALSE)</f>
        <v>Egg weight / week</v>
      </c>
    </row>
    <row r="200" spans="2:2" x14ac:dyDescent="0.2">
      <c r="B200" t="str">
        <f>VLOOKUP(Languages!B200,Languages!$B$2:$S$400,MATCH($B$1,Languages!$B$1:$S$1,0),FALSE)</f>
        <v xml:space="preserve">Egg mass </v>
      </c>
    </row>
    <row r="201" spans="2:2" x14ac:dyDescent="0.2">
      <c r="B201" t="str">
        <f>VLOOKUP(Languages!B201,Languages!$B$2:$S$400,MATCH($B$1,Languages!$B$1:$S$1,0),FALSE)</f>
        <v>Feed cons HD</v>
      </c>
    </row>
    <row r="202" spans="2:2" x14ac:dyDescent="0.2">
      <c r="B202" t="str">
        <f>VLOOKUP(Languages!B202,Languages!$B$2:$S$400,MATCH($B$1,Languages!$B$1:$S$1,0),FALSE)</f>
        <v>Feed cons. / egg</v>
      </c>
    </row>
    <row r="203" spans="2:2" x14ac:dyDescent="0.2">
      <c r="B203" t="str">
        <f>VLOOKUP(Languages!B203,Languages!$B$2:$S$400,MATCH($B$1,Languages!$B$1:$S$1,0),FALSE)</f>
        <v>Feed conversion</v>
      </c>
    </row>
    <row r="204" spans="2:2" x14ac:dyDescent="0.2">
      <c r="B204" t="str">
        <f>VLOOKUP(Languages!B204,Languages!$B$2:$S$400,MATCH($B$1,Languages!$B$1:$S$1,0),FALSE)</f>
        <v>Seconds %</v>
      </c>
    </row>
    <row r="205" spans="2:2" x14ac:dyDescent="0.2">
      <c r="B205" t="str">
        <f>VLOOKUP(Languages!B205,Languages!$B$2:$S$400,MATCH($B$1,Languages!$B$1:$S$1,0),FALSE)</f>
        <v>Body weight (g)</v>
      </c>
    </row>
    <row r="206" spans="2:2" x14ac:dyDescent="0.2">
      <c r="B206" t="str">
        <f>VLOOKUP(Languages!B206,Languages!$B$2:$S$400,MATCH($B$1,Languages!$B$1:$S$1,0),FALSE)</f>
        <v>Hen day</v>
      </c>
    </row>
    <row r="207" spans="2:2" x14ac:dyDescent="0.2">
      <c r="B207" t="str">
        <f>VLOOKUP(Languages!B207,Languages!$B$2:$S$400,MATCH($B$1,Languages!$B$1:$S$1,0),FALSE)</f>
        <v>Birds housed</v>
      </c>
    </row>
    <row r="208" spans="2:2" x14ac:dyDescent="0.2">
      <c r="B208" t="str">
        <f>VLOOKUP(Languages!B208,Languages!$B$2:$S$400,MATCH($B$1,Languages!$B$1:$S$1,0),FALSE)</f>
        <v>Actual</v>
      </c>
    </row>
    <row r="209" spans="1:2" x14ac:dyDescent="0.2">
      <c r="B209" t="str">
        <f>VLOOKUP(Languages!B209,Languages!$B$2:$S$400,MATCH($B$1,Languages!$B$1:$S$1,0),FALSE)</f>
        <v>Std.</v>
      </c>
    </row>
    <row r="210" spans="1:2" x14ac:dyDescent="0.2">
      <c r="B210" t="str">
        <f>VLOOKUP(Languages!B210,Languages!$B$2:$S$400,MATCH($B$1,Languages!$B$1:$S$1,0),FALSE)</f>
        <v>Cum average</v>
      </c>
    </row>
    <row r="211" spans="1:2" x14ac:dyDescent="0.2">
      <c r="B211" t="str">
        <f>VLOOKUP(Languages!B211,Languages!$B$2:$S$400,MATCH($B$1,Languages!$B$1:$S$1,0),FALSE)</f>
        <v>Cum std.</v>
      </c>
    </row>
    <row r="212" spans="1:2" x14ac:dyDescent="0.2">
      <c r="B212" t="str">
        <f>VLOOKUP(Languages!B212,Languages!$B$2:$S$400,MATCH($B$1,Languages!$B$1:$S$1,0),FALSE)</f>
        <v>/ day</v>
      </c>
    </row>
    <row r="213" spans="1:2" x14ac:dyDescent="0.2">
      <c r="B213" t="str">
        <f>VLOOKUP(Languages!B213,Languages!$B$2:$S$400,MATCH($B$1,Languages!$B$1:$S$1,0),FALSE)</f>
        <v>Weekly</v>
      </c>
    </row>
    <row r="214" spans="1:2" x14ac:dyDescent="0.2">
      <c r="B214" t="str">
        <f>VLOOKUP(Languages!B214,Languages!$B$2:$S$400,MATCH($B$1,Languages!$B$1:$S$1,0),FALSE)</f>
        <v>Cum.</v>
      </c>
    </row>
    <row r="215" spans="1:2" x14ac:dyDescent="0.2">
      <c r="A215" t="s">
        <v>957</v>
      </c>
      <c r="B215" t="str">
        <f>VLOOKUP(Languages!B215,Languages!$B$2:$S$400,MATCH($B$1,Languages!$B$1:$S$1,0),FALSE)</f>
        <v>Summary</v>
      </c>
    </row>
    <row r="216" spans="1:2" x14ac:dyDescent="0.2">
      <c r="B216" t="str">
        <f>VLOOKUP(Languages!B216,Languages!$B$2:$S$400,MATCH($B$1,Languages!$B$1:$S$1,0),FALSE)</f>
        <v>Name :</v>
      </c>
    </row>
    <row r="217" spans="1:2" x14ac:dyDescent="0.2">
      <c r="B217" t="str">
        <f>VLOOKUP(Languages!B217,Languages!$B$2:$S$400,MATCH($B$1,Languages!$B$1:$S$1,0),FALSE)</f>
        <v>House No. :</v>
      </c>
    </row>
    <row r="218" spans="1:2" x14ac:dyDescent="0.2">
      <c r="B218" t="str">
        <f>VLOOKUP(Languages!B218,Languages!$B$2:$S$400,MATCH($B$1,Languages!$B$1:$S$1,0),FALSE)</f>
        <v>Transfer date :</v>
      </c>
    </row>
    <row r="219" spans="1:2" x14ac:dyDescent="0.2">
      <c r="B219" t="str">
        <f>VLOOKUP(Languages!B219,Languages!$B$2:$S$400,MATCH($B$1,Languages!$B$1:$S$1,0),FALSE)</f>
        <v>Hatch date:</v>
      </c>
    </row>
    <row r="220" spans="1:2" x14ac:dyDescent="0.2">
      <c r="B220" t="str">
        <f>VLOOKUP(Languages!B220,Languages!$B$2:$S$400,MATCH($B$1,Languages!$B$1:$S$1,0),FALSE)</f>
        <v>Date at 18 weeks old :</v>
      </c>
    </row>
    <row r="221" spans="1:2" x14ac:dyDescent="0.2">
      <c r="B221" t="str">
        <f>VLOOKUP(Languages!B221,Languages!$B$2:$S$400,MATCH($B$1,Languages!$B$1:$S$1,0),FALSE)</f>
        <v>Feed company :</v>
      </c>
    </row>
    <row r="222" spans="1:2" x14ac:dyDescent="0.2">
      <c r="B222" t="str">
        <f>VLOOKUP(Languages!B222,Languages!$B$2:$S$400,MATCH($B$1,Languages!$B$1:$S$1,0),FALSE)</f>
        <v>Number of layers :</v>
      </c>
    </row>
    <row r="223" spans="1:2" x14ac:dyDescent="0.2">
      <c r="B223" t="str">
        <f>VLOOKUP(Languages!B223,Languages!$B$2:$S$400,MATCH($B$1,Languages!$B$1:$S$1,0),FALSE)</f>
        <v>Housing system:</v>
      </c>
    </row>
    <row r="224" spans="1:2" x14ac:dyDescent="0.2">
      <c r="B224">
        <f>VLOOKUP(Languages!B224,Languages!$B$2:$S$400,MATCH($B$1,Languages!$B$1:$S$1,0),FALSE)</f>
        <v>0</v>
      </c>
    </row>
    <row r="225" spans="1:2" x14ac:dyDescent="0.2">
      <c r="B225" t="str">
        <f>VLOOKUP(Languages!B225,Languages!$B$2:$S$400,MATCH($B$1,Languages!$B$1:$S$1,0),FALSE)</f>
        <v>Age</v>
      </c>
    </row>
    <row r="226" spans="1:2" x14ac:dyDescent="0.2">
      <c r="B226" t="str">
        <f>VLOOKUP(Languages!B226,Languages!$B$2:$S$400,MATCH($B$1,Languages!$B$1:$S$1,0),FALSE)</f>
        <v>% Mortality</v>
      </c>
    </row>
    <row r="227" spans="1:2" x14ac:dyDescent="0.2">
      <c r="B227" t="str">
        <f>VLOOKUP(Languages!B227,Languages!$B$2:$S$400,MATCH($B$1,Languages!$B$1:$S$1,0),FALSE)</f>
        <v>% Laying rate</v>
      </c>
    </row>
    <row r="228" spans="1:2" x14ac:dyDescent="0.2">
      <c r="B228" t="str">
        <f>VLOOKUP(Languages!B228,Languages!$B$2:$S$400,MATCH($B$1,Languages!$B$1:$S$1,0),FALSE)</f>
        <v>Std.</v>
      </c>
    </row>
    <row r="229" spans="1:2" x14ac:dyDescent="0.2">
      <c r="B229" t="str">
        <f>VLOOKUP(Languages!B229,Languages!$B$2:$S$400,MATCH($B$1,Languages!$B$1:$S$1,0),FALSE)</f>
        <v>Egg number per hh</v>
      </c>
    </row>
    <row r="230" spans="1:2" x14ac:dyDescent="0.2">
      <c r="B230" t="str">
        <f>VLOOKUP(Languages!B230,Languages!$B$2:$S$400,MATCH($B$1,Languages!$B$1:$S$1,0),FALSE)</f>
        <v>Egg weight (g)</v>
      </c>
    </row>
    <row r="231" spans="1:2" x14ac:dyDescent="0.2">
      <c r="B231" t="str">
        <f>VLOOKUP(Languages!B231,Languages!$B$2:$S$400,MATCH($B$1,Languages!$B$1:$S$1,0),FALSE)</f>
        <v>Egg mass per hh (kg)</v>
      </c>
    </row>
    <row r="232" spans="1:2" x14ac:dyDescent="0.2">
      <c r="B232" t="str">
        <f>VLOOKUP(Languages!B232,Languages!$B$2:$S$400,MATCH($B$1,Languages!$B$1:$S$1,0),FALSE)</f>
        <v>F.C.R. 18 wks kg/kg</v>
      </c>
    </row>
    <row r="233" spans="1:2" x14ac:dyDescent="0.2">
      <c r="B233" t="str">
        <f>VLOOKUP(Languages!B233,Languages!$B$2:$S$400,MATCH($B$1,Languages!$B$1:$S$1,0),FALSE)</f>
        <v xml:space="preserve">F.C. / egg 18 wks (g) </v>
      </c>
    </row>
    <row r="234" spans="1:2" x14ac:dyDescent="0.2">
      <c r="B234" t="str">
        <f>VLOOKUP(Languages!B234,Languages!$B$2:$S$400,MATCH($B$1,Languages!$B$1:$S$1,0),FALSE)</f>
        <v>Cum seconds %</v>
      </c>
    </row>
    <row r="235" spans="1:2" x14ac:dyDescent="0.2">
      <c r="A235" t="s">
        <v>958</v>
      </c>
      <c r="B235" t="str">
        <f>VLOOKUP(Languages!B235,Languages!$B$2:$S$400,MATCH($B$1,Languages!$B$1:$S$1,0),FALSE)</f>
        <v>Diverse</v>
      </c>
    </row>
    <row r="236" spans="1:2" x14ac:dyDescent="0.2">
      <c r="B236" t="str">
        <f>VLOOKUP(Languages!B236,Languages!$B$2:$S$400,MATCH($B$1,Languages!$B$1:$S$1,0),FALSE)</f>
        <v>January</v>
      </c>
    </row>
    <row r="237" spans="1:2" x14ac:dyDescent="0.2">
      <c r="B237" t="str">
        <f>VLOOKUP(Languages!B237,Languages!$B$2:$S$400,MATCH($B$1,Languages!$B$1:$S$1,0),FALSE)</f>
        <v>February</v>
      </c>
    </row>
    <row r="238" spans="1:2" x14ac:dyDescent="0.2">
      <c r="B238" t="str">
        <f>VLOOKUP(Languages!B238,Languages!$B$2:$S$400,MATCH($B$1,Languages!$B$1:$S$1,0),FALSE)</f>
        <v>March</v>
      </c>
    </row>
    <row r="239" spans="1:2" x14ac:dyDescent="0.2">
      <c r="B239" t="str">
        <f>VLOOKUP(Languages!B239,Languages!$B$2:$S$400,MATCH($B$1,Languages!$B$1:$S$1,0),FALSE)</f>
        <v>April</v>
      </c>
    </row>
    <row r="240" spans="1:2" x14ac:dyDescent="0.2">
      <c r="B240" t="str">
        <f>VLOOKUP(Languages!B240,Languages!$B$2:$S$400,MATCH($B$1,Languages!$B$1:$S$1,0),FALSE)</f>
        <v>May</v>
      </c>
    </row>
    <row r="241" spans="2:2" x14ac:dyDescent="0.2">
      <c r="B241" t="str">
        <f>VLOOKUP(Languages!B241,Languages!$B$2:$S$400,MATCH($B$1,Languages!$B$1:$S$1,0),FALSE)</f>
        <v>June</v>
      </c>
    </row>
    <row r="242" spans="2:2" x14ac:dyDescent="0.2">
      <c r="B242" t="str">
        <f>VLOOKUP(Languages!B242,Languages!$B$2:$S$400,MATCH($B$1,Languages!$B$1:$S$1,0),FALSE)</f>
        <v>July</v>
      </c>
    </row>
    <row r="243" spans="2:2" x14ac:dyDescent="0.2">
      <c r="B243" t="str">
        <f>VLOOKUP(Languages!B243,Languages!$B$2:$S$400,MATCH($B$1,Languages!$B$1:$S$1,0),FALSE)</f>
        <v>August</v>
      </c>
    </row>
    <row r="244" spans="2:2" x14ac:dyDescent="0.2">
      <c r="B244" t="str">
        <f>VLOOKUP(Languages!B244,Languages!$B$2:$S$400,MATCH($B$1,Languages!$B$1:$S$1,0),FALSE)</f>
        <v>September</v>
      </c>
    </row>
    <row r="245" spans="2:2" x14ac:dyDescent="0.2">
      <c r="B245" t="str">
        <f>VLOOKUP(Languages!B245,Languages!$B$2:$S$400,MATCH($B$1,Languages!$B$1:$S$1,0),FALSE)</f>
        <v>October</v>
      </c>
    </row>
    <row r="246" spans="2:2" x14ac:dyDescent="0.2">
      <c r="B246" t="str">
        <f>VLOOKUP(Languages!B246,Languages!$B$2:$S$400,MATCH($B$1,Languages!$B$1:$S$1,0),FALSE)</f>
        <v>November</v>
      </c>
    </row>
    <row r="247" spans="2:2" x14ac:dyDescent="0.2">
      <c r="B247" t="str">
        <f>VLOOKUP(Languages!B247,Languages!$B$2:$S$400,MATCH($B$1,Languages!$B$1:$S$1,0),FALSE)</f>
        <v>December</v>
      </c>
    </row>
    <row r="248" spans="2:2" x14ac:dyDescent="0.2">
      <c r="B248">
        <f>VLOOKUP(Languages!B248,Languages!$B$2:$S$400,MATCH($B$1,Languages!$B$1:$S$1,0),FALSE)</f>
        <v>0</v>
      </c>
    </row>
    <row r="249" spans="2:2" x14ac:dyDescent="0.2">
      <c r="B249" t="str">
        <f>VLOOKUP(Languages!B249,Languages!$B$2:$S$400,MATCH($B$1,Languages!$B$1:$S$1,0),FALSE)</f>
        <v>Cage</v>
      </c>
    </row>
    <row r="250" spans="2:2" x14ac:dyDescent="0.2">
      <c r="B250" t="str">
        <f>VLOOKUP(Languages!B250,Languages!$B$2:$S$400,MATCH($B$1,Languages!$B$1:$S$1,0),FALSE)</f>
        <v>Barn</v>
      </c>
    </row>
    <row r="251" spans="2:2" x14ac:dyDescent="0.2">
      <c r="B251" t="str">
        <f>VLOOKUP(Languages!B251,Languages!$B$2:$S$400,MATCH($B$1,Languages!$B$1:$S$1,0),FALSE)</f>
        <v>Free range</v>
      </c>
    </row>
    <row r="252" spans="2:2" x14ac:dyDescent="0.2">
      <c r="B252" t="str">
        <f>VLOOKUP(Languages!B252,Languages!$B$2:$S$400,MATCH($B$1,Languages!$B$1:$S$1,0),FALSE)</f>
        <v>Free range multi tier</v>
      </c>
    </row>
    <row r="253" spans="2:2" x14ac:dyDescent="0.2">
      <c r="B253" t="str">
        <f>VLOOKUP(Languages!B253,Languages!$B$2:$S$400,MATCH($B$1,Languages!$B$1:$S$1,0),FALSE)</f>
        <v>Aviary</v>
      </c>
    </row>
    <row r="254" spans="2:2" x14ac:dyDescent="0.2">
      <c r="B254" t="str">
        <f>VLOOKUP(Languages!B254,Languages!$B$2:$S$400,MATCH($B$1,Languages!$B$1:$S$1,0),FALSE)</f>
        <v>Enriched cage</v>
      </c>
    </row>
    <row r="255" spans="2:2" x14ac:dyDescent="0.2">
      <c r="B255" t="str">
        <f>VLOOKUP(Languages!B255,Languages!$B$2:$S$400,MATCH($B$1,Languages!$B$1:$S$1,0),FALSE)</f>
        <v>Organic</v>
      </c>
    </row>
    <row r="256" spans="2:2" x14ac:dyDescent="0.2">
      <c r="B256">
        <f>VLOOKUP(Languages!B256,Languages!$B$2:$S$400,MATCH($B$1,Languages!$B$1:$S$1,0),FALSE)</f>
        <v>0</v>
      </c>
    </row>
    <row r="257" spans="1:2" x14ac:dyDescent="0.2">
      <c r="A257" t="s">
        <v>960</v>
      </c>
      <c r="B257" t="str">
        <f>VLOOKUP(Languages!B257,Languages!$B$2:$S$400,MATCH($B$1,Languages!$B$1:$S$1,0),FALSE)</f>
        <v>Graph values</v>
      </c>
    </row>
    <row r="258" spans="1:2" x14ac:dyDescent="0.2">
      <c r="B258" t="str">
        <f>VLOOKUP(Languages!B258,Languages!$B$2:$S$400,MATCH($B$1,Languages!$B$1:$S$1,0),FALSE)</f>
        <v>Liveability</v>
      </c>
    </row>
    <row r="259" spans="1:2" x14ac:dyDescent="0.2">
      <c r="B259" t="str">
        <f>VLOOKUP(Languages!B259,Languages!$B$2:$S$400,MATCH($B$1,Languages!$B$1:$S$1,0),FALSE)</f>
        <v>Weekly mortality %</v>
      </c>
    </row>
    <row r="260" spans="1:2" x14ac:dyDescent="0.2">
      <c r="B260" t="str">
        <f>VLOOKUP(Languages!B260,Languages!$B$2:$S$400,MATCH($B$1,Languages!$B$1:$S$1,0),FALSE)</f>
        <v>Laying %</v>
      </c>
    </row>
    <row r="261" spans="1:2" x14ac:dyDescent="0.2">
      <c r="B261" t="str">
        <f>VLOOKUP(Languages!B261,Languages!$B$2:$S$400,MATCH($B$1,Languages!$B$1:$S$1,0),FALSE)</f>
        <v>Laying rate std.</v>
      </c>
    </row>
    <row r="262" spans="1:2" x14ac:dyDescent="0.2">
      <c r="B262" t="str">
        <f>VLOOKUP(Languages!B262,Languages!$B$2:$S$400,MATCH($B$1,Languages!$B$1:$S$1,0),FALSE)</f>
        <v>Egg Weight</v>
      </c>
    </row>
    <row r="263" spans="1:2" x14ac:dyDescent="0.2">
      <c r="B263" t="str">
        <f>VLOOKUP(Languages!B263,Languages!$B$2:$S$400,MATCH($B$1,Languages!$B$1:$S$1,0),FALSE)</f>
        <v>Egg weight std.</v>
      </c>
    </row>
    <row r="264" spans="1:2" x14ac:dyDescent="0.2">
      <c r="B264" t="str">
        <f>VLOOKUP(Languages!B264,Languages!$B$2:$S$400,MATCH($B$1,Languages!$B$1:$S$1,0),FALSE)</f>
        <v>Body weight</v>
      </c>
    </row>
    <row r="265" spans="1:2" x14ac:dyDescent="0.2">
      <c r="B265" t="str">
        <f>VLOOKUP(Languages!B265,Languages!$B$2:$S$400,MATCH($B$1,Languages!$B$1:$S$1,0),FALSE)</f>
        <v>Laying body weight std.</v>
      </c>
    </row>
    <row r="266" spans="1:2" x14ac:dyDescent="0.2">
      <c r="B266" t="str">
        <f>VLOOKUP(Languages!B266,Languages!$B$2:$S$400,MATCH($B$1,Languages!$B$1:$S$1,0),FALSE)</f>
        <v>Cons</v>
      </c>
    </row>
    <row r="267" spans="1:2" x14ac:dyDescent="0.2">
      <c r="B267" t="str">
        <f>VLOOKUP(Languages!B267,Languages!$B$2:$S$400,MATCH($B$1,Languages!$B$1:$S$1,0),FALSE)</f>
        <v>Egg mass</v>
      </c>
    </row>
    <row r="268" spans="1:2" x14ac:dyDescent="0.2">
      <c r="B268" t="str">
        <f>VLOOKUP(Languages!B268,Languages!$B$2:$S$400,MATCH($B$1,Languages!$B$1:$S$1,0),FALSE)</f>
        <v>Daily egg mass std.</v>
      </c>
    </row>
    <row r="269" spans="1:2" x14ac:dyDescent="0.2">
      <c r="B269" t="str">
        <f>VLOOKUP(Languages!B269,Languages!$B$2:$S$400,MATCH($B$1,Languages!$B$1:$S$1,0),FALSE)</f>
        <v>Rearing</v>
      </c>
    </row>
    <row r="270" spans="1:2" x14ac:dyDescent="0.2">
      <c r="B270" t="str">
        <f>VLOOKUP(Languages!B270,Languages!$B$2:$S$400,MATCH($B$1,Languages!$B$1:$S$1,0),FALSE)</f>
        <v>Seconds packing station</v>
      </c>
    </row>
    <row r="271" spans="1:2" x14ac:dyDescent="0.2">
      <c r="B271" t="str">
        <f>VLOOKUP(Languages!B271,Languages!$B$2:$S$400,MATCH($B$1,Languages!$B$1:$S$1,0),FALSE)</f>
        <v>Seconds farm</v>
      </c>
    </row>
    <row r="272" spans="1:2" x14ac:dyDescent="0.2">
      <c r="B272" t="str">
        <f>VLOOKUP(Languages!B272,Languages!$B$2:$S$400,MATCH($B$1,Languages!$B$1:$S$1,0),FALSE)</f>
        <v>Packing station</v>
      </c>
    </row>
    <row r="273" spans="2:2" x14ac:dyDescent="0.2">
      <c r="B273" t="str">
        <f>VLOOKUP(Languages!B273,Languages!$B$2:$S$400,MATCH($B$1,Languages!$B$1:$S$1,0),FALSE)</f>
        <v>Cum.</v>
      </c>
    </row>
    <row r="274" spans="2:2" x14ac:dyDescent="0.2">
      <c r="B274" t="str">
        <f>VLOOKUP(Languages!B274,Languages!$B$2:$S$400,MATCH($B$1,Languages!$B$1:$S$1,0),FALSE)</f>
        <v>Day hen</v>
      </c>
    </row>
    <row r="275" spans="2:2" x14ac:dyDescent="0.2">
      <c r="B275" t="str">
        <f>VLOOKUP(Languages!B275,Languages!$B$2:$S$400,MATCH($B$1,Languages!$B$1:$S$1,0),FALSE)</f>
        <v>Cum. feed/bird /day</v>
      </c>
    </row>
    <row r="276" spans="2:2" x14ac:dyDescent="0.2">
      <c r="B276" t="str">
        <f>VLOOKUP(Languages!B276,Languages!$B$2:$S$400,MATCH($B$1,Languages!$B$1:$S$1,0),FALSE)</f>
        <v>Wk FCR</v>
      </c>
    </row>
    <row r="277" spans="2:2" x14ac:dyDescent="0.2">
      <c r="B277" t="str">
        <f>VLOOKUP(Languages!B277,Languages!$B$2:$S$400,MATCH($B$1,Languages!$B$1:$S$1,0),FALSE)</f>
        <v>Cum. FCR</v>
      </c>
    </row>
    <row r="278" spans="2:2" x14ac:dyDescent="0.2">
      <c r="B278" t="str">
        <f>VLOOKUP(Languages!B278,Languages!$B$2:$S$400,MATCH($B$1,Languages!$B$1:$S$1,0),FALSE)</f>
        <v>Wk FCR/egg</v>
      </c>
    </row>
    <row r="279" spans="2:2" x14ac:dyDescent="0.2">
      <c r="B279" t="str">
        <f>VLOOKUP(Languages!B279,Languages!$B$2:$S$400,MATCH($B$1,Languages!$B$1:$S$1,0),FALSE)</f>
        <v>Cum FCR/egg</v>
      </c>
    </row>
    <row r="280" spans="2:2" x14ac:dyDescent="0.2">
      <c r="B280" t="str">
        <f>VLOOKUP(Languages!B280,Languages!$B$2:$S$400,MATCH($B$1,Languages!$B$1:$S$1,0),FALSE)</f>
        <v>Cumulative egg number</v>
      </c>
    </row>
    <row r="281" spans="2:2" x14ac:dyDescent="0.2">
      <c r="B281" t="str">
        <f>VLOOKUP(Languages!B281,Languages!$B$2:$S$400,MATCH($B$1,Languages!$B$1:$S$1,0),FALSE)</f>
        <v>Std.</v>
      </c>
    </row>
    <row r="282" spans="2:2" x14ac:dyDescent="0.2">
      <c r="B282">
        <f>VLOOKUP(Languages!B282,Languages!$B$2:$S$400,MATCH($B$1,Languages!$B$1:$S$1,0),FALSE)</f>
        <v>0</v>
      </c>
    </row>
    <row r="283" spans="2:2" x14ac:dyDescent="0.2">
      <c r="B283" t="str">
        <f>VLOOKUP(Languages!B283,Languages!$B$2:$S$400,MATCH($B$1,Languages!$B$1:$S$1,0),FALSE)</f>
        <v>Mortality %</v>
      </c>
    </row>
    <row r="284" spans="2:2" x14ac:dyDescent="0.2">
      <c r="B284" t="str">
        <f>VLOOKUP(Languages!B284,Languages!$B$2:$S$400,MATCH($B$1,Languages!$B$1:$S$1,0),FALSE)</f>
        <v>Body weight</v>
      </c>
    </row>
    <row r="285" spans="2:2" x14ac:dyDescent="0.2">
      <c r="B285" t="str">
        <f>VLOOKUP(Languages!B285,Languages!$B$2:$S$400,MATCH($B$1,Languages!$B$1:$S$1,0),FALSE)</f>
        <v>Uniformity</v>
      </c>
    </row>
    <row r="286" spans="2:2" x14ac:dyDescent="0.2">
      <c r="B286" t="str">
        <f>VLOOKUP(Languages!B286,Languages!$B$2:$S$400,MATCH($B$1,Languages!$B$1:$S$1,0),FALSE)</f>
        <v>Unif %</v>
      </c>
    </row>
    <row r="287" spans="2:2" x14ac:dyDescent="0.2">
      <c r="B287" t="str">
        <f>VLOOKUP(Languages!B287,Languages!$B$2:$S$400,MATCH($B$1,Languages!$B$1:$S$1,0),FALSE)</f>
        <v>feed/water ratio</v>
      </c>
    </row>
    <row r="288" spans="2:2" x14ac:dyDescent="0.2">
      <c r="B288" t="str">
        <f>VLOOKUP(Languages!B288,Languages!$B$2:$S$400,MATCH($B$1,Languages!$B$1:$S$1,0),FALSE)</f>
        <v>cum cons per bird</v>
      </c>
    </row>
    <row r="289" spans="1:2" x14ac:dyDescent="0.2">
      <c r="B289" t="str">
        <f>VLOOKUP(Languages!B289,Languages!$B$2:$S$400,MATCH($B$1,Languages!$B$1:$S$1,0),FALSE)</f>
        <v>std min</v>
      </c>
    </row>
    <row r="290" spans="1:2" x14ac:dyDescent="0.2">
      <c r="B290">
        <f>VLOOKUP(Languages!B290,Languages!$B$2:$S$400,MATCH($B$1,Languages!$B$1:$S$1,0),FALSE)</f>
        <v>0</v>
      </c>
    </row>
    <row r="291" spans="1:2" x14ac:dyDescent="0.2">
      <c r="A291" t="s">
        <v>961</v>
      </c>
      <c r="B291" t="str">
        <f>VLOOKUP(Languages!B291,Languages!$B$2:$S$400,MATCH($B$1,Languages!$B$1:$S$1,0),FALSE)</f>
        <v>Laying</v>
      </c>
    </row>
    <row r="292" spans="1:2" x14ac:dyDescent="0.2">
      <c r="B292" t="str">
        <f>VLOOKUP(Languages!B292,Languages!$B$2:$S$400,MATCH($B$1,Languages!$B$1:$S$1,0),FALSE)</f>
        <v>Farm</v>
      </c>
    </row>
    <row r="293" spans="1:2" x14ac:dyDescent="0.2">
      <c r="B293" t="str">
        <f>VLOOKUP(Languages!B293,Languages!$B$2:$S$400,MATCH($B$1,Languages!$B$1:$S$1,0),FALSE)</f>
        <v>House number</v>
      </c>
    </row>
    <row r="294" spans="1:2" x14ac:dyDescent="0.2">
      <c r="B294" t="str">
        <f>VLOOKUP(Languages!B294,Languages!$B$2:$S$400,MATCH($B$1,Languages!$B$1:$S$1,0),FALSE)</f>
        <v>Housing system</v>
      </c>
    </row>
    <row r="295" spans="1:2" x14ac:dyDescent="0.2">
      <c r="B295" t="str">
        <f>VLOOKUP(Languages!B295,Languages!$B$2:$S$400,MATCH($B$1,Languages!$B$1:$S$1,0),FALSE)</f>
        <v>Hatch date</v>
      </c>
    </row>
    <row r="296" spans="1:2" x14ac:dyDescent="0.2">
      <c r="B296" t="str">
        <f>VLOOKUP(Languages!B296,Languages!$B$2:$S$400,MATCH($B$1,Languages!$B$1:$S$1,0),FALSE)</f>
        <v>Breed</v>
      </c>
    </row>
    <row r="297" spans="1:2" x14ac:dyDescent="0.2">
      <c r="B297" t="str">
        <f>VLOOKUP(Languages!B297,Languages!$B$2:$S$400,MATCH($B$1,Languages!$B$1:$S$1,0),FALSE)</f>
        <v>Birds housed</v>
      </c>
    </row>
    <row r="298" spans="1:2" x14ac:dyDescent="0.2">
      <c r="A298" t="s">
        <v>962</v>
      </c>
      <c r="B298" t="str">
        <f>VLOOKUP(Languages!B298,Languages!$B$2:$S$400,MATCH($B$1,Languages!$B$1:$S$1,0),FALSE)</f>
        <v>Rearing</v>
      </c>
    </row>
    <row r="299" spans="1:2" x14ac:dyDescent="0.2">
      <c r="B299" t="str">
        <f>VLOOKUP(Languages!B299,Languages!$B$2:$S$400,MATCH($B$1,Languages!$B$1:$S$1,0),FALSE)</f>
        <v>Farm</v>
      </c>
    </row>
    <row r="300" spans="1:2" x14ac:dyDescent="0.2">
      <c r="B300" t="str">
        <f>VLOOKUP(Languages!B300,Languages!$B$2:$S$400,MATCH($B$1,Languages!$B$1:$S$1,0),FALSE)</f>
        <v>House number</v>
      </c>
    </row>
    <row r="301" spans="1:2" x14ac:dyDescent="0.2">
      <c r="B301" t="str">
        <f>VLOOKUP(Languages!B301,Languages!$B$2:$S$400,MATCH($B$1,Languages!$B$1:$S$1,0),FALSE)</f>
        <v>Housing system</v>
      </c>
    </row>
    <row r="302" spans="1:2" x14ac:dyDescent="0.2">
      <c r="B302" t="str">
        <f>VLOOKUP(Languages!B302,Languages!$B$2:$S$400,MATCH($B$1,Languages!$B$1:$S$1,0),FALSE)</f>
        <v>Hatch date</v>
      </c>
    </row>
    <row r="303" spans="1:2" x14ac:dyDescent="0.2">
      <c r="B303" t="str">
        <f>VLOOKUP(Languages!B303,Languages!$B$2:$S$400,MATCH($B$1,Languages!$B$1:$S$1,0),FALSE)</f>
        <v>Breed</v>
      </c>
    </row>
    <row r="304" spans="1:2" x14ac:dyDescent="0.2">
      <c r="B304" t="str">
        <f>VLOOKUP(Languages!B304,Languages!$B$2:$S$400,MATCH($B$1,Languages!$B$1:$S$1,0),FALSE)</f>
        <v>DOC number</v>
      </c>
    </row>
    <row r="305" spans="1:2" x14ac:dyDescent="0.2">
      <c r="A305" t="s">
        <v>963</v>
      </c>
      <c r="B305" t="str">
        <f>VLOOKUP(Languages!B305,Languages!$B$2:$S$400,MATCH($B$1,Languages!$B$1:$S$1,0),FALSE)</f>
        <v>Rearing performances</v>
      </c>
    </row>
    <row r="306" spans="1:2" x14ac:dyDescent="0.2">
      <c r="B306">
        <f>VLOOKUP(Languages!B306,Languages!$B$2:$S$400,MATCH($B$1,Languages!$B$1:$S$1,0),FALSE)</f>
        <v>0</v>
      </c>
    </row>
    <row r="307" spans="1:2" x14ac:dyDescent="0.2">
      <c r="B307" t="str">
        <f>VLOOKUP(Languages!B307,Languages!$B$2:$S$400,MATCH($B$1,Languages!$B$1:$S$1,0),FALSE)</f>
        <v>Body weight in g</v>
      </c>
    </row>
    <row r="308" spans="1:2" x14ac:dyDescent="0.2">
      <c r="B308" t="str">
        <f>VLOOKUP(Languages!B308,Languages!$B$2:$S$400,MATCH($B$1,Languages!$B$1:$S$1,0),FALSE)</f>
        <v>Cum feed cons in g</v>
      </c>
    </row>
    <row r="309" spans="1:2" x14ac:dyDescent="0.2">
      <c r="B309" t="str">
        <f>VLOOKUP(Languages!B309,Languages!$B$2:$S$400,MATCH($B$1,Languages!$B$1:$S$1,0),FALSE)</f>
        <v>Uniformity %</v>
      </c>
    </row>
    <row r="310" spans="1:2" x14ac:dyDescent="0.2">
      <c r="B310" t="str">
        <f>VLOOKUP(Languages!B310,Languages!$B$2:$S$400,MATCH($B$1,Languages!$B$1:$S$1,0),FALSE)</f>
        <v>Mortality</v>
      </c>
    </row>
    <row r="311" spans="1:2" x14ac:dyDescent="0.2">
      <c r="B311" t="str">
        <f>VLOOKUP(Languages!B311,Languages!$B$2:$S$400,MATCH($B$1,Languages!$B$1:$S$1,0),FALSE)</f>
        <v>Water to feed ratio</v>
      </c>
    </row>
    <row r="312" spans="1:2" x14ac:dyDescent="0.2">
      <c r="B312">
        <f>VLOOKUP(Languages!B312,Languages!$B$2:$S$400,MATCH($B$1,Languages!$B$1:$S$1,0),FALSE)</f>
        <v>0</v>
      </c>
    </row>
    <row r="313" spans="1:2" x14ac:dyDescent="0.2">
      <c r="B313">
        <f>VLOOKUP(Languages!B313,Languages!$B$2:$S$400,MATCH($B$1,Languages!$B$1:$S$1,0),FALSE)</f>
        <v>0</v>
      </c>
    </row>
    <row r="314" spans="1:2" x14ac:dyDescent="0.2">
      <c r="A314" t="s">
        <v>964</v>
      </c>
      <c r="B314" t="str">
        <f>VLOOKUP(Languages!B314,Languages!$B$2:$S$400,MATCH($B$1,Languages!$B$1:$S$1,0),FALSE)</f>
        <v>Laying performances</v>
      </c>
    </row>
    <row r="315" spans="1:2" x14ac:dyDescent="0.2">
      <c r="B315">
        <f>VLOOKUP(Languages!B315,Languages!$B$2:$S$400,MATCH($B$1,Languages!$B$1:$S$1,0),FALSE)</f>
        <v>0</v>
      </c>
    </row>
    <row r="316" spans="1:2" x14ac:dyDescent="0.2">
      <c r="B316" t="str">
        <f>VLOOKUP(Languages!B316,Languages!$B$2:$S$400,MATCH($B$1,Languages!$B$1:$S$1,0),FALSE)</f>
        <v>Liveability %</v>
      </c>
    </row>
    <row r="317" spans="1:2" x14ac:dyDescent="0.2">
      <c r="B317" t="str">
        <f>VLOOKUP(Languages!B317,Languages!$B$2:$S$400,MATCH($B$1,Languages!$B$1:$S$1,0),FALSE)</f>
        <v>Average Egg weight</v>
      </c>
    </row>
    <row r="318" spans="1:2" x14ac:dyDescent="0.2">
      <c r="B318" t="str">
        <f>VLOOKUP(Languages!B318,Languages!$B$2:$S$400,MATCH($B$1,Languages!$B$1:$S$1,0),FALSE)</f>
        <v>Laying rate</v>
      </c>
    </row>
    <row r="319" spans="1:2" x14ac:dyDescent="0.2">
      <c r="B319" t="str">
        <f>VLOOKUP(Languages!B319,Languages!$B$2:$S$400,MATCH($B$1,Languages!$B$1:$S$1,0),FALSE)</f>
        <v>Body weight</v>
      </c>
    </row>
    <row r="320" spans="1:2" x14ac:dyDescent="0.2">
      <c r="B320" t="str">
        <f>VLOOKUP(Languages!B320,Languages!$B$2:$S$400,MATCH($B$1,Languages!$B$1:$S$1,0),FALSE)</f>
        <v>Weekly mortality %</v>
      </c>
    </row>
    <row r="321" spans="1:2" x14ac:dyDescent="0.2">
      <c r="B321" t="str">
        <f>VLOOKUP(Languages!B321,Languages!$B$2:$S$400,MATCH($B$1,Languages!$B$1:$S$1,0),FALSE)</f>
        <v>AEW</v>
      </c>
    </row>
    <row r="322" spans="1:2" x14ac:dyDescent="0.2">
      <c r="B322" t="str">
        <f>VLOOKUP(Languages!B322,Languages!$B$2:$S$400,MATCH($B$1,Languages!$B$1:$S$1,0),FALSE)</f>
        <v>Eggs per HH</v>
      </c>
    </row>
    <row r="323" spans="1:2" x14ac:dyDescent="0.2">
      <c r="B323" t="str">
        <f>VLOOKUP(Languages!B323,Languages!$B$2:$S$400,MATCH($B$1,Languages!$B$1:$S$1,0),FALSE)</f>
        <v>FCR</v>
      </c>
    </row>
    <row r="324" spans="1:2" x14ac:dyDescent="0.2">
      <c r="B324" t="str">
        <f>VLOOKUP(Languages!B324,Languages!$B$2:$S$400,MATCH($B$1,Languages!$B$1:$S$1,0),FALSE)</f>
        <v>Average cum cons</v>
      </c>
    </row>
    <row r="325" spans="1:2" x14ac:dyDescent="0.2">
      <c r="B325">
        <f>VLOOKUP(Languages!B325,Languages!$B$2:$S$400,MATCH($B$1,Languages!$B$1:$S$1,0),FALSE)</f>
        <v>0</v>
      </c>
    </row>
    <row r="326" spans="1:2" x14ac:dyDescent="0.2">
      <c r="A326" t="s">
        <v>965</v>
      </c>
      <c r="B326" t="str">
        <f>VLOOKUP(Languages!B326,Languages!$B$2:$S$400,MATCH($B$1,Languages!$B$1:$S$1,0),FALSE)</f>
        <v>Egg mass / Feed consumption</v>
      </c>
    </row>
    <row r="327" spans="1:2" x14ac:dyDescent="0.2">
      <c r="B327">
        <f>VLOOKUP(Languages!B327,Languages!$B$2:$S$400,MATCH($B$1,Languages!$B$1:$S$1,0),FALSE)</f>
        <v>0</v>
      </c>
    </row>
    <row r="328" spans="1:2" x14ac:dyDescent="0.2">
      <c r="B328" t="str">
        <f>VLOOKUP(Languages!B328,Languages!$B$2:$S$400,MATCH($B$1,Languages!$B$1:$S$1,0),FALSE)</f>
        <v>Egg mass in g/day</v>
      </c>
    </row>
    <row r="329" spans="1:2" x14ac:dyDescent="0.2">
      <c r="B329" t="str">
        <f>VLOOKUP(Languages!B329,Languages!$B$2:$S$400,MATCH($B$1,Languages!$B$1:$S$1,0),FALSE)</f>
        <v>Feed consumption in g</v>
      </c>
    </row>
    <row r="330" spans="1:2" x14ac:dyDescent="0.2">
      <c r="B330" t="str">
        <f>VLOOKUP(Languages!B330,Languages!$B$2:$S$400,MATCH($B$1,Languages!$B$1:$S$1,0),FALSE)</f>
        <v>Cum no. of eggs per HH</v>
      </c>
    </row>
    <row r="331" spans="1:2" x14ac:dyDescent="0.2">
      <c r="B331">
        <f>VLOOKUP(Languages!B331,Languages!$B$2:$S$400,MATCH($B$1,Languages!$B$1:$S$1,0),FALSE)</f>
        <v>0</v>
      </c>
    </row>
    <row r="332" spans="1:2" x14ac:dyDescent="0.2">
      <c r="A332" t="s">
        <v>966</v>
      </c>
      <c r="B332" t="str">
        <f>VLOOKUP(Languages!B332,Languages!$B$2:$S$400,MATCH($B$1,Languages!$B$1:$S$1,0),FALSE)</f>
        <v>Feed conversion rates</v>
      </c>
    </row>
    <row r="333" spans="1:2" x14ac:dyDescent="0.2">
      <c r="B333">
        <f>VLOOKUP(Languages!B333,Languages!$B$2:$S$400,MATCH($B$1,Languages!$B$1:$S$1,0),FALSE)</f>
        <v>0</v>
      </c>
    </row>
    <row r="334" spans="1:2" x14ac:dyDescent="0.2">
      <c r="B334" t="str">
        <f>VLOOKUP(Languages!B334,Languages!$B$2:$S$400,MATCH($B$1,Languages!$B$1:$S$1,0),FALSE)</f>
        <v>G per egg</v>
      </c>
    </row>
    <row r="335" spans="1:2" x14ac:dyDescent="0.2">
      <c r="B335" t="str">
        <f>VLOOKUP(Languages!B335,Languages!$B$2:$S$400,MATCH($B$1,Languages!$B$1:$S$1,0),FALSE)</f>
        <v>Ratio</v>
      </c>
    </row>
    <row r="336" spans="1:2" x14ac:dyDescent="0.2">
      <c r="A336" t="s">
        <v>968</v>
      </c>
      <c r="B336" t="str">
        <f>VLOOKUP(Languages!B336,Languages!$B$2:$S$400,MATCH($B$1,Languages!$B$1:$S$1,0),FALSE)</f>
        <v>Down grading graph</v>
      </c>
    </row>
    <row r="337" spans="1:15" x14ac:dyDescent="0.2">
      <c r="B337">
        <f>VLOOKUP(Languages!B337,Languages!$B$2:$S$400,MATCH($B$1,Languages!$B$1:$S$1,0),FALSE)</f>
        <v>0</v>
      </c>
      <c r="N337" s="303"/>
      <c r="O337" s="303"/>
    </row>
    <row r="338" spans="1:15" x14ac:dyDescent="0.2">
      <c r="B338" t="str">
        <f>VLOOKUP(Languages!B338,Languages!$B$2:$S$400,MATCH($B$1,Languages!$B$1:$S$1,0),FALSE)</f>
        <v>Seconds %</v>
      </c>
      <c r="N338" s="303"/>
      <c r="O338" s="303"/>
    </row>
    <row r="339" spans="1:15" x14ac:dyDescent="0.2">
      <c r="A339" t="s">
        <v>969</v>
      </c>
      <c r="B339" t="str">
        <f>VLOOKUP(Languages!B339,Languages!$B$2:$S$400,MATCH($B$1,Languages!$B$1:$S$1,0),FALSE)</f>
        <v>Percentage egg grading</v>
      </c>
    </row>
    <row r="340" spans="1:15" x14ac:dyDescent="0.2">
      <c r="B340">
        <f>VLOOKUP(Languages!B340,Languages!$B$2:$S$400,MATCH($B$1,Languages!$B$1:$S$1,0),FALSE)</f>
        <v>0</v>
      </c>
    </row>
    <row r="341" spans="1:15" x14ac:dyDescent="0.2">
      <c r="B341" t="str">
        <f>VLOOKUP(Languages!B341,Languages!$B$2:$S$400,MATCH($B$1,Languages!$B$1:$S$1,0),FALSE)</f>
        <v>Grading %</v>
      </c>
    </row>
    <row r="342" spans="1:15" x14ac:dyDescent="0.2">
      <c r="A342" t="s">
        <v>970</v>
      </c>
      <c r="B342" t="str">
        <f>VLOOKUP(Languages!B342,Languages!$B$2:$S$400,MATCH($B$1,Languages!$B$1:$S$1,0),FALSE)</f>
        <v>Cumulative Egg Gradings</v>
      </c>
    </row>
    <row r="343" spans="1:15" x14ac:dyDescent="0.2">
      <c r="B343">
        <f>VLOOKUP(Languages!B343,Languages!$B$2:$S$400,MATCH($B$1,Languages!$B$1:$S$1,0),FALSE)</f>
        <v>0</v>
      </c>
    </row>
    <row r="344" spans="1:15" x14ac:dyDescent="0.2">
      <c r="B344" t="str">
        <f>VLOOKUP(Languages!B344,Languages!$B$2:$S$400,MATCH($B$1,Languages!$B$1:$S$1,0),FALSE)</f>
        <v>Egg number per grading</v>
      </c>
    </row>
    <row r="345" spans="1:15" x14ac:dyDescent="0.2">
      <c r="A345" t="s">
        <v>971</v>
      </c>
      <c r="B345" t="str">
        <f>VLOOKUP(Languages!B345,Languages!$B$2:$S$400,MATCH($B$1,Languages!$B$1:$S$1,0),FALSE)</f>
        <v>Summary chart</v>
      </c>
    </row>
    <row r="346" spans="1:15" x14ac:dyDescent="0.2">
      <c r="B346" t="str">
        <f>VLOOKUP(Languages!B346,Languages!$B$2:$S$400,MATCH($B$1,Languages!$B$1:$S$1,0),FALSE)</f>
        <v>AEW</v>
      </c>
    </row>
    <row r="347" spans="1:15" x14ac:dyDescent="0.2">
      <c r="B347" t="str">
        <f>VLOOKUP(Languages!B347,Languages!$B$2:$S$400,MATCH($B$1,Languages!$B$1:$S$1,0),FALSE)</f>
        <v>Egg/hh</v>
      </c>
    </row>
    <row r="348" spans="1:15" x14ac:dyDescent="0.2">
      <c r="B348" t="str">
        <f>VLOOKUP(Languages!B348,Languages!$B$2:$S$400,MATCH($B$1,Languages!$B$1:$S$1,0),FALSE)</f>
        <v>FCR</v>
      </c>
    </row>
    <row r="349" spans="1:15" x14ac:dyDescent="0.2">
      <c r="B349" t="str">
        <f>VLOOKUP(Languages!B349,Languages!$B$2:$S$400,MATCH($B$1,Languages!$B$1:$S$1,0),FALSE)</f>
        <v>FCR egg</v>
      </c>
    </row>
    <row r="350" spans="1:15" x14ac:dyDescent="0.2">
      <c r="B350" t="str">
        <f>VLOOKUP(Languages!B350,Languages!$B$2:$S$400,MATCH($B$1,Languages!$B$1:$S$1,0),FALSE)</f>
        <v>Cum feed cons</v>
      </c>
    </row>
    <row r="351" spans="1:15" x14ac:dyDescent="0.2">
      <c r="B351" t="str">
        <f>VLOOKUP(Languages!B351,Languages!$B$2:$S$400,MATCH($B$1,Languages!$B$1:$S$1,0),FALSE)</f>
        <v>Week</v>
      </c>
    </row>
    <row r="352" spans="1:15" x14ac:dyDescent="0.2">
      <c r="B352" t="str">
        <f>VLOOKUP(Languages!B352,Languages!$B$2:$S$400,MATCH($B$1,Languages!$B$1:$S$1,0),FALSE)</f>
        <v>Language</v>
      </c>
    </row>
    <row r="353" spans="1:2" x14ac:dyDescent="0.2">
      <c r="B353">
        <f>VLOOKUP(Languages!B353,Languages!$B$2:$S$400,MATCH($B$1,Languages!$B$1:$S$1,0),FALSE)</f>
        <v>0</v>
      </c>
    </row>
    <row r="354" spans="1:2" x14ac:dyDescent="0.2">
      <c r="A354" t="s">
        <v>982</v>
      </c>
      <c r="B354" t="str">
        <f>VLOOKUP(Languages!B354,Languages!$B$2:$S$400,MATCH($B$1,Languages!$B$1:$S$1,0),FALSE)</f>
        <v>[$-809]dd mmm yyyy;@</v>
      </c>
    </row>
    <row r="355" spans="1:2" x14ac:dyDescent="0.2">
      <c r="B355" t="str">
        <f>VLOOKUP(Languages!B355,Languages!$B$2:$S$400,MATCH($B$1,Languages!$B$1:$S$1,0),FALSE)</f>
        <v>[$-809]ddd</v>
      </c>
    </row>
    <row r="356" spans="1:2" x14ac:dyDescent="0.2">
      <c r="B356" t="str">
        <f>VLOOKUP(Languages!B356,Languages!$B$2:$S$400,MATCH($B$1,Languages!$B$1:$S$1,0),FALSE)</f>
        <v>[$-809]</v>
      </c>
    </row>
    <row r="357" spans="1:2" x14ac:dyDescent="0.2">
      <c r="B357" t="str">
        <f>VLOOKUP(Languages!B357,Languages!$B$2:$S$400,MATCH($B$1,Languages!$B$1:$S$1,0),FALSE)</f>
        <v>d</v>
      </c>
    </row>
    <row r="358" spans="1:2" x14ac:dyDescent="0.2">
      <c r="B358" t="str">
        <f>VLOOKUP(Languages!B358,Languages!$B$2:$S$400,MATCH($B$1,Languages!$B$1:$S$1,0),FALSE)</f>
        <v>m</v>
      </c>
    </row>
    <row r="359" spans="1:2" x14ac:dyDescent="0.2">
      <c r="B359" t="str">
        <f>VLOOKUP(Languages!B359,Languages!$B$2:$S$400,MATCH($B$1,Languages!$B$1:$S$1,0),FALSE)</f>
        <v>y</v>
      </c>
    </row>
    <row r="361" spans="1:2" x14ac:dyDescent="0.2">
      <c r="B361" t="str">
        <f>VLOOKUP(Languages!B361,Languages!$B$2:$S$400,MATCH($B$1,Languages!$B$1:$S$1,0),FALSE)</f>
        <v>en</v>
      </c>
    </row>
    <row r="362" spans="1:2" x14ac:dyDescent="0.2">
      <c r="B362" t="str">
        <f>VLOOKUP(Languages!B362,Languages!$B$2:$S$400,MATCH($B$1,Languages!$B$1:$S$1,0),FALSE)</f>
        <v>Latest week</v>
      </c>
    </row>
    <row r="363" spans="1:2" x14ac:dyDescent="0.2">
      <c r="B363" t="str">
        <f>VLOOKUP(Languages!B363,Languages!$B$2:$S$400,MATCH($B$1,Languages!$B$1:$S$1,0),FALSE)</f>
        <v>Civil Week</v>
      </c>
    </row>
  </sheetData>
  <sheetProtection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theme="0"/>
  </sheetPr>
  <dimension ref="A1:R363"/>
  <sheetViews>
    <sheetView zoomScale="85" zoomScaleNormal="85" workbookViewId="0">
      <pane xSplit="1" ySplit="1" topLeftCell="B329" activePane="bottomRight" state="frozen"/>
      <selection activeCell="B20" sqref="B20:D20"/>
      <selection pane="topRight" activeCell="B20" sqref="B20:D20"/>
      <selection pane="bottomLeft" activeCell="B20" sqref="B20:D20"/>
      <selection pane="bottomRight" activeCell="C364" sqref="C364"/>
    </sheetView>
  </sheetViews>
  <sheetFormatPr defaultColWidth="9.140625" defaultRowHeight="12.75" x14ac:dyDescent="0.2"/>
  <cols>
    <col min="1" max="2" width="9.140625" customWidth="1"/>
    <col min="3" max="5" width="13.28515625" customWidth="1"/>
    <col min="6" max="6" width="17.28515625" customWidth="1"/>
    <col min="7" max="18" width="13.28515625" customWidth="1"/>
  </cols>
  <sheetData>
    <row r="1" spans="1:18" x14ac:dyDescent="0.2">
      <c r="B1">
        <v>1</v>
      </c>
      <c r="C1" t="s">
        <v>5135</v>
      </c>
      <c r="D1" t="s">
        <v>2131</v>
      </c>
      <c r="E1" t="s">
        <v>5134</v>
      </c>
      <c r="F1" t="s">
        <v>1871</v>
      </c>
      <c r="G1" t="s">
        <v>104</v>
      </c>
      <c r="H1" t="s">
        <v>4643</v>
      </c>
      <c r="I1" t="s">
        <v>3138</v>
      </c>
      <c r="J1" t="s">
        <v>5138</v>
      </c>
      <c r="K1" t="s">
        <v>5139</v>
      </c>
      <c r="L1" t="s">
        <v>5140</v>
      </c>
      <c r="M1" t="s">
        <v>4882</v>
      </c>
      <c r="N1" t="s">
        <v>5141</v>
      </c>
      <c r="O1" t="s">
        <v>5133</v>
      </c>
      <c r="P1" t="s">
        <v>5136</v>
      </c>
      <c r="Q1" t="s">
        <v>5142</v>
      </c>
      <c r="R1" t="s">
        <v>5137</v>
      </c>
    </row>
    <row r="2" spans="1:18" x14ac:dyDescent="0.2">
      <c r="A2" t="s">
        <v>944</v>
      </c>
      <c r="B2">
        <v>2</v>
      </c>
      <c r="C2" t="s">
        <v>3405</v>
      </c>
      <c r="D2" t="s">
        <v>1371</v>
      </c>
      <c r="E2" t="s">
        <v>1872</v>
      </c>
      <c r="F2" t="s">
        <v>1110</v>
      </c>
      <c r="G2" t="s">
        <v>3648</v>
      </c>
      <c r="H2" t="s">
        <v>4396</v>
      </c>
      <c r="I2" t="s">
        <v>2889</v>
      </c>
      <c r="J2" t="s">
        <v>3881</v>
      </c>
      <c r="K2" t="s">
        <v>2132</v>
      </c>
      <c r="L2" t="s">
        <v>2643</v>
      </c>
      <c r="M2" t="s">
        <v>4883</v>
      </c>
      <c r="N2" t="s">
        <v>4139</v>
      </c>
      <c r="O2" t="s">
        <v>3139</v>
      </c>
      <c r="P2" t="s">
        <v>1620</v>
      </c>
      <c r="Q2" t="s">
        <v>2390</v>
      </c>
      <c r="R2" t="s">
        <v>4644</v>
      </c>
    </row>
    <row r="3" spans="1:18" x14ac:dyDescent="0.2">
      <c r="B3">
        <v>3</v>
      </c>
      <c r="C3" t="s">
        <v>3406</v>
      </c>
      <c r="D3" t="s">
        <v>1372</v>
      </c>
      <c r="E3" t="s">
        <v>1873</v>
      </c>
      <c r="F3" t="s">
        <v>1111</v>
      </c>
      <c r="G3" t="s">
        <v>3649</v>
      </c>
      <c r="H3" t="s">
        <v>4397</v>
      </c>
      <c r="I3" t="s">
        <v>2890</v>
      </c>
      <c r="J3" t="s">
        <v>3882</v>
      </c>
      <c r="K3" t="s">
        <v>2133</v>
      </c>
      <c r="L3" t="s">
        <v>2644</v>
      </c>
      <c r="M3" t="s">
        <v>4884</v>
      </c>
      <c r="N3" t="s">
        <v>4140</v>
      </c>
      <c r="O3" t="s">
        <v>3140</v>
      </c>
      <c r="P3" t="s">
        <v>1621</v>
      </c>
      <c r="Q3" t="s">
        <v>2391</v>
      </c>
      <c r="R3" t="s">
        <v>4645</v>
      </c>
    </row>
    <row r="4" spans="1:18" x14ac:dyDescent="0.2">
      <c r="B4">
        <v>4</v>
      </c>
      <c r="H4" t="s">
        <v>4398</v>
      </c>
    </row>
    <row r="5" spans="1:18" x14ac:dyDescent="0.2">
      <c r="B5">
        <v>5</v>
      </c>
      <c r="C5" t="s">
        <v>3407</v>
      </c>
      <c r="D5" t="s">
        <v>1373</v>
      </c>
      <c r="E5" t="s">
        <v>1874</v>
      </c>
      <c r="F5" t="s">
        <v>1112</v>
      </c>
      <c r="G5" t="s">
        <v>3650</v>
      </c>
      <c r="H5" t="s">
        <v>4399</v>
      </c>
      <c r="I5" t="s">
        <v>2891</v>
      </c>
      <c r="J5" t="s">
        <v>3883</v>
      </c>
      <c r="K5" t="s">
        <v>2134</v>
      </c>
      <c r="L5" t="s">
        <v>2645</v>
      </c>
      <c r="M5" t="s">
        <v>4885</v>
      </c>
      <c r="N5" t="s">
        <v>4141</v>
      </c>
      <c r="O5" t="s">
        <v>3141</v>
      </c>
      <c r="P5" t="s">
        <v>1622</v>
      </c>
      <c r="Q5" t="s">
        <v>2392</v>
      </c>
      <c r="R5" t="s">
        <v>4646</v>
      </c>
    </row>
    <row r="6" spans="1:18" x14ac:dyDescent="0.2">
      <c r="B6">
        <v>6</v>
      </c>
      <c r="C6" t="s">
        <v>3408</v>
      </c>
      <c r="D6" t="s">
        <v>1374</v>
      </c>
      <c r="E6" t="s">
        <v>1875</v>
      </c>
      <c r="F6" t="s">
        <v>1113</v>
      </c>
      <c r="G6" t="s">
        <v>3651</v>
      </c>
      <c r="H6" t="s">
        <v>4400</v>
      </c>
      <c r="I6" t="s">
        <v>2892</v>
      </c>
      <c r="J6" t="s">
        <v>3884</v>
      </c>
      <c r="K6" t="s">
        <v>2135</v>
      </c>
      <c r="L6" t="s">
        <v>2646</v>
      </c>
      <c r="M6" t="s">
        <v>4886</v>
      </c>
      <c r="N6" t="s">
        <v>4142</v>
      </c>
      <c r="O6" t="s">
        <v>3142</v>
      </c>
      <c r="P6" t="s">
        <v>1623</v>
      </c>
      <c r="Q6" t="s">
        <v>2393</v>
      </c>
      <c r="R6" t="s">
        <v>4647</v>
      </c>
    </row>
    <row r="7" spans="1:18" x14ac:dyDescent="0.2">
      <c r="B7">
        <v>7</v>
      </c>
      <c r="C7" t="s">
        <v>3409</v>
      </c>
      <c r="D7" t="s">
        <v>1375</v>
      </c>
      <c r="E7" t="s">
        <v>1876</v>
      </c>
      <c r="F7" t="s">
        <v>1114</v>
      </c>
      <c r="G7" t="s">
        <v>3652</v>
      </c>
      <c r="H7" t="s">
        <v>4401</v>
      </c>
      <c r="I7" t="s">
        <v>2893</v>
      </c>
      <c r="J7" t="s">
        <v>3885</v>
      </c>
      <c r="K7" t="s">
        <v>2136</v>
      </c>
      <c r="L7" t="s">
        <v>2647</v>
      </c>
      <c r="M7" t="s">
        <v>4887</v>
      </c>
      <c r="N7" t="s">
        <v>4143</v>
      </c>
      <c r="O7" t="s">
        <v>3143</v>
      </c>
      <c r="P7" t="s">
        <v>1624</v>
      </c>
      <c r="Q7" t="s">
        <v>2394</v>
      </c>
      <c r="R7" t="s">
        <v>4648</v>
      </c>
    </row>
    <row r="8" spans="1:18" x14ac:dyDescent="0.2">
      <c r="B8">
        <v>8</v>
      </c>
      <c r="C8" t="s">
        <v>3410</v>
      </c>
      <c r="D8" t="s">
        <v>1376</v>
      </c>
      <c r="E8" t="s">
        <v>1877</v>
      </c>
      <c r="F8" t="s">
        <v>1115</v>
      </c>
      <c r="G8" t="s">
        <v>3653</v>
      </c>
      <c r="H8" t="s">
        <v>4402</v>
      </c>
      <c r="I8" t="s">
        <v>2894</v>
      </c>
      <c r="J8" t="s">
        <v>3886</v>
      </c>
      <c r="K8" t="s">
        <v>2137</v>
      </c>
      <c r="L8" t="s">
        <v>2648</v>
      </c>
      <c r="M8" t="s">
        <v>4888</v>
      </c>
      <c r="N8" t="s">
        <v>4144</v>
      </c>
      <c r="O8" t="s">
        <v>3144</v>
      </c>
      <c r="P8" t="s">
        <v>1625</v>
      </c>
      <c r="Q8" t="s">
        <v>2395</v>
      </c>
      <c r="R8" t="s">
        <v>4644</v>
      </c>
    </row>
    <row r="9" spans="1:18" x14ac:dyDescent="0.2">
      <c r="B9">
        <v>9</v>
      </c>
      <c r="C9" t="s">
        <v>3411</v>
      </c>
      <c r="D9" t="s">
        <v>1377</v>
      </c>
      <c r="E9" t="s">
        <v>1878</v>
      </c>
      <c r="F9" t="s">
        <v>1116</v>
      </c>
      <c r="G9" t="s">
        <v>3654</v>
      </c>
      <c r="H9" t="s">
        <v>4403</v>
      </c>
      <c r="I9" t="s">
        <v>2895</v>
      </c>
      <c r="J9" t="s">
        <v>3887</v>
      </c>
      <c r="K9" t="s">
        <v>2138</v>
      </c>
      <c r="L9" t="s">
        <v>2649</v>
      </c>
      <c r="M9" t="s">
        <v>4889</v>
      </c>
      <c r="N9" t="s">
        <v>4145</v>
      </c>
      <c r="O9" t="s">
        <v>3145</v>
      </c>
      <c r="P9" t="s">
        <v>1626</v>
      </c>
      <c r="Q9" t="s">
        <v>2396</v>
      </c>
      <c r="R9" t="s">
        <v>4649</v>
      </c>
    </row>
    <row r="10" spans="1:18" x14ac:dyDescent="0.2">
      <c r="B10">
        <v>10</v>
      </c>
      <c r="C10" t="s">
        <v>3412</v>
      </c>
      <c r="D10" t="s">
        <v>1378</v>
      </c>
      <c r="E10" t="s">
        <v>1879</v>
      </c>
      <c r="F10" t="s">
        <v>1117</v>
      </c>
      <c r="G10" t="s">
        <v>3655</v>
      </c>
      <c r="H10" t="s">
        <v>4404</v>
      </c>
      <c r="I10" t="s">
        <v>2896</v>
      </c>
      <c r="J10" t="s">
        <v>3888</v>
      </c>
      <c r="K10" t="s">
        <v>2139</v>
      </c>
      <c r="L10" t="s">
        <v>2650</v>
      </c>
      <c r="M10" t="s">
        <v>4890</v>
      </c>
      <c r="N10" t="s">
        <v>4146</v>
      </c>
      <c r="P10" t="s">
        <v>1627</v>
      </c>
      <c r="Q10" t="s">
        <v>2397</v>
      </c>
      <c r="R10" t="s">
        <v>4650</v>
      </c>
    </row>
    <row r="11" spans="1:18" x14ac:dyDescent="0.2">
      <c r="B11">
        <v>11</v>
      </c>
      <c r="C11" t="s">
        <v>3413</v>
      </c>
      <c r="D11" t="s">
        <v>356</v>
      </c>
      <c r="E11" t="s">
        <v>1880</v>
      </c>
      <c r="F11" t="s">
        <v>1118</v>
      </c>
      <c r="G11" t="s">
        <v>3656</v>
      </c>
      <c r="H11" t="s">
        <v>4405</v>
      </c>
      <c r="I11" t="s">
        <v>2897</v>
      </c>
      <c r="J11" t="s">
        <v>3889</v>
      </c>
      <c r="K11" t="s">
        <v>2140</v>
      </c>
      <c r="L11" t="s">
        <v>2651</v>
      </c>
      <c r="M11" t="s">
        <v>4891</v>
      </c>
      <c r="N11" t="s">
        <v>4147</v>
      </c>
      <c r="O11" t="s">
        <v>3146</v>
      </c>
      <c r="P11" t="s">
        <v>1628</v>
      </c>
      <c r="Q11" t="s">
        <v>2398</v>
      </c>
      <c r="R11" t="s">
        <v>4651</v>
      </c>
    </row>
    <row r="12" spans="1:18" x14ac:dyDescent="0.2">
      <c r="B12">
        <v>12</v>
      </c>
      <c r="C12" t="s">
        <v>3414</v>
      </c>
      <c r="D12" t="s">
        <v>1379</v>
      </c>
      <c r="E12" t="s">
        <v>1881</v>
      </c>
      <c r="F12" t="s">
        <v>1119</v>
      </c>
      <c r="G12" t="s">
        <v>3657</v>
      </c>
      <c r="H12" t="s">
        <v>4406</v>
      </c>
      <c r="I12" t="s">
        <v>2898</v>
      </c>
      <c r="J12" t="s">
        <v>3890</v>
      </c>
      <c r="K12" t="s">
        <v>2141</v>
      </c>
      <c r="L12" t="s">
        <v>2652</v>
      </c>
      <c r="M12" t="s">
        <v>4892</v>
      </c>
      <c r="N12" t="s">
        <v>4148</v>
      </c>
      <c r="O12" t="s">
        <v>3147</v>
      </c>
      <c r="P12" t="s">
        <v>1629</v>
      </c>
      <c r="Q12" t="s">
        <v>2399</v>
      </c>
      <c r="R12" t="s">
        <v>4652</v>
      </c>
    </row>
    <row r="13" spans="1:18" x14ac:dyDescent="0.2">
      <c r="B13">
        <v>13</v>
      </c>
      <c r="C13" t="s">
        <v>3415</v>
      </c>
      <c r="D13" t="s">
        <v>1380</v>
      </c>
      <c r="E13" t="s">
        <v>1882</v>
      </c>
      <c r="F13" t="s">
        <v>1120</v>
      </c>
      <c r="G13" t="s">
        <v>3658</v>
      </c>
      <c r="H13" t="s">
        <v>4407</v>
      </c>
      <c r="I13" t="s">
        <v>2899</v>
      </c>
      <c r="J13" t="s">
        <v>3891</v>
      </c>
      <c r="K13" t="s">
        <v>2142</v>
      </c>
      <c r="L13" t="s">
        <v>2653</v>
      </c>
      <c r="M13" t="s">
        <v>4893</v>
      </c>
      <c r="N13" t="s">
        <v>4149</v>
      </c>
      <c r="O13" t="s">
        <v>3148</v>
      </c>
      <c r="P13" t="s">
        <v>1630</v>
      </c>
      <c r="Q13" t="s">
        <v>2400</v>
      </c>
      <c r="R13" t="s">
        <v>4653</v>
      </c>
    </row>
    <row r="14" spans="1:18" x14ac:dyDescent="0.2">
      <c r="B14">
        <v>14</v>
      </c>
      <c r="C14" t="s">
        <v>3416</v>
      </c>
      <c r="D14" t="s">
        <v>1381</v>
      </c>
      <c r="E14" t="s">
        <v>1883</v>
      </c>
      <c r="F14" t="s">
        <v>1121</v>
      </c>
      <c r="G14" t="s">
        <v>3659</v>
      </c>
      <c r="H14" t="s">
        <v>4408</v>
      </c>
      <c r="I14" t="s">
        <v>2900</v>
      </c>
      <c r="J14" t="s">
        <v>3892</v>
      </c>
      <c r="K14" t="s">
        <v>2143</v>
      </c>
      <c r="L14" t="s">
        <v>2654</v>
      </c>
      <c r="M14" t="s">
        <v>4894</v>
      </c>
      <c r="N14" t="s">
        <v>4150</v>
      </c>
      <c r="O14" t="s">
        <v>3149</v>
      </c>
      <c r="P14" t="s">
        <v>1631</v>
      </c>
      <c r="Q14" t="s">
        <v>2401</v>
      </c>
      <c r="R14" t="s">
        <v>4654</v>
      </c>
    </row>
    <row r="15" spans="1:18" x14ac:dyDescent="0.2">
      <c r="B15">
        <v>15</v>
      </c>
      <c r="C15" t="s">
        <v>3417</v>
      </c>
      <c r="D15" t="s">
        <v>1382</v>
      </c>
      <c r="E15" t="s">
        <v>1884</v>
      </c>
      <c r="F15" t="s">
        <v>1122</v>
      </c>
      <c r="G15" t="s">
        <v>3660</v>
      </c>
      <c r="H15" t="s">
        <v>4409</v>
      </c>
      <c r="I15" t="s">
        <v>2901</v>
      </c>
      <c r="J15" t="s">
        <v>3893</v>
      </c>
      <c r="K15" t="s">
        <v>2144</v>
      </c>
      <c r="L15" t="s">
        <v>2655</v>
      </c>
      <c r="M15" t="s">
        <v>4895</v>
      </c>
      <c r="N15" t="s">
        <v>4151</v>
      </c>
      <c r="O15" t="s">
        <v>3150</v>
      </c>
      <c r="P15" t="s">
        <v>1632</v>
      </c>
      <c r="Q15" t="s">
        <v>2402</v>
      </c>
      <c r="R15" t="s">
        <v>4655</v>
      </c>
    </row>
    <row r="16" spans="1:18" x14ac:dyDescent="0.2">
      <c r="B16">
        <v>16</v>
      </c>
      <c r="C16" t="s">
        <v>3418</v>
      </c>
      <c r="D16" t="s">
        <v>1383</v>
      </c>
      <c r="E16" t="s">
        <v>1885</v>
      </c>
      <c r="F16" t="s">
        <v>1123</v>
      </c>
      <c r="G16" t="s">
        <v>3661</v>
      </c>
      <c r="H16" t="s">
        <v>4410</v>
      </c>
      <c r="I16" t="s">
        <v>2902</v>
      </c>
      <c r="J16" t="s">
        <v>3894</v>
      </c>
      <c r="K16" t="s">
        <v>2145</v>
      </c>
      <c r="L16" t="s">
        <v>2656</v>
      </c>
      <c r="M16" t="s">
        <v>4896</v>
      </c>
      <c r="N16" t="s">
        <v>4152</v>
      </c>
      <c r="O16" t="s">
        <v>3151</v>
      </c>
      <c r="P16" t="s">
        <v>1633</v>
      </c>
      <c r="Q16" t="s">
        <v>2403</v>
      </c>
      <c r="R16" t="s">
        <v>4656</v>
      </c>
    </row>
    <row r="17" spans="1:18" x14ac:dyDescent="0.2">
      <c r="B17">
        <v>17</v>
      </c>
      <c r="C17" t="s">
        <v>2903</v>
      </c>
      <c r="D17" t="s">
        <v>21</v>
      </c>
      <c r="E17" t="s">
        <v>1886</v>
      </c>
      <c r="F17" t="s">
        <v>1124</v>
      </c>
      <c r="G17" t="s">
        <v>3662</v>
      </c>
      <c r="H17" t="s">
        <v>4411</v>
      </c>
      <c r="I17" t="s">
        <v>2903</v>
      </c>
      <c r="J17" t="s">
        <v>3895</v>
      </c>
      <c r="K17" t="s">
        <v>1886</v>
      </c>
      <c r="L17" t="s">
        <v>2657</v>
      </c>
      <c r="M17" t="s">
        <v>4897</v>
      </c>
      <c r="N17" t="s">
        <v>4153</v>
      </c>
      <c r="O17" t="s">
        <v>3152</v>
      </c>
      <c r="P17" t="s">
        <v>1634</v>
      </c>
      <c r="Q17" t="s">
        <v>2404</v>
      </c>
      <c r="R17" t="s">
        <v>4657</v>
      </c>
    </row>
    <row r="18" spans="1:18" x14ac:dyDescent="0.2">
      <c r="B18">
        <v>18</v>
      </c>
      <c r="C18" t="s">
        <v>3419</v>
      </c>
      <c r="D18" t="s">
        <v>1384</v>
      </c>
      <c r="E18" t="s">
        <v>1887</v>
      </c>
      <c r="F18" t="s">
        <v>1125</v>
      </c>
      <c r="G18" t="s">
        <v>3663</v>
      </c>
      <c r="H18" t="s">
        <v>2904</v>
      </c>
      <c r="I18" t="s">
        <v>2904</v>
      </c>
      <c r="J18" t="s">
        <v>3896</v>
      </c>
      <c r="K18" t="s">
        <v>2146</v>
      </c>
      <c r="L18" t="s">
        <v>2658</v>
      </c>
      <c r="M18" t="s">
        <v>2904</v>
      </c>
      <c r="N18" t="s">
        <v>4154</v>
      </c>
      <c r="O18" t="s">
        <v>3153</v>
      </c>
      <c r="P18" t="s">
        <v>1635</v>
      </c>
      <c r="Q18" t="s">
        <v>2405</v>
      </c>
      <c r="R18" t="s">
        <v>4658</v>
      </c>
    </row>
    <row r="19" spans="1:18" x14ac:dyDescent="0.2">
      <c r="B19">
        <v>19</v>
      </c>
      <c r="C19" t="s">
        <v>3420</v>
      </c>
      <c r="D19" t="s">
        <v>1385</v>
      </c>
      <c r="E19" t="s">
        <v>1888</v>
      </c>
      <c r="F19" t="s">
        <v>1126</v>
      </c>
      <c r="G19" t="s">
        <v>3664</v>
      </c>
      <c r="H19" t="s">
        <v>4412</v>
      </c>
      <c r="I19" t="s">
        <v>2905</v>
      </c>
      <c r="J19" t="s">
        <v>3897</v>
      </c>
      <c r="K19" t="s">
        <v>2147</v>
      </c>
      <c r="L19" t="s">
        <v>2659</v>
      </c>
      <c r="M19" t="s">
        <v>4898</v>
      </c>
      <c r="N19" t="s">
        <v>4155</v>
      </c>
      <c r="O19" t="s">
        <v>3154</v>
      </c>
      <c r="P19" t="s">
        <v>1636</v>
      </c>
      <c r="Q19" t="s">
        <v>2406</v>
      </c>
      <c r="R19" t="s">
        <v>4659</v>
      </c>
    </row>
    <row r="20" spans="1:18" x14ac:dyDescent="0.2">
      <c r="B20">
        <v>20</v>
      </c>
      <c r="C20" t="s">
        <v>3421</v>
      </c>
      <c r="D20" t="s">
        <v>1386</v>
      </c>
      <c r="E20" t="s">
        <v>1889</v>
      </c>
      <c r="F20" t="s">
        <v>1127</v>
      </c>
      <c r="G20" t="s">
        <v>3665</v>
      </c>
      <c r="H20" t="s">
        <v>4413</v>
      </c>
      <c r="I20" t="s">
        <v>2906</v>
      </c>
      <c r="J20" t="s">
        <v>3898</v>
      </c>
      <c r="K20" t="s">
        <v>2148</v>
      </c>
      <c r="L20" t="s">
        <v>2660</v>
      </c>
      <c r="M20" t="s">
        <v>4899</v>
      </c>
      <c r="N20" t="s">
        <v>4156</v>
      </c>
      <c r="O20" t="s">
        <v>3155</v>
      </c>
      <c r="P20" t="s">
        <v>1637</v>
      </c>
      <c r="Q20" t="s">
        <v>2407</v>
      </c>
      <c r="R20" t="s">
        <v>4660</v>
      </c>
    </row>
    <row r="21" spans="1:18" x14ac:dyDescent="0.2">
      <c r="B21">
        <v>21</v>
      </c>
      <c r="C21" t="s">
        <v>3422</v>
      </c>
      <c r="D21" t="s">
        <v>1387</v>
      </c>
      <c r="E21" t="s">
        <v>1890</v>
      </c>
      <c r="F21" t="s">
        <v>1128</v>
      </c>
      <c r="G21" t="s">
        <v>3666</v>
      </c>
      <c r="H21" t="s">
        <v>4414</v>
      </c>
      <c r="I21" t="s">
        <v>2907</v>
      </c>
      <c r="J21" t="s">
        <v>3899</v>
      </c>
      <c r="K21" t="s">
        <v>2149</v>
      </c>
      <c r="L21" t="s">
        <v>2661</v>
      </c>
      <c r="M21" t="s">
        <v>4900</v>
      </c>
      <c r="N21" t="s">
        <v>4157</v>
      </c>
      <c r="O21" t="s">
        <v>3156</v>
      </c>
      <c r="P21" t="s">
        <v>1638</v>
      </c>
      <c r="Q21" t="s">
        <v>2408</v>
      </c>
      <c r="R21" t="s">
        <v>4661</v>
      </c>
    </row>
    <row r="22" spans="1:18" x14ac:dyDescent="0.2">
      <c r="B22">
        <v>22</v>
      </c>
      <c r="H22" t="s">
        <v>4398</v>
      </c>
    </row>
    <row r="23" spans="1:18" x14ac:dyDescent="0.2">
      <c r="B23">
        <v>23</v>
      </c>
      <c r="C23" t="s">
        <v>3423</v>
      </c>
      <c r="D23" t="s">
        <v>1388</v>
      </c>
      <c r="E23" t="s">
        <v>1891</v>
      </c>
      <c r="F23" t="s">
        <v>1129</v>
      </c>
      <c r="G23" t="s">
        <v>3667</v>
      </c>
      <c r="H23" t="s">
        <v>4415</v>
      </c>
      <c r="I23" t="s">
        <v>2908</v>
      </c>
      <c r="J23" t="s">
        <v>3900</v>
      </c>
      <c r="K23" t="s">
        <v>2150</v>
      </c>
      <c r="L23" t="s">
        <v>2662</v>
      </c>
      <c r="M23" t="s">
        <v>4901</v>
      </c>
      <c r="N23" t="s">
        <v>4158</v>
      </c>
      <c r="O23" t="s">
        <v>3157</v>
      </c>
      <c r="P23" t="s">
        <v>1639</v>
      </c>
      <c r="Q23" t="s">
        <v>2409</v>
      </c>
      <c r="R23" t="s">
        <v>4662</v>
      </c>
    </row>
    <row r="24" spans="1:18" x14ac:dyDescent="0.2">
      <c r="A24" t="s">
        <v>5143</v>
      </c>
      <c r="B24">
        <v>24</v>
      </c>
      <c r="C24" t="s">
        <v>3424</v>
      </c>
      <c r="D24" t="s">
        <v>1389</v>
      </c>
      <c r="E24" t="s">
        <v>1892</v>
      </c>
      <c r="F24" t="s">
        <v>1130</v>
      </c>
      <c r="G24" t="s">
        <v>3668</v>
      </c>
      <c r="H24" t="s">
        <v>4416</v>
      </c>
      <c r="I24" t="s">
        <v>2909</v>
      </c>
      <c r="J24" t="s">
        <v>3901</v>
      </c>
      <c r="K24" t="s">
        <v>2151</v>
      </c>
      <c r="L24" t="s">
        <v>2663</v>
      </c>
      <c r="M24" t="s">
        <v>4902</v>
      </c>
      <c r="N24" t="s">
        <v>4159</v>
      </c>
      <c r="O24" t="s">
        <v>3158</v>
      </c>
      <c r="P24" t="s">
        <v>1640</v>
      </c>
      <c r="Q24" t="s">
        <v>2410</v>
      </c>
      <c r="R24" t="s">
        <v>4663</v>
      </c>
    </row>
    <row r="25" spans="1:18" x14ac:dyDescent="0.2">
      <c r="B25">
        <v>25</v>
      </c>
      <c r="C25" t="s">
        <v>3425</v>
      </c>
      <c r="D25" t="s">
        <v>1390</v>
      </c>
      <c r="E25" t="s">
        <v>1893</v>
      </c>
      <c r="F25" t="s">
        <v>1131</v>
      </c>
      <c r="G25" t="s">
        <v>3669</v>
      </c>
      <c r="H25" t="s">
        <v>4417</v>
      </c>
      <c r="I25" t="s">
        <v>2910</v>
      </c>
      <c r="J25" t="s">
        <v>3902</v>
      </c>
      <c r="K25" t="s">
        <v>2152</v>
      </c>
      <c r="L25" t="s">
        <v>2664</v>
      </c>
      <c r="M25" t="s">
        <v>4903</v>
      </c>
      <c r="N25" t="s">
        <v>4160</v>
      </c>
      <c r="O25" t="s">
        <v>3159</v>
      </c>
      <c r="P25" t="s">
        <v>1641</v>
      </c>
      <c r="Q25" t="s">
        <v>2411</v>
      </c>
      <c r="R25" t="s">
        <v>4664</v>
      </c>
    </row>
    <row r="26" spans="1:18" x14ac:dyDescent="0.2">
      <c r="B26">
        <v>26</v>
      </c>
      <c r="C26" t="s">
        <v>3426</v>
      </c>
      <c r="D26" t="s">
        <v>1391</v>
      </c>
      <c r="E26" t="s">
        <v>1894</v>
      </c>
      <c r="F26" t="s">
        <v>1132</v>
      </c>
      <c r="G26" t="s">
        <v>3670</v>
      </c>
      <c r="H26" t="s">
        <v>4418</v>
      </c>
      <c r="I26" t="s">
        <v>2911</v>
      </c>
      <c r="J26" t="s">
        <v>3903</v>
      </c>
      <c r="K26" t="s">
        <v>2153</v>
      </c>
      <c r="L26" t="s">
        <v>2665</v>
      </c>
      <c r="M26" t="s">
        <v>4904</v>
      </c>
      <c r="N26" t="s">
        <v>4161</v>
      </c>
      <c r="O26" t="s">
        <v>3160</v>
      </c>
      <c r="P26" t="s">
        <v>1642</v>
      </c>
      <c r="Q26" t="s">
        <v>2412</v>
      </c>
      <c r="R26" t="s">
        <v>4665</v>
      </c>
    </row>
    <row r="27" spans="1:18" x14ac:dyDescent="0.2">
      <c r="B27">
        <v>27</v>
      </c>
      <c r="C27" t="s">
        <v>3427</v>
      </c>
      <c r="D27" t="s">
        <v>1392</v>
      </c>
      <c r="E27" t="s">
        <v>1895</v>
      </c>
      <c r="F27" t="s">
        <v>1133</v>
      </c>
      <c r="G27" t="s">
        <v>3671</v>
      </c>
      <c r="H27" t="s">
        <v>4419</v>
      </c>
      <c r="I27" t="s">
        <v>2912</v>
      </c>
      <c r="J27" t="s">
        <v>3904</v>
      </c>
      <c r="K27" t="s">
        <v>2154</v>
      </c>
      <c r="L27" t="s">
        <v>2666</v>
      </c>
      <c r="M27" t="s">
        <v>4905</v>
      </c>
      <c r="N27" t="s">
        <v>4162</v>
      </c>
      <c r="O27" t="s">
        <v>3161</v>
      </c>
      <c r="P27" t="s">
        <v>1643</v>
      </c>
      <c r="Q27" t="s">
        <v>2413</v>
      </c>
      <c r="R27" t="s">
        <v>4666</v>
      </c>
    </row>
    <row r="28" spans="1:18" x14ac:dyDescent="0.2">
      <c r="B28">
        <v>28</v>
      </c>
      <c r="C28" t="s">
        <v>3428</v>
      </c>
      <c r="D28" t="s">
        <v>1393</v>
      </c>
      <c r="E28" t="s">
        <v>1896</v>
      </c>
      <c r="F28" t="s">
        <v>1134</v>
      </c>
      <c r="G28" t="s">
        <v>3672</v>
      </c>
      <c r="H28" t="s">
        <v>4420</v>
      </c>
      <c r="I28" t="s">
        <v>2913</v>
      </c>
      <c r="J28" t="s">
        <v>3905</v>
      </c>
      <c r="K28" t="s">
        <v>2155</v>
      </c>
      <c r="L28" t="s">
        <v>2667</v>
      </c>
      <c r="M28" t="s">
        <v>4906</v>
      </c>
      <c r="N28" t="s">
        <v>4163</v>
      </c>
      <c r="O28" t="s">
        <v>3162</v>
      </c>
      <c r="P28" t="s">
        <v>1644</v>
      </c>
      <c r="Q28" t="s">
        <v>2414</v>
      </c>
      <c r="R28" t="s">
        <v>4667</v>
      </c>
    </row>
    <row r="29" spans="1:18" x14ac:dyDescent="0.2">
      <c r="B29">
        <v>29</v>
      </c>
      <c r="C29" t="s">
        <v>3429</v>
      </c>
      <c r="D29" t="s">
        <v>1394</v>
      </c>
      <c r="E29" t="s">
        <v>1897</v>
      </c>
      <c r="F29" t="s">
        <v>1135</v>
      </c>
      <c r="G29" t="s">
        <v>3673</v>
      </c>
      <c r="H29" t="s">
        <v>4421</v>
      </c>
      <c r="I29" t="s">
        <v>2914</v>
      </c>
      <c r="J29" t="s">
        <v>3906</v>
      </c>
      <c r="K29" t="s">
        <v>2156</v>
      </c>
      <c r="L29" t="s">
        <v>2668</v>
      </c>
      <c r="M29" t="s">
        <v>4907</v>
      </c>
      <c r="N29" t="s">
        <v>4164</v>
      </c>
      <c r="O29" t="s">
        <v>3163</v>
      </c>
      <c r="P29" t="s">
        <v>1645</v>
      </c>
      <c r="Q29" t="s">
        <v>2415</v>
      </c>
      <c r="R29" t="s">
        <v>4668</v>
      </c>
    </row>
    <row r="30" spans="1:18" x14ac:dyDescent="0.2">
      <c r="B30">
        <v>30</v>
      </c>
      <c r="C30" t="s">
        <v>3430</v>
      </c>
      <c r="D30" t="s">
        <v>1395</v>
      </c>
      <c r="E30" t="s">
        <v>1898</v>
      </c>
      <c r="F30" t="s">
        <v>1136</v>
      </c>
      <c r="G30" t="s">
        <v>3674</v>
      </c>
      <c r="H30" t="s">
        <v>4422</v>
      </c>
      <c r="I30" t="s">
        <v>2915</v>
      </c>
      <c r="J30" t="s">
        <v>3907</v>
      </c>
      <c r="K30" t="s">
        <v>2157</v>
      </c>
      <c r="L30" t="s">
        <v>2669</v>
      </c>
      <c r="M30" t="s">
        <v>4908</v>
      </c>
      <c r="N30" t="s">
        <v>4165</v>
      </c>
      <c r="O30" t="s">
        <v>3164</v>
      </c>
      <c r="P30" t="s">
        <v>1646</v>
      </c>
      <c r="Q30" t="s">
        <v>2416</v>
      </c>
      <c r="R30" t="s">
        <v>4669</v>
      </c>
    </row>
    <row r="31" spans="1:18" x14ac:dyDescent="0.2">
      <c r="B31">
        <v>31</v>
      </c>
      <c r="C31" t="s">
        <v>3431</v>
      </c>
      <c r="D31" t="s">
        <v>1396</v>
      </c>
      <c r="E31" t="s">
        <v>1899</v>
      </c>
      <c r="F31" t="s">
        <v>1137</v>
      </c>
      <c r="G31" t="s">
        <v>3675</v>
      </c>
      <c r="H31" t="s">
        <v>4423</v>
      </c>
      <c r="I31" t="s">
        <v>2916</v>
      </c>
      <c r="J31" t="s">
        <v>3908</v>
      </c>
      <c r="K31" t="s">
        <v>2158</v>
      </c>
      <c r="L31" t="s">
        <v>2670</v>
      </c>
      <c r="M31" t="s">
        <v>4909</v>
      </c>
      <c r="N31" t="s">
        <v>4166</v>
      </c>
      <c r="O31" t="s">
        <v>3165</v>
      </c>
      <c r="P31" t="s">
        <v>1647</v>
      </c>
      <c r="Q31" t="s">
        <v>2417</v>
      </c>
      <c r="R31" t="s">
        <v>4670</v>
      </c>
    </row>
    <row r="32" spans="1:18" x14ac:dyDescent="0.2">
      <c r="B32">
        <v>32</v>
      </c>
      <c r="C32" t="s">
        <v>3432</v>
      </c>
      <c r="D32" t="s">
        <v>1397</v>
      </c>
      <c r="E32" t="s">
        <v>1900</v>
      </c>
      <c r="F32" t="s">
        <v>1138</v>
      </c>
      <c r="G32" t="s">
        <v>3676</v>
      </c>
      <c r="H32" t="s">
        <v>4424</v>
      </c>
      <c r="I32" t="s">
        <v>2917</v>
      </c>
      <c r="J32" t="s">
        <v>3909</v>
      </c>
      <c r="K32" t="s">
        <v>2159</v>
      </c>
      <c r="L32" t="s">
        <v>2671</v>
      </c>
      <c r="M32" t="s">
        <v>4910</v>
      </c>
      <c r="N32" t="s">
        <v>4167</v>
      </c>
      <c r="O32" t="s">
        <v>3166</v>
      </c>
      <c r="P32" t="s">
        <v>1648</v>
      </c>
      <c r="Q32" t="s">
        <v>2418</v>
      </c>
      <c r="R32" t="s">
        <v>4671</v>
      </c>
    </row>
    <row r="33" spans="2:18" x14ac:dyDescent="0.2">
      <c r="B33">
        <v>33</v>
      </c>
      <c r="C33" t="s">
        <v>3433</v>
      </c>
      <c r="D33" t="s">
        <v>1398</v>
      </c>
      <c r="E33" t="s">
        <v>1901</v>
      </c>
      <c r="F33" t="s">
        <v>1139</v>
      </c>
      <c r="G33" t="s">
        <v>3677</v>
      </c>
      <c r="H33" t="s">
        <v>4425</v>
      </c>
      <c r="I33" t="s">
        <v>2918</v>
      </c>
      <c r="J33" t="s">
        <v>3910</v>
      </c>
      <c r="K33" t="s">
        <v>2160</v>
      </c>
      <c r="L33" t="s">
        <v>2672</v>
      </c>
      <c r="M33" t="s">
        <v>4911</v>
      </c>
      <c r="N33" t="s">
        <v>4168</v>
      </c>
      <c r="O33" t="s">
        <v>3167</v>
      </c>
      <c r="P33" t="s">
        <v>1649</v>
      </c>
      <c r="Q33" t="s">
        <v>2419</v>
      </c>
      <c r="R33" t="s">
        <v>4672</v>
      </c>
    </row>
    <row r="34" spans="2:18" x14ac:dyDescent="0.2">
      <c r="B34">
        <v>34</v>
      </c>
      <c r="C34" t="s">
        <v>3434</v>
      </c>
      <c r="D34" t="s">
        <v>1399</v>
      </c>
      <c r="E34" t="s">
        <v>1902</v>
      </c>
      <c r="F34" t="s">
        <v>1140</v>
      </c>
      <c r="G34" t="s">
        <v>3678</v>
      </c>
      <c r="H34" t="s">
        <v>4426</v>
      </c>
      <c r="I34" t="s">
        <v>2919</v>
      </c>
      <c r="J34" t="s">
        <v>3911</v>
      </c>
      <c r="K34" t="s">
        <v>2161</v>
      </c>
      <c r="L34" t="s">
        <v>2673</v>
      </c>
      <c r="M34" t="s">
        <v>4912</v>
      </c>
      <c r="N34" t="s">
        <v>4169</v>
      </c>
      <c r="O34" t="s">
        <v>3168</v>
      </c>
      <c r="P34" t="s">
        <v>1650</v>
      </c>
      <c r="Q34" t="s">
        <v>2420</v>
      </c>
      <c r="R34" t="s">
        <v>4673</v>
      </c>
    </row>
    <row r="35" spans="2:18" x14ac:dyDescent="0.2">
      <c r="B35">
        <v>35</v>
      </c>
      <c r="C35" t="s">
        <v>3435</v>
      </c>
      <c r="D35" t="s">
        <v>1400</v>
      </c>
      <c r="E35" t="s">
        <v>1903</v>
      </c>
      <c r="F35" t="s">
        <v>1141</v>
      </c>
      <c r="G35" t="s">
        <v>3679</v>
      </c>
      <c r="H35" t="s">
        <v>4427</v>
      </c>
      <c r="I35" t="s">
        <v>2920</v>
      </c>
      <c r="J35" t="s">
        <v>3912</v>
      </c>
      <c r="K35" t="s">
        <v>2162</v>
      </c>
      <c r="L35" t="s">
        <v>2674</v>
      </c>
      <c r="M35" t="s">
        <v>4913</v>
      </c>
      <c r="N35" t="s">
        <v>4170</v>
      </c>
      <c r="O35" t="s">
        <v>3169</v>
      </c>
      <c r="P35" t="s">
        <v>1651</v>
      </c>
      <c r="Q35" t="s">
        <v>2421</v>
      </c>
      <c r="R35" t="s">
        <v>4674</v>
      </c>
    </row>
    <row r="36" spans="2:18" x14ac:dyDescent="0.2">
      <c r="B36">
        <v>36</v>
      </c>
      <c r="C36" t="s">
        <v>3436</v>
      </c>
      <c r="D36" t="s">
        <v>1401</v>
      </c>
      <c r="E36" t="s">
        <v>1904</v>
      </c>
      <c r="F36" t="s">
        <v>1142</v>
      </c>
      <c r="G36" t="s">
        <v>3680</v>
      </c>
      <c r="H36" t="s">
        <v>4428</v>
      </c>
      <c r="I36" t="s">
        <v>2921</v>
      </c>
      <c r="J36" t="s">
        <v>3913</v>
      </c>
      <c r="K36" t="s">
        <v>2163</v>
      </c>
      <c r="L36" t="s">
        <v>2675</v>
      </c>
      <c r="M36" t="s">
        <v>4914</v>
      </c>
      <c r="N36" t="s">
        <v>4171</v>
      </c>
      <c r="O36" t="s">
        <v>3170</v>
      </c>
      <c r="P36" t="s">
        <v>1652</v>
      </c>
      <c r="Q36" t="s">
        <v>2422</v>
      </c>
      <c r="R36" t="s">
        <v>4675</v>
      </c>
    </row>
    <row r="37" spans="2:18" x14ac:dyDescent="0.2">
      <c r="B37">
        <v>37</v>
      </c>
      <c r="H37" t="s">
        <v>4398</v>
      </c>
    </row>
    <row r="38" spans="2:18" x14ac:dyDescent="0.2">
      <c r="B38">
        <v>38</v>
      </c>
      <c r="C38" t="s">
        <v>3437</v>
      </c>
      <c r="D38" t="s">
        <v>1402</v>
      </c>
      <c r="E38" t="s">
        <v>1905</v>
      </c>
      <c r="F38" t="s">
        <v>1143</v>
      </c>
      <c r="G38" t="s">
        <v>3681</v>
      </c>
      <c r="H38" t="s">
        <v>4429</v>
      </c>
      <c r="I38" t="s">
        <v>2922</v>
      </c>
      <c r="J38" t="s">
        <v>3914</v>
      </c>
      <c r="K38" t="s">
        <v>2164</v>
      </c>
      <c r="L38" t="s">
        <v>2676</v>
      </c>
      <c r="M38" t="s">
        <v>4915</v>
      </c>
      <c r="N38" t="s">
        <v>4172</v>
      </c>
      <c r="O38" t="s">
        <v>3171</v>
      </c>
      <c r="P38" t="s">
        <v>1653</v>
      </c>
      <c r="Q38" t="s">
        <v>2423</v>
      </c>
      <c r="R38" t="s">
        <v>2423</v>
      </c>
    </row>
    <row r="39" spans="2:18" x14ac:dyDescent="0.2">
      <c r="B39">
        <v>39</v>
      </c>
      <c r="C39" t="s">
        <v>3438</v>
      </c>
      <c r="D39" t="s">
        <v>1403</v>
      </c>
      <c r="E39" t="s">
        <v>1906</v>
      </c>
      <c r="F39" t="s">
        <v>1144</v>
      </c>
      <c r="G39" t="s">
        <v>3682</v>
      </c>
      <c r="H39" t="s">
        <v>4430</v>
      </c>
      <c r="I39" t="s">
        <v>2923</v>
      </c>
      <c r="J39" t="s">
        <v>3915</v>
      </c>
      <c r="K39" t="s">
        <v>2165</v>
      </c>
      <c r="L39" t="s">
        <v>2677</v>
      </c>
      <c r="M39" t="s">
        <v>4916</v>
      </c>
      <c r="N39" t="s">
        <v>4173</v>
      </c>
      <c r="O39" t="s">
        <v>3172</v>
      </c>
      <c r="P39" t="s">
        <v>1654</v>
      </c>
      <c r="Q39" t="s">
        <v>2424</v>
      </c>
      <c r="R39" t="s">
        <v>4676</v>
      </c>
    </row>
    <row r="40" spans="2:18" x14ac:dyDescent="0.2">
      <c r="B40">
        <v>40</v>
      </c>
      <c r="C40" t="s">
        <v>3439</v>
      </c>
      <c r="D40" t="s">
        <v>1404</v>
      </c>
      <c r="E40" t="s">
        <v>1907</v>
      </c>
      <c r="F40" t="s">
        <v>1145</v>
      </c>
      <c r="G40" t="s">
        <v>3683</v>
      </c>
      <c r="H40" t="s">
        <v>4431</v>
      </c>
      <c r="I40" t="s">
        <v>2924</v>
      </c>
      <c r="J40" t="s">
        <v>3916</v>
      </c>
      <c r="K40" t="s">
        <v>2166</v>
      </c>
      <c r="L40" t="s">
        <v>2678</v>
      </c>
      <c r="M40" t="s">
        <v>4917</v>
      </c>
      <c r="N40" t="s">
        <v>4174</v>
      </c>
      <c r="O40" t="s">
        <v>3173</v>
      </c>
      <c r="P40" t="s">
        <v>1655</v>
      </c>
      <c r="Q40" t="s">
        <v>2425</v>
      </c>
      <c r="R40" t="s">
        <v>4677</v>
      </c>
    </row>
    <row r="41" spans="2:18" x14ac:dyDescent="0.2">
      <c r="B41">
        <v>41</v>
      </c>
      <c r="C41" t="s">
        <v>3440</v>
      </c>
      <c r="D41" t="s">
        <v>1405</v>
      </c>
      <c r="E41" t="s">
        <v>1908</v>
      </c>
      <c r="F41" t="s">
        <v>1146</v>
      </c>
      <c r="G41" t="s">
        <v>3684</v>
      </c>
      <c r="H41" t="s">
        <v>4432</v>
      </c>
      <c r="I41" t="s">
        <v>2925</v>
      </c>
      <c r="J41" t="s">
        <v>3917</v>
      </c>
      <c r="K41" t="s">
        <v>2167</v>
      </c>
      <c r="L41" t="s">
        <v>2679</v>
      </c>
      <c r="M41" t="s">
        <v>4918</v>
      </c>
      <c r="N41" t="s">
        <v>4175</v>
      </c>
      <c r="O41" t="s">
        <v>3174</v>
      </c>
      <c r="P41" t="s">
        <v>1656</v>
      </c>
      <c r="Q41" t="s">
        <v>2426</v>
      </c>
      <c r="R41" t="s">
        <v>4678</v>
      </c>
    </row>
    <row r="42" spans="2:18" x14ac:dyDescent="0.2">
      <c r="B42">
        <v>42</v>
      </c>
      <c r="C42" t="s">
        <v>3441</v>
      </c>
      <c r="D42" t="s">
        <v>1406</v>
      </c>
      <c r="E42" t="s">
        <v>1909</v>
      </c>
      <c r="F42" t="s">
        <v>1147</v>
      </c>
      <c r="G42" t="s">
        <v>3685</v>
      </c>
      <c r="H42" t="s">
        <v>4433</v>
      </c>
      <c r="I42" t="s">
        <v>2926</v>
      </c>
      <c r="J42" t="s">
        <v>3918</v>
      </c>
      <c r="K42" t="s">
        <v>2168</v>
      </c>
      <c r="L42" t="s">
        <v>2680</v>
      </c>
      <c r="M42" t="s">
        <v>4919</v>
      </c>
      <c r="N42" t="s">
        <v>4176</v>
      </c>
      <c r="O42" t="s">
        <v>3175</v>
      </c>
      <c r="P42" t="s">
        <v>1657</v>
      </c>
      <c r="Q42" t="s">
        <v>2427</v>
      </c>
      <c r="R42" t="s">
        <v>4679</v>
      </c>
    </row>
    <row r="43" spans="2:18" x14ac:dyDescent="0.2">
      <c r="B43">
        <v>43</v>
      </c>
      <c r="C43" t="s">
        <v>3442</v>
      </c>
      <c r="D43" t="s">
        <v>1407</v>
      </c>
      <c r="E43" t="s">
        <v>1910</v>
      </c>
      <c r="F43" t="s">
        <v>1148</v>
      </c>
      <c r="G43" t="s">
        <v>3686</v>
      </c>
      <c r="H43" t="s">
        <v>4434</v>
      </c>
      <c r="I43" t="s">
        <v>2927</v>
      </c>
      <c r="J43" t="s">
        <v>3919</v>
      </c>
      <c r="K43" t="s">
        <v>2169</v>
      </c>
      <c r="L43" t="s">
        <v>2681</v>
      </c>
      <c r="M43" t="s">
        <v>4920</v>
      </c>
      <c r="N43" t="s">
        <v>4177</v>
      </c>
      <c r="O43" t="s">
        <v>3176</v>
      </c>
      <c r="P43" t="s">
        <v>1658</v>
      </c>
      <c r="Q43" t="s">
        <v>2428</v>
      </c>
      <c r="R43" t="s">
        <v>4680</v>
      </c>
    </row>
    <row r="44" spans="2:18" x14ac:dyDescent="0.2">
      <c r="B44">
        <v>44</v>
      </c>
      <c r="C44" t="s">
        <v>3443</v>
      </c>
      <c r="D44" t="s">
        <v>1408</v>
      </c>
      <c r="E44" t="s">
        <v>1911</v>
      </c>
      <c r="F44" t="s">
        <v>1149</v>
      </c>
      <c r="G44" t="s">
        <v>3687</v>
      </c>
      <c r="H44" t="s">
        <v>4435</v>
      </c>
      <c r="I44" t="s">
        <v>2928</v>
      </c>
      <c r="J44" t="s">
        <v>3920</v>
      </c>
      <c r="K44" t="s">
        <v>2170</v>
      </c>
      <c r="L44" t="s">
        <v>2682</v>
      </c>
      <c r="M44" t="s">
        <v>4921</v>
      </c>
      <c r="N44" t="s">
        <v>4178</v>
      </c>
      <c r="O44" t="s">
        <v>3177</v>
      </c>
      <c r="P44" t="s">
        <v>1659</v>
      </c>
      <c r="Q44" t="s">
        <v>2429</v>
      </c>
      <c r="R44" t="s">
        <v>4681</v>
      </c>
    </row>
    <row r="45" spans="2:18" x14ac:dyDescent="0.2">
      <c r="B45">
        <v>45</v>
      </c>
      <c r="C45" t="s">
        <v>3444</v>
      </c>
      <c r="D45" t="s">
        <v>1409</v>
      </c>
      <c r="E45" t="s">
        <v>1912</v>
      </c>
      <c r="F45" t="s">
        <v>1150</v>
      </c>
      <c r="G45" t="s">
        <v>3688</v>
      </c>
      <c r="H45" t="s">
        <v>4436</v>
      </c>
      <c r="I45" t="s">
        <v>2929</v>
      </c>
      <c r="J45" t="s">
        <v>3921</v>
      </c>
      <c r="K45" t="s">
        <v>2171</v>
      </c>
      <c r="L45" t="s">
        <v>2683</v>
      </c>
      <c r="M45" t="s">
        <v>4922</v>
      </c>
      <c r="N45" t="s">
        <v>4179</v>
      </c>
      <c r="O45" t="s">
        <v>3178</v>
      </c>
      <c r="P45" t="s">
        <v>1660</v>
      </c>
      <c r="Q45" t="s">
        <v>2430</v>
      </c>
      <c r="R45" t="s">
        <v>4682</v>
      </c>
    </row>
    <row r="46" spans="2:18" x14ac:dyDescent="0.2">
      <c r="B46">
        <v>46</v>
      </c>
      <c r="C46" t="s">
        <v>3445</v>
      </c>
      <c r="D46" t="s">
        <v>1410</v>
      </c>
      <c r="E46" t="s">
        <v>1913</v>
      </c>
      <c r="F46" t="s">
        <v>1151</v>
      </c>
      <c r="G46" t="s">
        <v>3689</v>
      </c>
      <c r="H46" t="s">
        <v>4437</v>
      </c>
      <c r="I46" t="s">
        <v>2930</v>
      </c>
      <c r="J46" t="s">
        <v>3922</v>
      </c>
      <c r="K46" t="s">
        <v>2172</v>
      </c>
      <c r="L46" t="s">
        <v>2684</v>
      </c>
      <c r="M46" t="s">
        <v>4923</v>
      </c>
      <c r="N46" t="s">
        <v>4180</v>
      </c>
      <c r="O46" t="s">
        <v>3179</v>
      </c>
      <c r="P46" t="s">
        <v>1661</v>
      </c>
      <c r="Q46" t="s">
        <v>2431</v>
      </c>
      <c r="R46" t="s">
        <v>4683</v>
      </c>
    </row>
    <row r="47" spans="2:18" x14ac:dyDescent="0.2">
      <c r="B47">
        <v>47</v>
      </c>
      <c r="C47" t="s">
        <v>3446</v>
      </c>
      <c r="D47" t="s">
        <v>1411</v>
      </c>
      <c r="E47" t="s">
        <v>1914</v>
      </c>
      <c r="F47" t="s">
        <v>1138</v>
      </c>
      <c r="G47" t="s">
        <v>3690</v>
      </c>
      <c r="H47" t="s">
        <v>4438</v>
      </c>
      <c r="I47" t="s">
        <v>2931</v>
      </c>
      <c r="J47" t="s">
        <v>3923</v>
      </c>
      <c r="K47" t="s">
        <v>2173</v>
      </c>
      <c r="L47" t="s">
        <v>2685</v>
      </c>
      <c r="M47" t="s">
        <v>4924</v>
      </c>
      <c r="N47" t="s">
        <v>4181</v>
      </c>
      <c r="O47" t="s">
        <v>3180</v>
      </c>
      <c r="P47" t="s">
        <v>1662</v>
      </c>
      <c r="Q47" t="s">
        <v>2432</v>
      </c>
      <c r="R47" t="s">
        <v>4684</v>
      </c>
    </row>
    <row r="48" spans="2:18" x14ac:dyDescent="0.2">
      <c r="B48">
        <v>48</v>
      </c>
      <c r="C48" t="s">
        <v>3447</v>
      </c>
      <c r="D48" t="s">
        <v>1412</v>
      </c>
      <c r="E48" t="s">
        <v>1915</v>
      </c>
      <c r="F48" t="s">
        <v>1152</v>
      </c>
      <c r="G48" t="s">
        <v>3691</v>
      </c>
      <c r="H48" t="s">
        <v>4439</v>
      </c>
      <c r="I48" t="s">
        <v>2932</v>
      </c>
      <c r="J48" t="s">
        <v>3924</v>
      </c>
      <c r="K48" t="s">
        <v>2174</v>
      </c>
      <c r="L48" t="s">
        <v>2686</v>
      </c>
      <c r="M48" t="s">
        <v>4925</v>
      </c>
      <c r="N48" t="s">
        <v>4182</v>
      </c>
      <c r="O48" t="s">
        <v>3181</v>
      </c>
      <c r="P48" t="s">
        <v>1663</v>
      </c>
      <c r="Q48" t="s">
        <v>2433</v>
      </c>
      <c r="R48" t="s">
        <v>4685</v>
      </c>
    </row>
    <row r="49" spans="1:18" x14ac:dyDescent="0.2">
      <c r="B49">
        <v>49</v>
      </c>
      <c r="C49" t="s">
        <v>3448</v>
      </c>
      <c r="D49" t="s">
        <v>1413</v>
      </c>
      <c r="E49" t="s">
        <v>1916</v>
      </c>
      <c r="F49" t="s">
        <v>1153</v>
      </c>
      <c r="G49" t="s">
        <v>3692</v>
      </c>
      <c r="H49" t="s">
        <v>4440</v>
      </c>
      <c r="I49" t="s">
        <v>2933</v>
      </c>
      <c r="J49" t="s">
        <v>3925</v>
      </c>
      <c r="K49" t="s">
        <v>2175</v>
      </c>
      <c r="L49" t="s">
        <v>2687</v>
      </c>
      <c r="M49" t="s">
        <v>4926</v>
      </c>
      <c r="N49" t="s">
        <v>4183</v>
      </c>
      <c r="O49" t="s">
        <v>3182</v>
      </c>
      <c r="P49" t="s">
        <v>1664</v>
      </c>
      <c r="Q49" t="s">
        <v>2434</v>
      </c>
      <c r="R49" t="s">
        <v>4686</v>
      </c>
    </row>
    <row r="50" spans="1:18" x14ac:dyDescent="0.2">
      <c r="B50">
        <v>50</v>
      </c>
      <c r="C50" t="s">
        <v>3449</v>
      </c>
      <c r="D50" t="s">
        <v>1414</v>
      </c>
      <c r="E50" t="s">
        <v>1917</v>
      </c>
      <c r="F50" t="s">
        <v>1154</v>
      </c>
      <c r="G50" t="s">
        <v>3693</v>
      </c>
      <c r="H50" t="s">
        <v>4441</v>
      </c>
      <c r="I50" t="s">
        <v>2934</v>
      </c>
      <c r="J50" t="s">
        <v>3926</v>
      </c>
      <c r="K50" t="s">
        <v>2176</v>
      </c>
      <c r="L50" t="s">
        <v>2688</v>
      </c>
      <c r="M50" t="s">
        <v>4927</v>
      </c>
      <c r="N50" t="s">
        <v>4184</v>
      </c>
      <c r="O50" t="s">
        <v>3183</v>
      </c>
      <c r="P50" t="s">
        <v>1665</v>
      </c>
      <c r="Q50" t="s">
        <v>2435</v>
      </c>
      <c r="R50" t="s">
        <v>4687</v>
      </c>
    </row>
    <row r="51" spans="1:18" x14ac:dyDescent="0.2">
      <c r="B51">
        <v>51</v>
      </c>
      <c r="C51" t="s">
        <v>3450</v>
      </c>
      <c r="D51" t="s">
        <v>1415</v>
      </c>
      <c r="E51" t="s">
        <v>1918</v>
      </c>
      <c r="F51" t="s">
        <v>1155</v>
      </c>
      <c r="G51" t="s">
        <v>3694</v>
      </c>
      <c r="H51" t="s">
        <v>4442</v>
      </c>
      <c r="I51" t="s">
        <v>2935</v>
      </c>
      <c r="J51" t="s">
        <v>3927</v>
      </c>
      <c r="K51" t="s">
        <v>2177</v>
      </c>
      <c r="L51" t="s">
        <v>2689</v>
      </c>
      <c r="M51" t="s">
        <v>4928</v>
      </c>
      <c r="N51" t="s">
        <v>4185</v>
      </c>
      <c r="O51" t="s">
        <v>3184</v>
      </c>
      <c r="P51" t="s">
        <v>1666</v>
      </c>
      <c r="Q51" t="s">
        <v>2436</v>
      </c>
      <c r="R51" t="s">
        <v>4688</v>
      </c>
    </row>
    <row r="52" spans="1:18" x14ac:dyDescent="0.2">
      <c r="B52">
        <v>52</v>
      </c>
      <c r="H52" t="s">
        <v>4398</v>
      </c>
    </row>
    <row r="53" spans="1:18" x14ac:dyDescent="0.2">
      <c r="B53">
        <v>53</v>
      </c>
      <c r="C53" t="s">
        <v>3451</v>
      </c>
      <c r="D53" t="s">
        <v>19</v>
      </c>
      <c r="E53" t="s">
        <v>1919</v>
      </c>
      <c r="F53" t="s">
        <v>1156</v>
      </c>
      <c r="G53" t="s">
        <v>3695</v>
      </c>
      <c r="H53" t="s">
        <v>4443</v>
      </c>
      <c r="I53" t="s">
        <v>2936</v>
      </c>
      <c r="J53" t="s">
        <v>3928</v>
      </c>
      <c r="K53" t="s">
        <v>2178</v>
      </c>
      <c r="L53" t="s">
        <v>2690</v>
      </c>
      <c r="M53" t="s">
        <v>4929</v>
      </c>
      <c r="N53" t="s">
        <v>4186</v>
      </c>
      <c r="O53" t="s">
        <v>3185</v>
      </c>
      <c r="P53" t="s">
        <v>1667</v>
      </c>
      <c r="Q53" t="s">
        <v>2437</v>
      </c>
      <c r="R53" t="s">
        <v>2437</v>
      </c>
    </row>
    <row r="54" spans="1:18" x14ac:dyDescent="0.2">
      <c r="B54">
        <v>54</v>
      </c>
      <c r="C54" t="s">
        <v>3452</v>
      </c>
      <c r="D54" t="s">
        <v>20</v>
      </c>
      <c r="E54" t="s">
        <v>1920</v>
      </c>
      <c r="F54" t="s">
        <v>1157</v>
      </c>
      <c r="G54" t="s">
        <v>3696</v>
      </c>
      <c r="H54" t="s">
        <v>4444</v>
      </c>
      <c r="I54" t="s">
        <v>2937</v>
      </c>
      <c r="J54" t="s">
        <v>3929</v>
      </c>
      <c r="K54" t="s">
        <v>2179</v>
      </c>
      <c r="L54" t="s">
        <v>2691</v>
      </c>
      <c r="M54" t="s">
        <v>4930</v>
      </c>
      <c r="N54" t="s">
        <v>4187</v>
      </c>
      <c r="O54" t="s">
        <v>3186</v>
      </c>
      <c r="P54" t="s">
        <v>1668</v>
      </c>
      <c r="Q54" t="s">
        <v>2438</v>
      </c>
      <c r="R54" t="s">
        <v>2438</v>
      </c>
    </row>
    <row r="55" spans="1:18" x14ac:dyDescent="0.2">
      <c r="B55">
        <v>55</v>
      </c>
      <c r="C55" t="s">
        <v>2944</v>
      </c>
      <c r="D55" t="s">
        <v>947</v>
      </c>
      <c r="E55" t="s">
        <v>1921</v>
      </c>
      <c r="F55" t="s">
        <v>1158</v>
      </c>
      <c r="G55" t="s">
        <v>3697</v>
      </c>
      <c r="H55" t="s">
        <v>2180</v>
      </c>
      <c r="I55" t="s">
        <v>2938</v>
      </c>
      <c r="J55" t="s">
        <v>3930</v>
      </c>
      <c r="K55" t="s">
        <v>2180</v>
      </c>
      <c r="L55" t="s">
        <v>2692</v>
      </c>
      <c r="M55" t="s">
        <v>2944</v>
      </c>
      <c r="N55" t="s">
        <v>4188</v>
      </c>
      <c r="O55" t="s">
        <v>3187</v>
      </c>
      <c r="P55" t="s">
        <v>1669</v>
      </c>
      <c r="Q55" t="s">
        <v>2439</v>
      </c>
      <c r="R55" t="s">
        <v>2439</v>
      </c>
    </row>
    <row r="56" spans="1:18" x14ac:dyDescent="0.2">
      <c r="B56">
        <v>56</v>
      </c>
      <c r="C56" t="s">
        <v>3453</v>
      </c>
      <c r="D56" t="s">
        <v>1416</v>
      </c>
      <c r="E56" t="s">
        <v>1922</v>
      </c>
      <c r="F56" t="s">
        <v>1159</v>
      </c>
      <c r="G56" t="s">
        <v>3698</v>
      </c>
      <c r="H56" t="s">
        <v>4445</v>
      </c>
      <c r="I56" t="s">
        <v>2939</v>
      </c>
      <c r="J56" t="s">
        <v>3931</v>
      </c>
      <c r="K56" t="s">
        <v>2181</v>
      </c>
      <c r="L56" t="s">
        <v>2693</v>
      </c>
      <c r="M56" t="s">
        <v>4931</v>
      </c>
      <c r="N56" t="s">
        <v>4189</v>
      </c>
      <c r="O56" t="s">
        <v>3188</v>
      </c>
      <c r="P56" t="s">
        <v>1670</v>
      </c>
      <c r="Q56" t="s">
        <v>2440</v>
      </c>
      <c r="R56" t="s">
        <v>4689</v>
      </c>
    </row>
    <row r="57" spans="1:18" x14ac:dyDescent="0.2">
      <c r="B57">
        <v>57</v>
      </c>
      <c r="C57" t="s">
        <v>3454</v>
      </c>
      <c r="D57" t="s">
        <v>1417</v>
      </c>
      <c r="E57" t="s">
        <v>1923</v>
      </c>
      <c r="F57" t="s">
        <v>1160</v>
      </c>
      <c r="G57" t="s">
        <v>3699</v>
      </c>
      <c r="H57" t="s">
        <v>4446</v>
      </c>
      <c r="I57" t="s">
        <v>2940</v>
      </c>
      <c r="J57" t="s">
        <v>3932</v>
      </c>
      <c r="K57" t="s">
        <v>2182</v>
      </c>
      <c r="L57" t="s">
        <v>2694</v>
      </c>
      <c r="M57" t="s">
        <v>4932</v>
      </c>
      <c r="N57" t="s">
        <v>4190</v>
      </c>
      <c r="O57" t="s">
        <v>3189</v>
      </c>
      <c r="P57" t="s">
        <v>1671</v>
      </c>
      <c r="Q57" t="s">
        <v>2441</v>
      </c>
      <c r="R57" t="s">
        <v>4690</v>
      </c>
    </row>
    <row r="58" spans="1:18" x14ac:dyDescent="0.2">
      <c r="B58">
        <v>58</v>
      </c>
      <c r="C58" t="s">
        <v>3455</v>
      </c>
      <c r="D58" t="s">
        <v>1418</v>
      </c>
      <c r="G58" t="s">
        <v>3700</v>
      </c>
      <c r="H58" t="s">
        <v>4447</v>
      </c>
      <c r="J58" t="s">
        <v>3933</v>
      </c>
      <c r="M58" t="s">
        <v>4933</v>
      </c>
      <c r="N58" t="s">
        <v>4191</v>
      </c>
      <c r="P58" t="s">
        <v>1672</v>
      </c>
      <c r="R58" t="s">
        <v>4691</v>
      </c>
    </row>
    <row r="59" spans="1:18" x14ac:dyDescent="0.2">
      <c r="B59">
        <v>59</v>
      </c>
      <c r="C59" t="s">
        <v>3456</v>
      </c>
      <c r="D59" t="s">
        <v>1419</v>
      </c>
      <c r="E59" t="s">
        <v>1924</v>
      </c>
      <c r="F59" t="s">
        <v>1161</v>
      </c>
      <c r="G59" t="s">
        <v>3701</v>
      </c>
      <c r="H59" t="s">
        <v>4448</v>
      </c>
      <c r="I59" t="s">
        <v>2941</v>
      </c>
      <c r="J59" t="s">
        <v>3934</v>
      </c>
      <c r="K59" t="s">
        <v>2183</v>
      </c>
      <c r="L59" t="s">
        <v>2695</v>
      </c>
      <c r="M59" t="s">
        <v>4934</v>
      </c>
      <c r="N59" t="s">
        <v>4192</v>
      </c>
      <c r="O59" t="s">
        <v>3190</v>
      </c>
      <c r="P59" t="s">
        <v>1673</v>
      </c>
      <c r="Q59" t="s">
        <v>2442</v>
      </c>
      <c r="R59" t="s">
        <v>4692</v>
      </c>
    </row>
    <row r="60" spans="1:18" x14ac:dyDescent="0.2">
      <c r="B60">
        <v>60</v>
      </c>
      <c r="C60" t="s">
        <v>3457</v>
      </c>
      <c r="D60" t="s">
        <v>945</v>
      </c>
      <c r="E60" t="s">
        <v>1925</v>
      </c>
      <c r="F60" t="s">
        <v>945</v>
      </c>
      <c r="G60" t="s">
        <v>3702</v>
      </c>
      <c r="H60" t="s">
        <v>945</v>
      </c>
      <c r="I60" t="s">
        <v>2942</v>
      </c>
      <c r="J60" t="s">
        <v>3935</v>
      </c>
      <c r="K60" t="s">
        <v>2184</v>
      </c>
      <c r="L60" t="s">
        <v>2696</v>
      </c>
      <c r="M60" t="s">
        <v>4935</v>
      </c>
      <c r="N60" t="s">
        <v>4193</v>
      </c>
      <c r="O60" t="s">
        <v>3191</v>
      </c>
      <c r="P60" t="s">
        <v>1674</v>
      </c>
      <c r="Q60" t="s">
        <v>2443</v>
      </c>
      <c r="R60" t="s">
        <v>4693</v>
      </c>
    </row>
    <row r="61" spans="1:18" x14ac:dyDescent="0.2">
      <c r="A61" t="s">
        <v>946</v>
      </c>
      <c r="B61">
        <v>61</v>
      </c>
      <c r="C61" t="s">
        <v>3458</v>
      </c>
      <c r="D61" t="s">
        <v>1420</v>
      </c>
      <c r="E61" t="s">
        <v>1892</v>
      </c>
      <c r="F61" t="s">
        <v>1162</v>
      </c>
      <c r="G61" t="s">
        <v>3668</v>
      </c>
      <c r="H61" t="s">
        <v>4449</v>
      </c>
      <c r="I61" t="s">
        <v>2943</v>
      </c>
      <c r="J61" t="s">
        <v>3936</v>
      </c>
      <c r="K61" t="s">
        <v>2185</v>
      </c>
      <c r="L61" t="s">
        <v>2663</v>
      </c>
      <c r="M61" t="s">
        <v>4902</v>
      </c>
      <c r="N61" t="s">
        <v>4159</v>
      </c>
      <c r="O61" t="s">
        <v>3192</v>
      </c>
      <c r="P61" t="s">
        <v>1675</v>
      </c>
      <c r="Q61" t="s">
        <v>2444</v>
      </c>
      <c r="R61" t="s">
        <v>4694</v>
      </c>
    </row>
    <row r="62" spans="1:18" x14ac:dyDescent="0.2">
      <c r="B62">
        <v>62</v>
      </c>
      <c r="C62" t="s">
        <v>2944</v>
      </c>
      <c r="D62" t="s">
        <v>947</v>
      </c>
      <c r="E62" t="s">
        <v>1926</v>
      </c>
      <c r="F62" t="s">
        <v>947</v>
      </c>
      <c r="G62" t="s">
        <v>3697</v>
      </c>
      <c r="H62" t="s">
        <v>2180</v>
      </c>
      <c r="I62" t="s">
        <v>2944</v>
      </c>
      <c r="J62" t="s">
        <v>3930</v>
      </c>
      <c r="K62" t="s">
        <v>2180</v>
      </c>
      <c r="L62" t="s">
        <v>2692</v>
      </c>
      <c r="M62" t="s">
        <v>2944</v>
      </c>
      <c r="N62" t="s">
        <v>4194</v>
      </c>
      <c r="O62" t="s">
        <v>3187</v>
      </c>
      <c r="P62" t="s">
        <v>1676</v>
      </c>
      <c r="Q62" t="s">
        <v>2445</v>
      </c>
      <c r="R62" t="s">
        <v>4695</v>
      </c>
    </row>
    <row r="63" spans="1:18" x14ac:dyDescent="0.2">
      <c r="B63">
        <v>63</v>
      </c>
      <c r="C63" t="s">
        <v>3459</v>
      </c>
      <c r="D63" t="s">
        <v>948</v>
      </c>
      <c r="E63" t="s">
        <v>1927</v>
      </c>
      <c r="F63" t="s">
        <v>948</v>
      </c>
      <c r="G63" t="s">
        <v>3703</v>
      </c>
      <c r="H63" t="s">
        <v>4450</v>
      </c>
      <c r="I63" t="s">
        <v>2945</v>
      </c>
      <c r="J63" t="s">
        <v>3937</v>
      </c>
      <c r="K63" t="s">
        <v>2186</v>
      </c>
      <c r="L63" t="s">
        <v>2697</v>
      </c>
      <c r="M63" t="s">
        <v>4936</v>
      </c>
      <c r="N63" t="s">
        <v>4195</v>
      </c>
      <c r="O63" t="s">
        <v>3193</v>
      </c>
      <c r="P63" t="s">
        <v>1677</v>
      </c>
      <c r="Q63" t="s">
        <v>2446</v>
      </c>
      <c r="R63" t="s">
        <v>4696</v>
      </c>
    </row>
    <row r="64" spans="1:18" x14ac:dyDescent="0.2">
      <c r="B64">
        <v>64</v>
      </c>
      <c r="C64" t="s">
        <v>3460</v>
      </c>
      <c r="D64" t="s">
        <v>1421</v>
      </c>
      <c r="E64" t="s">
        <v>1928</v>
      </c>
      <c r="F64" t="s">
        <v>1163</v>
      </c>
      <c r="G64" t="s">
        <v>3704</v>
      </c>
      <c r="H64" t="s">
        <v>4451</v>
      </c>
      <c r="I64" t="s">
        <v>2946</v>
      </c>
      <c r="J64" t="s">
        <v>3938</v>
      </c>
      <c r="K64" t="s">
        <v>2187</v>
      </c>
      <c r="L64" t="s">
        <v>2698</v>
      </c>
      <c r="M64" t="s">
        <v>4937</v>
      </c>
      <c r="N64" t="s">
        <v>4196</v>
      </c>
      <c r="O64" t="s">
        <v>3194</v>
      </c>
      <c r="P64" t="s">
        <v>1678</v>
      </c>
      <c r="Q64" t="s">
        <v>2447</v>
      </c>
      <c r="R64" t="s">
        <v>4697</v>
      </c>
    </row>
    <row r="65" spans="2:18" x14ac:dyDescent="0.2">
      <c r="B65">
        <v>65</v>
      </c>
      <c r="C65" t="s">
        <v>3461</v>
      </c>
      <c r="D65" t="s">
        <v>550</v>
      </c>
      <c r="E65" t="s">
        <v>1929</v>
      </c>
      <c r="F65" t="s">
        <v>1164</v>
      </c>
      <c r="G65" t="s">
        <v>3705</v>
      </c>
      <c r="H65" t="s">
        <v>4452</v>
      </c>
      <c r="I65" t="s">
        <v>2947</v>
      </c>
      <c r="J65" t="s">
        <v>3939</v>
      </c>
      <c r="K65" t="s">
        <v>2188</v>
      </c>
      <c r="L65" t="s">
        <v>2699</v>
      </c>
      <c r="M65" t="s">
        <v>4938</v>
      </c>
      <c r="N65" t="s">
        <v>4197</v>
      </c>
      <c r="O65" t="s">
        <v>3195</v>
      </c>
      <c r="P65" t="s">
        <v>1669</v>
      </c>
      <c r="Q65" t="s">
        <v>2448</v>
      </c>
      <c r="R65" t="s">
        <v>4698</v>
      </c>
    </row>
    <row r="66" spans="2:18" x14ac:dyDescent="0.2">
      <c r="B66">
        <v>66</v>
      </c>
      <c r="C66" t="s">
        <v>3462</v>
      </c>
      <c r="D66" t="s">
        <v>1422</v>
      </c>
      <c r="E66" t="s">
        <v>1930</v>
      </c>
      <c r="F66" t="s">
        <v>1165</v>
      </c>
      <c r="G66" t="s">
        <v>3706</v>
      </c>
      <c r="H66" t="s">
        <v>4453</v>
      </c>
      <c r="I66" t="s">
        <v>2948</v>
      </c>
      <c r="J66" t="s">
        <v>3940</v>
      </c>
      <c r="K66" t="s">
        <v>1930</v>
      </c>
      <c r="L66" t="s">
        <v>2700</v>
      </c>
      <c r="M66" t="s">
        <v>4939</v>
      </c>
      <c r="N66" t="s">
        <v>4198</v>
      </c>
      <c r="O66" t="s">
        <v>3196</v>
      </c>
      <c r="P66" t="s">
        <v>1679</v>
      </c>
      <c r="Q66" t="s">
        <v>2449</v>
      </c>
      <c r="R66" t="s">
        <v>4699</v>
      </c>
    </row>
    <row r="67" spans="2:18" x14ac:dyDescent="0.2">
      <c r="B67">
        <v>67</v>
      </c>
      <c r="C67" t="s">
        <v>2761</v>
      </c>
      <c r="D67" t="s">
        <v>949</v>
      </c>
      <c r="E67" t="s">
        <v>1931</v>
      </c>
      <c r="F67" t="s">
        <v>1166</v>
      </c>
      <c r="G67" t="s">
        <v>2761</v>
      </c>
      <c r="H67" t="s">
        <v>949</v>
      </c>
      <c r="I67" t="s">
        <v>949</v>
      </c>
      <c r="J67" t="s">
        <v>3941</v>
      </c>
      <c r="K67" t="s">
        <v>1931</v>
      </c>
      <c r="L67" t="s">
        <v>2701</v>
      </c>
      <c r="M67" t="s">
        <v>4940</v>
      </c>
      <c r="N67" t="s">
        <v>4199</v>
      </c>
      <c r="O67" t="s">
        <v>3197</v>
      </c>
      <c r="P67" t="s">
        <v>1680</v>
      </c>
      <c r="Q67" t="s">
        <v>2450</v>
      </c>
      <c r="R67" t="s">
        <v>4700</v>
      </c>
    </row>
    <row r="68" spans="2:18" x14ac:dyDescent="0.2">
      <c r="B68">
        <v>68</v>
      </c>
      <c r="C68" t="s">
        <v>3463</v>
      </c>
      <c r="D68" t="s">
        <v>1423</v>
      </c>
      <c r="E68" t="s">
        <v>1932</v>
      </c>
      <c r="F68" t="s">
        <v>1167</v>
      </c>
      <c r="G68" t="s">
        <v>1423</v>
      </c>
      <c r="H68" t="s">
        <v>4454</v>
      </c>
      <c r="I68" t="s">
        <v>2949</v>
      </c>
      <c r="J68" t="s">
        <v>3942</v>
      </c>
      <c r="K68" t="s">
        <v>2189</v>
      </c>
      <c r="L68" t="s">
        <v>2702</v>
      </c>
      <c r="M68" t="s">
        <v>1423</v>
      </c>
      <c r="N68" t="s">
        <v>4200</v>
      </c>
      <c r="O68" t="s">
        <v>3198</v>
      </c>
      <c r="P68" t="s">
        <v>1681</v>
      </c>
      <c r="Q68" t="s">
        <v>2451</v>
      </c>
      <c r="R68" t="s">
        <v>4701</v>
      </c>
    </row>
    <row r="69" spans="2:18" x14ac:dyDescent="0.2">
      <c r="B69">
        <v>69</v>
      </c>
      <c r="C69" t="s">
        <v>3464</v>
      </c>
      <c r="D69" t="s">
        <v>1424</v>
      </c>
      <c r="E69" t="s">
        <v>1933</v>
      </c>
      <c r="F69" t="s">
        <v>1168</v>
      </c>
      <c r="G69" t="s">
        <v>3707</v>
      </c>
      <c r="H69" t="s">
        <v>4455</v>
      </c>
      <c r="I69" t="s">
        <v>2950</v>
      </c>
      <c r="J69" t="s">
        <v>3943</v>
      </c>
      <c r="K69" t="s">
        <v>2190</v>
      </c>
      <c r="L69" t="s">
        <v>2703</v>
      </c>
      <c r="M69" t="s">
        <v>4941</v>
      </c>
      <c r="N69" t="s">
        <v>4201</v>
      </c>
      <c r="O69" t="s">
        <v>3199</v>
      </c>
      <c r="P69" t="s">
        <v>1682</v>
      </c>
      <c r="Q69" t="s">
        <v>2452</v>
      </c>
      <c r="R69" t="s">
        <v>4702</v>
      </c>
    </row>
    <row r="70" spans="2:18" x14ac:dyDescent="0.2">
      <c r="B70">
        <v>70</v>
      </c>
      <c r="C70" t="s">
        <v>3465</v>
      </c>
      <c r="D70" t="s">
        <v>1425</v>
      </c>
      <c r="E70" t="s">
        <v>1934</v>
      </c>
      <c r="F70" t="s">
        <v>1370</v>
      </c>
      <c r="G70" t="s">
        <v>3708</v>
      </c>
      <c r="H70" t="s">
        <v>4456</v>
      </c>
      <c r="I70" t="s">
        <v>2951</v>
      </c>
      <c r="J70" t="s">
        <v>3944</v>
      </c>
      <c r="K70" t="s">
        <v>2191</v>
      </c>
      <c r="L70" t="s">
        <v>2704</v>
      </c>
      <c r="M70" t="s">
        <v>4942</v>
      </c>
      <c r="N70" t="s">
        <v>4202</v>
      </c>
      <c r="O70" t="s">
        <v>3200</v>
      </c>
      <c r="P70" t="s">
        <v>1683</v>
      </c>
      <c r="Q70" t="s">
        <v>2453</v>
      </c>
      <c r="R70" t="s">
        <v>4703</v>
      </c>
    </row>
    <row r="71" spans="2:18" x14ac:dyDescent="0.2">
      <c r="B71">
        <v>71</v>
      </c>
      <c r="C71" t="s">
        <v>3466</v>
      </c>
      <c r="D71" t="s">
        <v>1426</v>
      </c>
      <c r="E71" t="s">
        <v>1935</v>
      </c>
      <c r="F71" t="s">
        <v>1169</v>
      </c>
      <c r="G71" t="s">
        <v>3709</v>
      </c>
      <c r="H71" t="s">
        <v>4457</v>
      </c>
      <c r="I71" t="s">
        <v>2952</v>
      </c>
      <c r="J71" t="s">
        <v>3945</v>
      </c>
      <c r="K71" t="s">
        <v>2192</v>
      </c>
      <c r="L71" t="s">
        <v>2705</v>
      </c>
      <c r="M71" t="s">
        <v>4943</v>
      </c>
      <c r="N71" t="s">
        <v>4203</v>
      </c>
      <c r="O71" t="s">
        <v>3201</v>
      </c>
      <c r="P71" t="s">
        <v>1684</v>
      </c>
      <c r="Q71" t="s">
        <v>2454</v>
      </c>
      <c r="R71" t="s">
        <v>2454</v>
      </c>
    </row>
    <row r="72" spans="2:18" x14ac:dyDescent="0.2">
      <c r="B72">
        <v>72</v>
      </c>
      <c r="C72" t="s">
        <v>3467</v>
      </c>
      <c r="D72" t="s">
        <v>1427</v>
      </c>
      <c r="E72" t="s">
        <v>1936</v>
      </c>
      <c r="F72" t="s">
        <v>1170</v>
      </c>
      <c r="G72" t="s">
        <v>3710</v>
      </c>
      <c r="H72" t="s">
        <v>4458</v>
      </c>
      <c r="I72" t="s">
        <v>2953</v>
      </c>
      <c r="J72" t="s">
        <v>3946</v>
      </c>
      <c r="K72" t="s">
        <v>2193</v>
      </c>
      <c r="L72" t="s">
        <v>2706</v>
      </c>
      <c r="M72" t="s">
        <v>4944</v>
      </c>
      <c r="N72" t="s">
        <v>4204</v>
      </c>
      <c r="O72" t="s">
        <v>3202</v>
      </c>
      <c r="P72" t="s">
        <v>1685</v>
      </c>
      <c r="Q72" t="s">
        <v>2455</v>
      </c>
      <c r="R72" t="s">
        <v>4704</v>
      </c>
    </row>
    <row r="73" spans="2:18" x14ac:dyDescent="0.2">
      <c r="B73">
        <v>73</v>
      </c>
      <c r="C73" t="s">
        <v>3468</v>
      </c>
      <c r="D73" t="s">
        <v>950</v>
      </c>
      <c r="E73" t="s">
        <v>950</v>
      </c>
      <c r="F73" t="s">
        <v>950</v>
      </c>
      <c r="G73" t="s">
        <v>3711</v>
      </c>
      <c r="H73" t="s">
        <v>4459</v>
      </c>
      <c r="I73" t="s">
        <v>950</v>
      </c>
      <c r="J73" t="s">
        <v>3947</v>
      </c>
      <c r="K73" t="s">
        <v>2194</v>
      </c>
      <c r="L73" t="s">
        <v>950</v>
      </c>
      <c r="M73" t="s">
        <v>4945</v>
      </c>
      <c r="N73" t="s">
        <v>4205</v>
      </c>
      <c r="O73" t="s">
        <v>3203</v>
      </c>
      <c r="P73" t="s">
        <v>1686</v>
      </c>
      <c r="Q73" t="s">
        <v>2456</v>
      </c>
      <c r="R73" t="s">
        <v>4705</v>
      </c>
    </row>
    <row r="74" spans="2:18" x14ac:dyDescent="0.2">
      <c r="B74">
        <v>74</v>
      </c>
      <c r="C74" t="s">
        <v>3469</v>
      </c>
      <c r="D74" t="s">
        <v>951</v>
      </c>
      <c r="E74" t="s">
        <v>1937</v>
      </c>
      <c r="F74" t="s">
        <v>951</v>
      </c>
      <c r="G74" t="s">
        <v>3712</v>
      </c>
      <c r="H74" t="s">
        <v>951</v>
      </c>
      <c r="I74" t="s">
        <v>2954</v>
      </c>
      <c r="J74" t="s">
        <v>3948</v>
      </c>
      <c r="K74" t="s">
        <v>2195</v>
      </c>
      <c r="L74" t="s">
        <v>2707</v>
      </c>
      <c r="M74" t="s">
        <v>951</v>
      </c>
      <c r="N74" t="s">
        <v>4206</v>
      </c>
      <c r="O74" t="s">
        <v>3204</v>
      </c>
      <c r="P74" t="s">
        <v>1687</v>
      </c>
      <c r="Q74" t="s">
        <v>2457</v>
      </c>
      <c r="R74" t="s">
        <v>4706</v>
      </c>
    </row>
    <row r="75" spans="2:18" x14ac:dyDescent="0.2">
      <c r="B75">
        <v>75</v>
      </c>
      <c r="C75" t="s">
        <v>3470</v>
      </c>
      <c r="D75" t="s">
        <v>1428</v>
      </c>
      <c r="E75" t="s">
        <v>1938</v>
      </c>
      <c r="F75" t="s">
        <v>1171</v>
      </c>
      <c r="G75" t="s">
        <v>1428</v>
      </c>
      <c r="H75" t="s">
        <v>4460</v>
      </c>
      <c r="I75" t="s">
        <v>1428</v>
      </c>
      <c r="J75" t="s">
        <v>3470</v>
      </c>
      <c r="K75" t="s">
        <v>2196</v>
      </c>
      <c r="L75" t="s">
        <v>1428</v>
      </c>
      <c r="M75" t="s">
        <v>1428</v>
      </c>
      <c r="N75" t="s">
        <v>4207</v>
      </c>
      <c r="O75" t="s">
        <v>3205</v>
      </c>
      <c r="P75" t="s">
        <v>1688</v>
      </c>
      <c r="Q75" t="s">
        <v>2458</v>
      </c>
      <c r="R75" t="s">
        <v>2458</v>
      </c>
    </row>
    <row r="76" spans="2:18" x14ac:dyDescent="0.2">
      <c r="B76">
        <v>76</v>
      </c>
      <c r="C76" t="s">
        <v>362</v>
      </c>
      <c r="D76" t="s">
        <v>1429</v>
      </c>
      <c r="E76" t="s">
        <v>1939</v>
      </c>
      <c r="F76" t="s">
        <v>1172</v>
      </c>
      <c r="G76" t="s">
        <v>1429</v>
      </c>
      <c r="H76" t="s">
        <v>4461</v>
      </c>
      <c r="I76" t="s">
        <v>1429</v>
      </c>
      <c r="J76" t="s">
        <v>362</v>
      </c>
      <c r="K76" t="s">
        <v>1939</v>
      </c>
      <c r="L76" t="s">
        <v>1429</v>
      </c>
      <c r="M76" t="s">
        <v>1429</v>
      </c>
      <c r="N76" t="s">
        <v>4208</v>
      </c>
      <c r="O76" t="s">
        <v>3206</v>
      </c>
      <c r="P76" t="s">
        <v>1689</v>
      </c>
      <c r="Q76" t="s">
        <v>2459</v>
      </c>
      <c r="R76" t="s">
        <v>2459</v>
      </c>
    </row>
    <row r="77" spans="2:18" x14ac:dyDescent="0.2">
      <c r="B77">
        <v>77</v>
      </c>
      <c r="C77" t="s">
        <v>3471</v>
      </c>
      <c r="D77" t="s">
        <v>1430</v>
      </c>
      <c r="E77" t="s">
        <v>1940</v>
      </c>
      <c r="F77" t="s">
        <v>1173</v>
      </c>
      <c r="G77" t="s">
        <v>3713</v>
      </c>
      <c r="H77" t="s">
        <v>4462</v>
      </c>
      <c r="I77" t="s">
        <v>2955</v>
      </c>
      <c r="J77" t="s">
        <v>3949</v>
      </c>
      <c r="K77" t="s">
        <v>2197</v>
      </c>
      <c r="L77" t="s">
        <v>2708</v>
      </c>
      <c r="M77" t="s">
        <v>4946</v>
      </c>
      <c r="N77" t="s">
        <v>4209</v>
      </c>
      <c r="O77" t="s">
        <v>3207</v>
      </c>
      <c r="P77" t="s">
        <v>1690</v>
      </c>
      <c r="Q77" t="s">
        <v>2460</v>
      </c>
      <c r="R77" t="s">
        <v>4707</v>
      </c>
    </row>
    <row r="78" spans="2:18" x14ac:dyDescent="0.2">
      <c r="B78">
        <v>78</v>
      </c>
      <c r="C78" t="s">
        <v>3472</v>
      </c>
      <c r="D78" t="s">
        <v>1431</v>
      </c>
      <c r="E78" t="s">
        <v>1941</v>
      </c>
      <c r="F78" t="s">
        <v>1174</v>
      </c>
      <c r="G78" t="s">
        <v>3714</v>
      </c>
      <c r="H78" t="s">
        <v>4463</v>
      </c>
      <c r="I78" t="s">
        <v>2956</v>
      </c>
      <c r="J78" t="s">
        <v>3950</v>
      </c>
      <c r="K78" t="s">
        <v>2198</v>
      </c>
      <c r="L78" t="s">
        <v>2709</v>
      </c>
      <c r="M78" t="s">
        <v>4947</v>
      </c>
      <c r="N78" t="s">
        <v>4210</v>
      </c>
      <c r="O78" t="s">
        <v>3208</v>
      </c>
      <c r="P78" t="s">
        <v>1691</v>
      </c>
      <c r="Q78" t="s">
        <v>2461</v>
      </c>
      <c r="R78" t="s">
        <v>4708</v>
      </c>
    </row>
    <row r="79" spans="2:18" x14ac:dyDescent="0.2">
      <c r="B79">
        <v>79</v>
      </c>
      <c r="C79" t="s">
        <v>3473</v>
      </c>
      <c r="D79" t="s">
        <v>1432</v>
      </c>
      <c r="E79" t="s">
        <v>1942</v>
      </c>
      <c r="F79" t="s">
        <v>1175</v>
      </c>
      <c r="G79" t="s">
        <v>3715</v>
      </c>
      <c r="H79" t="s">
        <v>4464</v>
      </c>
      <c r="I79" t="s">
        <v>2957</v>
      </c>
      <c r="J79" t="s">
        <v>3951</v>
      </c>
      <c r="K79" t="s">
        <v>2199</v>
      </c>
      <c r="L79" t="s">
        <v>2710</v>
      </c>
      <c r="M79" t="s">
        <v>4948</v>
      </c>
      <c r="N79" t="s">
        <v>4211</v>
      </c>
      <c r="O79" t="s">
        <v>3209</v>
      </c>
      <c r="P79" t="s">
        <v>1692</v>
      </c>
      <c r="Q79" t="s">
        <v>2462</v>
      </c>
      <c r="R79" t="s">
        <v>4709</v>
      </c>
    </row>
    <row r="80" spans="2:18" x14ac:dyDescent="0.2">
      <c r="B80">
        <v>80</v>
      </c>
      <c r="C80" t="s">
        <v>3474</v>
      </c>
      <c r="D80" t="s">
        <v>1433</v>
      </c>
      <c r="E80" t="s">
        <v>1943</v>
      </c>
      <c r="F80" t="s">
        <v>1176</v>
      </c>
      <c r="G80" t="s">
        <v>3716</v>
      </c>
      <c r="H80" t="s">
        <v>4465</v>
      </c>
      <c r="I80" t="s">
        <v>2958</v>
      </c>
      <c r="J80" t="s">
        <v>3952</v>
      </c>
      <c r="K80" t="s">
        <v>1943</v>
      </c>
      <c r="L80" t="s">
        <v>2711</v>
      </c>
      <c r="M80" t="s">
        <v>4949</v>
      </c>
      <c r="N80" t="s">
        <v>4212</v>
      </c>
      <c r="O80" t="s">
        <v>3210</v>
      </c>
      <c r="P80" t="s">
        <v>1693</v>
      </c>
      <c r="Q80" t="s">
        <v>2463</v>
      </c>
      <c r="R80" t="s">
        <v>4710</v>
      </c>
    </row>
    <row r="81" spans="2:18" x14ac:dyDescent="0.2">
      <c r="B81">
        <v>81</v>
      </c>
      <c r="C81" t="s">
        <v>2959</v>
      </c>
      <c r="D81" t="s">
        <v>1434</v>
      </c>
      <c r="E81" t="s">
        <v>1944</v>
      </c>
      <c r="F81" t="s">
        <v>1177</v>
      </c>
      <c r="G81" t="s">
        <v>3717</v>
      </c>
      <c r="H81" t="s">
        <v>4466</v>
      </c>
      <c r="I81" t="s">
        <v>2959</v>
      </c>
      <c r="J81" t="s">
        <v>3953</v>
      </c>
      <c r="K81" t="s">
        <v>2200</v>
      </c>
      <c r="L81" t="s">
        <v>2712</v>
      </c>
      <c r="M81" t="s">
        <v>4950</v>
      </c>
      <c r="N81" t="s">
        <v>4213</v>
      </c>
      <c r="O81" t="s">
        <v>3211</v>
      </c>
      <c r="P81" t="s">
        <v>1694</v>
      </c>
      <c r="Q81" t="s">
        <v>2464</v>
      </c>
      <c r="R81" t="s">
        <v>4711</v>
      </c>
    </row>
    <row r="82" spans="2:18" x14ac:dyDescent="0.2">
      <c r="B82">
        <v>82</v>
      </c>
      <c r="C82" t="s">
        <v>3475</v>
      </c>
      <c r="D82" t="s">
        <v>1435</v>
      </c>
      <c r="E82" t="s">
        <v>1945</v>
      </c>
      <c r="F82" t="s">
        <v>1178</v>
      </c>
      <c r="G82" t="s">
        <v>3718</v>
      </c>
      <c r="H82" t="s">
        <v>4467</v>
      </c>
      <c r="I82" t="s">
        <v>2960</v>
      </c>
      <c r="J82" t="s">
        <v>3954</v>
      </c>
      <c r="K82" t="s">
        <v>2201</v>
      </c>
      <c r="L82" t="s">
        <v>2713</v>
      </c>
      <c r="M82" t="s">
        <v>4951</v>
      </c>
      <c r="N82" t="s">
        <v>4214</v>
      </c>
      <c r="O82" t="s">
        <v>3212</v>
      </c>
      <c r="P82" t="s">
        <v>1695</v>
      </c>
      <c r="Q82" t="s">
        <v>2465</v>
      </c>
      <c r="R82" t="s">
        <v>4712</v>
      </c>
    </row>
    <row r="83" spans="2:18" x14ac:dyDescent="0.2">
      <c r="B83">
        <v>83</v>
      </c>
      <c r="C83" t="s">
        <v>3476</v>
      </c>
      <c r="D83" t="s">
        <v>1436</v>
      </c>
      <c r="E83" t="s">
        <v>1946</v>
      </c>
      <c r="F83" t="s">
        <v>1179</v>
      </c>
      <c r="G83" t="s">
        <v>3719</v>
      </c>
      <c r="H83" t="s">
        <v>4468</v>
      </c>
      <c r="I83" t="s">
        <v>2961</v>
      </c>
      <c r="J83" t="s">
        <v>3955</v>
      </c>
      <c r="K83" t="s">
        <v>2202</v>
      </c>
      <c r="L83" t="s">
        <v>2714</v>
      </c>
      <c r="M83" t="s">
        <v>4952</v>
      </c>
      <c r="N83" t="s">
        <v>4215</v>
      </c>
      <c r="O83" t="s">
        <v>3213</v>
      </c>
      <c r="P83" t="s">
        <v>1696</v>
      </c>
      <c r="Q83" t="s">
        <v>2466</v>
      </c>
      <c r="R83" t="s">
        <v>4713</v>
      </c>
    </row>
    <row r="84" spans="2:18" x14ac:dyDescent="0.2">
      <c r="B84">
        <v>84</v>
      </c>
      <c r="C84" t="s">
        <v>3477</v>
      </c>
      <c r="D84" t="s">
        <v>1437</v>
      </c>
      <c r="E84" t="s">
        <v>1947</v>
      </c>
      <c r="F84" t="s">
        <v>1180</v>
      </c>
      <c r="G84" t="s">
        <v>3720</v>
      </c>
      <c r="H84" t="s">
        <v>4469</v>
      </c>
      <c r="I84" t="s">
        <v>2962</v>
      </c>
      <c r="J84" t="s">
        <v>3956</v>
      </c>
      <c r="K84" t="s">
        <v>2203</v>
      </c>
      <c r="L84" t="s">
        <v>2715</v>
      </c>
      <c r="M84" t="s">
        <v>4953</v>
      </c>
      <c r="N84" t="s">
        <v>4216</v>
      </c>
      <c r="O84" t="s">
        <v>3214</v>
      </c>
      <c r="P84" t="s">
        <v>1697</v>
      </c>
      <c r="Q84" t="s">
        <v>2467</v>
      </c>
      <c r="R84" t="s">
        <v>4714</v>
      </c>
    </row>
    <row r="85" spans="2:18" x14ac:dyDescent="0.2">
      <c r="B85">
        <v>85</v>
      </c>
      <c r="H85" t="s">
        <v>4398</v>
      </c>
    </row>
    <row r="86" spans="2:18" x14ac:dyDescent="0.2">
      <c r="B86">
        <v>86</v>
      </c>
      <c r="C86" t="s">
        <v>3478</v>
      </c>
      <c r="D86" t="s">
        <v>1438</v>
      </c>
      <c r="E86" t="s">
        <v>1948</v>
      </c>
      <c r="F86" t="s">
        <v>1181</v>
      </c>
      <c r="G86" t="s">
        <v>3721</v>
      </c>
      <c r="H86" t="s">
        <v>4470</v>
      </c>
      <c r="I86" t="s">
        <v>2963</v>
      </c>
      <c r="J86" t="s">
        <v>3957</v>
      </c>
      <c r="K86" t="s">
        <v>2204</v>
      </c>
      <c r="L86" t="s">
        <v>2716</v>
      </c>
      <c r="M86" t="s">
        <v>4954</v>
      </c>
      <c r="N86" t="s">
        <v>4217</v>
      </c>
      <c r="O86" t="s">
        <v>3215</v>
      </c>
      <c r="P86" t="s">
        <v>1698</v>
      </c>
      <c r="Q86" t="s">
        <v>2468</v>
      </c>
      <c r="R86" t="s">
        <v>4715</v>
      </c>
    </row>
    <row r="87" spans="2:18" x14ac:dyDescent="0.2">
      <c r="B87">
        <v>87</v>
      </c>
      <c r="C87" t="s">
        <v>3479</v>
      </c>
      <c r="D87" t="s">
        <v>1439</v>
      </c>
      <c r="E87" t="s">
        <v>1949</v>
      </c>
      <c r="F87" t="s">
        <v>1182</v>
      </c>
      <c r="G87" t="s">
        <v>3722</v>
      </c>
      <c r="H87" t="s">
        <v>4471</v>
      </c>
      <c r="I87" t="s">
        <v>2964</v>
      </c>
      <c r="J87" t="s">
        <v>3958</v>
      </c>
      <c r="K87" t="s">
        <v>2205</v>
      </c>
      <c r="L87" t="s">
        <v>2717</v>
      </c>
      <c r="M87" t="s">
        <v>4955</v>
      </c>
      <c r="N87" t="s">
        <v>4218</v>
      </c>
      <c r="O87" t="s">
        <v>3216</v>
      </c>
      <c r="P87" t="s">
        <v>1699</v>
      </c>
      <c r="Q87" t="s">
        <v>2469</v>
      </c>
      <c r="R87" t="s">
        <v>4716</v>
      </c>
    </row>
    <row r="88" spans="2:18" x14ac:dyDescent="0.2">
      <c r="B88">
        <v>88</v>
      </c>
      <c r="C88" t="s">
        <v>3480</v>
      </c>
      <c r="D88" t="s">
        <v>1440</v>
      </c>
      <c r="E88" t="s">
        <v>1950</v>
      </c>
      <c r="F88" t="s">
        <v>1183</v>
      </c>
      <c r="G88" t="s">
        <v>3723</v>
      </c>
      <c r="H88" t="s">
        <v>4472</v>
      </c>
      <c r="I88" t="s">
        <v>2965</v>
      </c>
      <c r="J88" t="s">
        <v>3959</v>
      </c>
      <c r="K88" t="s">
        <v>2206</v>
      </c>
      <c r="L88" t="s">
        <v>2718</v>
      </c>
      <c r="M88" t="s">
        <v>4956</v>
      </c>
      <c r="N88" t="s">
        <v>4219</v>
      </c>
      <c r="O88" t="s">
        <v>3217</v>
      </c>
      <c r="P88" t="s">
        <v>1700</v>
      </c>
      <c r="Q88" t="s">
        <v>2470</v>
      </c>
      <c r="R88" t="s">
        <v>4717</v>
      </c>
    </row>
    <row r="89" spans="2:18" x14ac:dyDescent="0.2">
      <c r="B89">
        <v>89</v>
      </c>
      <c r="C89" t="s">
        <v>3481</v>
      </c>
      <c r="D89" t="s">
        <v>1441</v>
      </c>
      <c r="E89" t="s">
        <v>1951</v>
      </c>
      <c r="F89" t="s">
        <v>1184</v>
      </c>
      <c r="G89" t="s">
        <v>3724</v>
      </c>
      <c r="H89" t="s">
        <v>4473</v>
      </c>
      <c r="I89" t="s">
        <v>2966</v>
      </c>
      <c r="J89" t="s">
        <v>3960</v>
      </c>
      <c r="K89" t="s">
        <v>2207</v>
      </c>
      <c r="L89" t="s">
        <v>2719</v>
      </c>
      <c r="M89" t="s">
        <v>4957</v>
      </c>
      <c r="N89" t="s">
        <v>4220</v>
      </c>
      <c r="O89" t="s">
        <v>3218</v>
      </c>
      <c r="P89" t="s">
        <v>1701</v>
      </c>
      <c r="Q89" t="s">
        <v>2471</v>
      </c>
      <c r="R89" t="s">
        <v>4718</v>
      </c>
    </row>
    <row r="90" spans="2:18" x14ac:dyDescent="0.2">
      <c r="B90">
        <v>90</v>
      </c>
      <c r="C90" t="s">
        <v>3482</v>
      </c>
      <c r="D90" t="s">
        <v>1442</v>
      </c>
      <c r="E90" t="s">
        <v>1952</v>
      </c>
      <c r="F90" t="s">
        <v>1185</v>
      </c>
      <c r="G90" t="s">
        <v>3725</v>
      </c>
      <c r="H90" t="s">
        <v>4474</v>
      </c>
      <c r="I90" t="s">
        <v>2967</v>
      </c>
      <c r="J90" t="s">
        <v>3961</v>
      </c>
      <c r="K90" t="s">
        <v>2208</v>
      </c>
      <c r="L90" t="s">
        <v>2720</v>
      </c>
      <c r="M90" t="s">
        <v>4958</v>
      </c>
      <c r="N90" t="s">
        <v>4221</v>
      </c>
      <c r="O90" t="s">
        <v>3219</v>
      </c>
      <c r="P90" t="s">
        <v>1702</v>
      </c>
      <c r="Q90" t="s">
        <v>2472</v>
      </c>
      <c r="R90" t="s">
        <v>4719</v>
      </c>
    </row>
    <row r="91" spans="2:18" x14ac:dyDescent="0.2">
      <c r="B91">
        <v>91</v>
      </c>
      <c r="C91" t="s">
        <v>3483</v>
      </c>
      <c r="D91" t="s">
        <v>1443</v>
      </c>
      <c r="E91" t="s">
        <v>1953</v>
      </c>
      <c r="F91" t="s">
        <v>1186</v>
      </c>
      <c r="G91" t="s">
        <v>3726</v>
      </c>
      <c r="H91" t="s">
        <v>4475</v>
      </c>
      <c r="I91" t="s">
        <v>2968</v>
      </c>
      <c r="J91" t="s">
        <v>3962</v>
      </c>
      <c r="K91" t="s">
        <v>2209</v>
      </c>
      <c r="L91" t="s">
        <v>2721</v>
      </c>
      <c r="M91" t="s">
        <v>4959</v>
      </c>
      <c r="N91" t="s">
        <v>4222</v>
      </c>
      <c r="O91" t="s">
        <v>3220</v>
      </c>
      <c r="P91" t="s">
        <v>1703</v>
      </c>
      <c r="Q91" t="s">
        <v>2473</v>
      </c>
      <c r="R91" t="s">
        <v>4720</v>
      </c>
    </row>
    <row r="92" spans="2:18" x14ac:dyDescent="0.2">
      <c r="B92">
        <v>92</v>
      </c>
      <c r="C92" t="s">
        <v>3484</v>
      </c>
      <c r="D92" t="s">
        <v>1444</v>
      </c>
      <c r="E92" t="s">
        <v>1954</v>
      </c>
      <c r="F92" t="s">
        <v>1187</v>
      </c>
      <c r="G92" t="s">
        <v>3727</v>
      </c>
      <c r="H92" t="s">
        <v>4476</v>
      </c>
      <c r="I92" t="s">
        <v>2969</v>
      </c>
      <c r="J92" t="s">
        <v>3963</v>
      </c>
      <c r="K92" t="s">
        <v>2210</v>
      </c>
      <c r="L92" t="s">
        <v>2722</v>
      </c>
      <c r="M92" t="s">
        <v>4960</v>
      </c>
      <c r="N92" t="s">
        <v>4223</v>
      </c>
      <c r="O92" t="s">
        <v>3221</v>
      </c>
      <c r="P92" t="s">
        <v>1704</v>
      </c>
      <c r="Q92" t="s">
        <v>2474</v>
      </c>
      <c r="R92" t="s">
        <v>4721</v>
      </c>
    </row>
    <row r="93" spans="2:18" x14ac:dyDescent="0.2">
      <c r="B93">
        <v>93</v>
      </c>
      <c r="C93" t="s">
        <v>3485</v>
      </c>
      <c r="D93" t="s">
        <v>5186</v>
      </c>
      <c r="E93" t="s">
        <v>5187</v>
      </c>
      <c r="F93" t="s">
        <v>1188</v>
      </c>
      <c r="G93" t="s">
        <v>3756</v>
      </c>
      <c r="H93" t="s">
        <v>5188</v>
      </c>
      <c r="I93" t="s">
        <v>5189</v>
      </c>
      <c r="J93" t="s">
        <v>5190</v>
      </c>
      <c r="K93" t="s">
        <v>5187</v>
      </c>
      <c r="L93" t="s">
        <v>5191</v>
      </c>
      <c r="M93" t="s">
        <v>4961</v>
      </c>
      <c r="N93" t="s">
        <v>5192</v>
      </c>
      <c r="O93" t="s">
        <v>5193</v>
      </c>
      <c r="P93" t="s">
        <v>1717</v>
      </c>
      <c r="Q93" s="46" t="s">
        <v>5203</v>
      </c>
      <c r="R93" t="s">
        <v>4722</v>
      </c>
    </row>
    <row r="94" spans="2:18" x14ac:dyDescent="0.2">
      <c r="B94">
        <v>94</v>
      </c>
      <c r="C94" t="s">
        <v>3486</v>
      </c>
      <c r="D94" t="s">
        <v>5194</v>
      </c>
      <c r="E94" t="s">
        <v>5195</v>
      </c>
      <c r="F94" t="s">
        <v>1158</v>
      </c>
      <c r="G94" t="s">
        <v>3744</v>
      </c>
      <c r="H94" t="s">
        <v>5196</v>
      </c>
      <c r="I94" t="s">
        <v>5197</v>
      </c>
      <c r="J94" t="s">
        <v>5198</v>
      </c>
      <c r="K94" t="s">
        <v>5199</v>
      </c>
      <c r="L94" t="s">
        <v>5200</v>
      </c>
      <c r="M94" t="s">
        <v>4962</v>
      </c>
      <c r="N94" t="s">
        <v>5201</v>
      </c>
      <c r="O94" t="s">
        <v>5202</v>
      </c>
      <c r="P94" t="s">
        <v>1676</v>
      </c>
      <c r="Q94" s="46" t="s">
        <v>5204</v>
      </c>
      <c r="R94" t="s">
        <v>2439</v>
      </c>
    </row>
    <row r="95" spans="2:18" x14ac:dyDescent="0.2">
      <c r="B95">
        <v>95</v>
      </c>
      <c r="C95" t="s">
        <v>3487</v>
      </c>
      <c r="D95" t="s">
        <v>1445</v>
      </c>
      <c r="E95" t="s">
        <v>1955</v>
      </c>
      <c r="F95" t="s">
        <v>1189</v>
      </c>
      <c r="G95" t="s">
        <v>3728</v>
      </c>
      <c r="H95" t="s">
        <v>4477</v>
      </c>
      <c r="I95" t="s">
        <v>2970</v>
      </c>
      <c r="J95" t="s">
        <v>3964</v>
      </c>
      <c r="K95" t="s">
        <v>2211</v>
      </c>
      <c r="L95" t="s">
        <v>2723</v>
      </c>
      <c r="M95" t="s">
        <v>4963</v>
      </c>
      <c r="N95" t="s">
        <v>4224</v>
      </c>
      <c r="O95" t="s">
        <v>3222</v>
      </c>
      <c r="P95" t="s">
        <v>1705</v>
      </c>
      <c r="Q95" t="s">
        <v>2475</v>
      </c>
      <c r="R95" t="s">
        <v>4723</v>
      </c>
    </row>
    <row r="96" spans="2:18" x14ac:dyDescent="0.2">
      <c r="B96">
        <v>96</v>
      </c>
      <c r="C96" t="s">
        <v>3488</v>
      </c>
      <c r="D96" t="s">
        <v>1446</v>
      </c>
      <c r="E96" t="s">
        <v>1956</v>
      </c>
      <c r="F96" t="s">
        <v>1190</v>
      </c>
      <c r="G96" t="s">
        <v>3729</v>
      </c>
      <c r="H96" t="s">
        <v>4478</v>
      </c>
      <c r="I96" t="s">
        <v>2971</v>
      </c>
      <c r="J96" t="s">
        <v>3965</v>
      </c>
      <c r="K96" t="s">
        <v>2212</v>
      </c>
      <c r="L96" t="s">
        <v>2724</v>
      </c>
      <c r="M96" t="s">
        <v>4964</v>
      </c>
      <c r="N96" t="s">
        <v>4225</v>
      </c>
      <c r="O96" t="s">
        <v>3223</v>
      </c>
      <c r="P96" t="s">
        <v>1706</v>
      </c>
      <c r="Q96" t="s">
        <v>2476</v>
      </c>
      <c r="R96" t="s">
        <v>4724</v>
      </c>
    </row>
    <row r="97" spans="1:18" x14ac:dyDescent="0.2">
      <c r="B97">
        <v>97</v>
      </c>
      <c r="C97" t="s">
        <v>3489</v>
      </c>
      <c r="D97" t="s">
        <v>1447</v>
      </c>
      <c r="E97" t="s">
        <v>1957</v>
      </c>
      <c r="F97" t="s">
        <v>1191</v>
      </c>
      <c r="G97" t="s">
        <v>3730</v>
      </c>
      <c r="H97" t="s">
        <v>4479</v>
      </c>
      <c r="I97" t="s">
        <v>2972</v>
      </c>
      <c r="J97" t="s">
        <v>3966</v>
      </c>
      <c r="K97" t="s">
        <v>2213</v>
      </c>
      <c r="L97" t="s">
        <v>2725</v>
      </c>
      <c r="M97" t="s">
        <v>4965</v>
      </c>
      <c r="N97" t="s">
        <v>4226</v>
      </c>
      <c r="O97" t="s">
        <v>3224</v>
      </c>
      <c r="P97" t="s">
        <v>1707</v>
      </c>
      <c r="Q97" t="s">
        <v>2477</v>
      </c>
      <c r="R97" t="s">
        <v>4725</v>
      </c>
    </row>
    <row r="98" spans="1:18" x14ac:dyDescent="0.2">
      <c r="B98">
        <v>98</v>
      </c>
      <c r="C98" t="s">
        <v>3490</v>
      </c>
      <c r="D98" t="s">
        <v>1448</v>
      </c>
      <c r="E98" t="s">
        <v>1958</v>
      </c>
      <c r="F98" t="s">
        <v>1192</v>
      </c>
      <c r="G98" t="s">
        <v>3731</v>
      </c>
      <c r="H98" t="s">
        <v>4480</v>
      </c>
      <c r="I98" t="s">
        <v>2973</v>
      </c>
      <c r="J98" t="s">
        <v>3967</v>
      </c>
      <c r="K98" t="s">
        <v>2214</v>
      </c>
      <c r="L98" t="s">
        <v>2726</v>
      </c>
      <c r="M98" t="s">
        <v>4966</v>
      </c>
      <c r="N98" t="s">
        <v>4227</v>
      </c>
      <c r="O98" t="s">
        <v>3225</v>
      </c>
      <c r="P98" t="s">
        <v>1708</v>
      </c>
      <c r="Q98" t="s">
        <v>2478</v>
      </c>
      <c r="R98" t="s">
        <v>4726</v>
      </c>
    </row>
    <row r="99" spans="1:18" x14ac:dyDescent="0.2">
      <c r="B99">
        <v>99</v>
      </c>
      <c r="C99" t="s">
        <v>3491</v>
      </c>
      <c r="D99" t="s">
        <v>1449</v>
      </c>
      <c r="E99" t="s">
        <v>1959</v>
      </c>
      <c r="F99" t="s">
        <v>1193</v>
      </c>
      <c r="G99" t="s">
        <v>3732</v>
      </c>
      <c r="H99" t="s">
        <v>4481</v>
      </c>
      <c r="I99" t="s">
        <v>2974</v>
      </c>
      <c r="J99" t="s">
        <v>3968</v>
      </c>
      <c r="K99" t="s">
        <v>2215</v>
      </c>
      <c r="L99" t="s">
        <v>2727</v>
      </c>
      <c r="M99" t="s">
        <v>4967</v>
      </c>
      <c r="N99" t="s">
        <v>4228</v>
      </c>
      <c r="O99" t="s">
        <v>3226</v>
      </c>
      <c r="P99" t="s">
        <v>1709</v>
      </c>
      <c r="Q99" t="s">
        <v>2479</v>
      </c>
      <c r="R99" t="s">
        <v>4727</v>
      </c>
    </row>
    <row r="100" spans="1:18" x14ac:dyDescent="0.2">
      <c r="A100" t="s">
        <v>952</v>
      </c>
      <c r="B100">
        <v>100</v>
      </c>
      <c r="C100" t="s">
        <v>3492</v>
      </c>
      <c r="D100" t="s">
        <v>1450</v>
      </c>
      <c r="E100" t="s">
        <v>1894</v>
      </c>
      <c r="F100" t="s">
        <v>1194</v>
      </c>
      <c r="G100" t="s">
        <v>3670</v>
      </c>
      <c r="H100" t="s">
        <v>4482</v>
      </c>
      <c r="I100" t="s">
        <v>2975</v>
      </c>
      <c r="J100" t="s">
        <v>3969</v>
      </c>
      <c r="K100" t="s">
        <v>2216</v>
      </c>
      <c r="L100" t="s">
        <v>2665</v>
      </c>
      <c r="M100" t="s">
        <v>4904</v>
      </c>
      <c r="N100" t="s">
        <v>4229</v>
      </c>
      <c r="O100" t="s">
        <v>3227</v>
      </c>
      <c r="P100" t="s">
        <v>1710</v>
      </c>
      <c r="Q100" t="s">
        <v>2480</v>
      </c>
      <c r="R100" t="s">
        <v>4728</v>
      </c>
    </row>
    <row r="101" spans="1:18" x14ac:dyDescent="0.2">
      <c r="B101">
        <v>101</v>
      </c>
      <c r="C101" t="s">
        <v>3417</v>
      </c>
      <c r="D101" t="s">
        <v>1451</v>
      </c>
      <c r="E101" t="s">
        <v>1960</v>
      </c>
      <c r="F101" t="s">
        <v>1195</v>
      </c>
      <c r="G101" t="s">
        <v>3733</v>
      </c>
      <c r="H101" t="s">
        <v>4483</v>
      </c>
      <c r="I101" t="s">
        <v>2900</v>
      </c>
      <c r="J101" t="s">
        <v>3970</v>
      </c>
      <c r="K101" t="s">
        <v>2217</v>
      </c>
      <c r="L101" t="s">
        <v>2728</v>
      </c>
      <c r="M101" t="s">
        <v>4968</v>
      </c>
      <c r="N101" t="s">
        <v>4230</v>
      </c>
      <c r="O101" t="s">
        <v>3228</v>
      </c>
      <c r="Q101" t="s">
        <v>2481</v>
      </c>
      <c r="R101" t="s">
        <v>4729</v>
      </c>
    </row>
    <row r="102" spans="1:18" x14ac:dyDescent="0.2">
      <c r="B102">
        <v>102</v>
      </c>
      <c r="C102" t="s">
        <v>3418</v>
      </c>
      <c r="D102" t="s">
        <v>1452</v>
      </c>
      <c r="E102" t="s">
        <v>1952</v>
      </c>
      <c r="F102" t="s">
        <v>1196</v>
      </c>
      <c r="G102" t="s">
        <v>3734</v>
      </c>
      <c r="H102" t="s">
        <v>4484</v>
      </c>
      <c r="I102" t="s">
        <v>2967</v>
      </c>
      <c r="J102" t="s">
        <v>3971</v>
      </c>
      <c r="K102" t="s">
        <v>2208</v>
      </c>
      <c r="L102" t="s">
        <v>2729</v>
      </c>
      <c r="M102" t="s">
        <v>4969</v>
      </c>
      <c r="N102" t="s">
        <v>4231</v>
      </c>
      <c r="O102" t="s">
        <v>3219</v>
      </c>
      <c r="P102" t="s">
        <v>1711</v>
      </c>
      <c r="Q102" t="s">
        <v>2482</v>
      </c>
      <c r="R102" t="s">
        <v>4719</v>
      </c>
    </row>
    <row r="103" spans="1:18" x14ac:dyDescent="0.2">
      <c r="B103">
        <v>103</v>
      </c>
      <c r="C103" t="s">
        <v>3413</v>
      </c>
      <c r="D103" t="s">
        <v>1453</v>
      </c>
      <c r="E103" t="s">
        <v>1961</v>
      </c>
      <c r="F103" t="s">
        <v>1118</v>
      </c>
      <c r="G103" t="s">
        <v>3735</v>
      </c>
      <c r="H103" t="s">
        <v>4485</v>
      </c>
      <c r="I103" t="s">
        <v>2976</v>
      </c>
      <c r="J103" t="s">
        <v>3972</v>
      </c>
      <c r="K103" t="s">
        <v>2218</v>
      </c>
      <c r="L103" t="s">
        <v>2730</v>
      </c>
      <c r="M103" t="s">
        <v>4970</v>
      </c>
      <c r="N103" t="s">
        <v>4232</v>
      </c>
      <c r="O103" t="s">
        <v>3146</v>
      </c>
      <c r="P103" t="s">
        <v>1712</v>
      </c>
      <c r="Q103" t="s">
        <v>2483</v>
      </c>
      <c r="R103" t="s">
        <v>4651</v>
      </c>
    </row>
    <row r="104" spans="1:18" x14ac:dyDescent="0.2">
      <c r="B104">
        <v>104</v>
      </c>
      <c r="C104" t="s">
        <v>3493</v>
      </c>
      <c r="D104" t="s">
        <v>1454</v>
      </c>
      <c r="E104" t="s">
        <v>1962</v>
      </c>
      <c r="F104" t="s">
        <v>1197</v>
      </c>
      <c r="G104" t="s">
        <v>3736</v>
      </c>
      <c r="H104" t="s">
        <v>4486</v>
      </c>
      <c r="I104" t="s">
        <v>2977</v>
      </c>
      <c r="J104" t="s">
        <v>3973</v>
      </c>
      <c r="K104" t="s">
        <v>2219</v>
      </c>
      <c r="L104" t="s">
        <v>2731</v>
      </c>
      <c r="M104" t="s">
        <v>4971</v>
      </c>
      <c r="N104" t="s">
        <v>4233</v>
      </c>
      <c r="O104" t="s">
        <v>3229</v>
      </c>
      <c r="P104" t="s">
        <v>1713</v>
      </c>
      <c r="Q104" t="s">
        <v>2484</v>
      </c>
      <c r="R104" t="s">
        <v>4730</v>
      </c>
    </row>
    <row r="105" spans="1:18" x14ac:dyDescent="0.2">
      <c r="B105">
        <v>105</v>
      </c>
      <c r="C105" t="s">
        <v>3494</v>
      </c>
      <c r="D105" t="s">
        <v>1455</v>
      </c>
      <c r="E105" t="s">
        <v>1963</v>
      </c>
      <c r="F105" t="s">
        <v>1198</v>
      </c>
      <c r="G105" t="s">
        <v>3737</v>
      </c>
      <c r="H105" t="s">
        <v>4487</v>
      </c>
      <c r="I105" t="s">
        <v>2978</v>
      </c>
      <c r="J105" t="s">
        <v>3974</v>
      </c>
      <c r="K105" t="s">
        <v>2220</v>
      </c>
      <c r="L105" t="s">
        <v>2732</v>
      </c>
      <c r="M105" t="s">
        <v>4972</v>
      </c>
      <c r="N105" t="s">
        <v>4234</v>
      </c>
      <c r="O105" t="s">
        <v>3230</v>
      </c>
      <c r="P105" t="s">
        <v>1714</v>
      </c>
      <c r="Q105" t="s">
        <v>2485</v>
      </c>
      <c r="R105" t="s">
        <v>4731</v>
      </c>
    </row>
    <row r="106" spans="1:18" x14ac:dyDescent="0.2">
      <c r="B106">
        <v>106</v>
      </c>
      <c r="C106" t="s">
        <v>3487</v>
      </c>
      <c r="D106" t="s">
        <v>1456</v>
      </c>
      <c r="E106" t="s">
        <v>1964</v>
      </c>
      <c r="F106" t="s">
        <v>1199</v>
      </c>
      <c r="G106" t="s">
        <v>3738</v>
      </c>
      <c r="H106" t="s">
        <v>4488</v>
      </c>
      <c r="I106" t="s">
        <v>2979</v>
      </c>
      <c r="J106" t="s">
        <v>3975</v>
      </c>
      <c r="K106" t="s">
        <v>2221</v>
      </c>
      <c r="L106" t="s">
        <v>2733</v>
      </c>
      <c r="M106" t="s">
        <v>4973</v>
      </c>
      <c r="N106" t="s">
        <v>4235</v>
      </c>
      <c r="O106" t="s">
        <v>3231</v>
      </c>
      <c r="P106" t="s">
        <v>1715</v>
      </c>
      <c r="Q106" t="s">
        <v>2486</v>
      </c>
      <c r="R106" t="s">
        <v>4732</v>
      </c>
    </row>
    <row r="107" spans="1:18" x14ac:dyDescent="0.2">
      <c r="B107">
        <v>107</v>
      </c>
      <c r="H107" t="s">
        <v>4398</v>
      </c>
    </row>
    <row r="108" spans="1:18" x14ac:dyDescent="0.2">
      <c r="B108">
        <v>108</v>
      </c>
      <c r="C108" t="s">
        <v>3495</v>
      </c>
      <c r="D108" t="s">
        <v>1457</v>
      </c>
      <c r="E108" t="s">
        <v>1965</v>
      </c>
      <c r="F108" t="s">
        <v>1200</v>
      </c>
      <c r="G108" t="s">
        <v>3739</v>
      </c>
      <c r="H108" t="s">
        <v>4489</v>
      </c>
      <c r="I108" t="s">
        <v>2980</v>
      </c>
      <c r="J108" t="s">
        <v>3976</v>
      </c>
      <c r="K108" t="s">
        <v>2222</v>
      </c>
      <c r="L108" t="s">
        <v>2734</v>
      </c>
      <c r="M108" t="s">
        <v>4974</v>
      </c>
      <c r="N108" t="s">
        <v>4236</v>
      </c>
      <c r="O108" t="s">
        <v>3232</v>
      </c>
      <c r="P108" t="s">
        <v>1716</v>
      </c>
      <c r="Q108" t="s">
        <v>2487</v>
      </c>
      <c r="R108" t="s">
        <v>4733</v>
      </c>
    </row>
    <row r="109" spans="1:18" x14ac:dyDescent="0.2">
      <c r="B109">
        <v>109</v>
      </c>
      <c r="C109" t="s">
        <v>3496</v>
      </c>
      <c r="D109" t="s">
        <v>1458</v>
      </c>
      <c r="E109" t="s">
        <v>1966</v>
      </c>
      <c r="F109" t="s">
        <v>1201</v>
      </c>
      <c r="G109" t="s">
        <v>3740</v>
      </c>
      <c r="H109" t="s">
        <v>4490</v>
      </c>
      <c r="I109" t="s">
        <v>2981</v>
      </c>
      <c r="J109" t="s">
        <v>3977</v>
      </c>
      <c r="K109" t="s">
        <v>2223</v>
      </c>
      <c r="L109" t="s">
        <v>2735</v>
      </c>
      <c r="M109" t="s">
        <v>4975</v>
      </c>
      <c r="N109" t="s">
        <v>4237</v>
      </c>
      <c r="O109" t="s">
        <v>3233</v>
      </c>
      <c r="P109" t="s">
        <v>1717</v>
      </c>
      <c r="Q109" t="s">
        <v>2446</v>
      </c>
      <c r="R109" t="s">
        <v>4734</v>
      </c>
    </row>
    <row r="110" spans="1:18" x14ac:dyDescent="0.2">
      <c r="B110">
        <v>110</v>
      </c>
      <c r="C110" t="s">
        <v>3497</v>
      </c>
      <c r="D110" t="s">
        <v>1459</v>
      </c>
      <c r="E110" t="s">
        <v>1967</v>
      </c>
      <c r="F110" t="s">
        <v>1202</v>
      </c>
      <c r="G110" t="s">
        <v>3741</v>
      </c>
      <c r="H110" t="s">
        <v>4491</v>
      </c>
      <c r="I110" t="s">
        <v>2982</v>
      </c>
      <c r="J110" t="s">
        <v>3978</v>
      </c>
      <c r="K110" t="s">
        <v>2224</v>
      </c>
      <c r="L110" t="s">
        <v>2736</v>
      </c>
      <c r="M110" t="s">
        <v>4976</v>
      </c>
      <c r="N110" t="s">
        <v>4238</v>
      </c>
      <c r="O110" t="s">
        <v>3234</v>
      </c>
      <c r="P110" t="s">
        <v>1718</v>
      </c>
      <c r="Q110" t="s">
        <v>2488</v>
      </c>
      <c r="R110" t="s">
        <v>4735</v>
      </c>
    </row>
    <row r="111" spans="1:18" x14ac:dyDescent="0.2">
      <c r="B111">
        <v>111</v>
      </c>
      <c r="C111" t="s">
        <v>3498</v>
      </c>
      <c r="D111" t="s">
        <v>1460</v>
      </c>
      <c r="E111" t="s">
        <v>1968</v>
      </c>
      <c r="F111" t="s">
        <v>1203</v>
      </c>
      <c r="G111" t="s">
        <v>3742</v>
      </c>
      <c r="H111" t="s">
        <v>4492</v>
      </c>
      <c r="I111" t="s">
        <v>2983</v>
      </c>
      <c r="J111" t="s">
        <v>3979</v>
      </c>
      <c r="K111" t="s">
        <v>2225</v>
      </c>
      <c r="L111" t="s">
        <v>2737</v>
      </c>
      <c r="M111" t="s">
        <v>4977</v>
      </c>
      <c r="N111" t="s">
        <v>4239</v>
      </c>
      <c r="O111" t="s">
        <v>3235</v>
      </c>
      <c r="P111" t="s">
        <v>1719</v>
      </c>
      <c r="Q111" t="s">
        <v>2489</v>
      </c>
      <c r="R111" t="s">
        <v>4736</v>
      </c>
    </row>
    <row r="112" spans="1:18" x14ac:dyDescent="0.2">
      <c r="B112">
        <v>112</v>
      </c>
      <c r="H112" t="s">
        <v>4398</v>
      </c>
    </row>
    <row r="113" spans="2:18" x14ac:dyDescent="0.2">
      <c r="B113">
        <v>113</v>
      </c>
      <c r="C113" t="s">
        <v>3499</v>
      </c>
      <c r="D113" t="s">
        <v>1461</v>
      </c>
      <c r="E113" t="s">
        <v>1969</v>
      </c>
      <c r="F113" t="s">
        <v>1204</v>
      </c>
      <c r="G113" t="s">
        <v>3743</v>
      </c>
      <c r="H113" t="s">
        <v>4493</v>
      </c>
      <c r="I113" t="s">
        <v>2984</v>
      </c>
      <c r="J113" t="s">
        <v>3980</v>
      </c>
      <c r="K113" t="s">
        <v>2226</v>
      </c>
      <c r="L113" t="s">
        <v>2738</v>
      </c>
      <c r="M113" t="s">
        <v>4978</v>
      </c>
      <c r="N113" t="s">
        <v>4240</v>
      </c>
      <c r="O113" t="s">
        <v>3236</v>
      </c>
      <c r="P113" t="s">
        <v>1720</v>
      </c>
      <c r="Q113" t="s">
        <v>2490</v>
      </c>
      <c r="R113" t="s">
        <v>4737</v>
      </c>
    </row>
    <row r="114" spans="2:18" x14ac:dyDescent="0.2">
      <c r="B114">
        <v>114</v>
      </c>
      <c r="C114" t="s">
        <v>3500</v>
      </c>
      <c r="D114" t="s">
        <v>1462</v>
      </c>
      <c r="E114" t="s">
        <v>1970</v>
      </c>
      <c r="F114" t="s">
        <v>1205</v>
      </c>
      <c r="G114" t="s">
        <v>3744</v>
      </c>
      <c r="H114" t="s">
        <v>4494</v>
      </c>
      <c r="I114" t="s">
        <v>2985</v>
      </c>
      <c r="J114" t="s">
        <v>3981</v>
      </c>
      <c r="K114" t="s">
        <v>2227</v>
      </c>
      <c r="L114" t="s">
        <v>2739</v>
      </c>
      <c r="M114" t="s">
        <v>4979</v>
      </c>
      <c r="N114" t="s">
        <v>4241</v>
      </c>
      <c r="O114" t="s">
        <v>3237</v>
      </c>
      <c r="P114" t="s">
        <v>1721</v>
      </c>
      <c r="Q114" t="s">
        <v>2491</v>
      </c>
      <c r="R114" t="s">
        <v>4738</v>
      </c>
    </row>
    <row r="115" spans="2:18" x14ac:dyDescent="0.2">
      <c r="B115">
        <v>115</v>
      </c>
      <c r="C115" t="s">
        <v>3501</v>
      </c>
      <c r="D115" t="s">
        <v>1463</v>
      </c>
      <c r="E115" t="s">
        <v>1206</v>
      </c>
      <c r="F115" t="s">
        <v>1206</v>
      </c>
      <c r="G115" t="s">
        <v>3745</v>
      </c>
      <c r="H115" t="s">
        <v>1206</v>
      </c>
      <c r="I115" t="s">
        <v>2986</v>
      </c>
      <c r="J115" t="s">
        <v>3982</v>
      </c>
      <c r="K115" t="s">
        <v>2228</v>
      </c>
      <c r="L115" t="s">
        <v>2740</v>
      </c>
      <c r="M115" t="s">
        <v>4980</v>
      </c>
      <c r="N115" t="s">
        <v>4242</v>
      </c>
      <c r="O115" t="s">
        <v>3238</v>
      </c>
      <c r="P115" t="s">
        <v>1722</v>
      </c>
      <c r="Q115" t="s">
        <v>2492</v>
      </c>
      <c r="R115" t="s">
        <v>2438</v>
      </c>
    </row>
    <row r="116" spans="2:18" x14ac:dyDescent="0.2">
      <c r="B116">
        <v>116</v>
      </c>
      <c r="C116" t="s">
        <v>3502</v>
      </c>
      <c r="D116" t="s">
        <v>1464</v>
      </c>
      <c r="E116" t="s">
        <v>1207</v>
      </c>
      <c r="F116" t="s">
        <v>1207</v>
      </c>
      <c r="G116" t="s">
        <v>3746</v>
      </c>
      <c r="H116" t="s">
        <v>1207</v>
      </c>
      <c r="I116" t="s">
        <v>2987</v>
      </c>
      <c r="J116" t="s">
        <v>3983</v>
      </c>
      <c r="K116" t="s">
        <v>2229</v>
      </c>
      <c r="L116" t="s">
        <v>2741</v>
      </c>
      <c r="M116" t="s">
        <v>4981</v>
      </c>
      <c r="N116" t="s">
        <v>4243</v>
      </c>
      <c r="O116" t="s">
        <v>3239</v>
      </c>
      <c r="P116" t="s">
        <v>1723</v>
      </c>
      <c r="Q116" t="s">
        <v>2493</v>
      </c>
      <c r="R116" t="s">
        <v>4739</v>
      </c>
    </row>
    <row r="117" spans="2:18" x14ac:dyDescent="0.2">
      <c r="B117">
        <v>117</v>
      </c>
      <c r="C117" t="s">
        <v>3503</v>
      </c>
      <c r="D117" t="s">
        <v>1465</v>
      </c>
      <c r="E117" t="s">
        <v>1971</v>
      </c>
      <c r="F117" t="s">
        <v>1208</v>
      </c>
      <c r="G117" t="s">
        <v>3747</v>
      </c>
      <c r="H117" t="s">
        <v>1208</v>
      </c>
      <c r="I117" t="s">
        <v>2988</v>
      </c>
      <c r="J117" t="s">
        <v>3984</v>
      </c>
      <c r="K117" t="s">
        <v>2230</v>
      </c>
      <c r="L117" t="s">
        <v>2742</v>
      </c>
      <c r="M117" t="s">
        <v>4982</v>
      </c>
      <c r="N117" t="s">
        <v>4244</v>
      </c>
      <c r="O117" t="s">
        <v>3240</v>
      </c>
      <c r="P117" t="s">
        <v>1724</v>
      </c>
      <c r="Q117" t="s">
        <v>2494</v>
      </c>
      <c r="R117" t="s">
        <v>2510</v>
      </c>
    </row>
    <row r="118" spans="2:18" x14ac:dyDescent="0.2">
      <c r="B118">
        <v>118</v>
      </c>
      <c r="C118" t="s">
        <v>3504</v>
      </c>
      <c r="D118" t="s">
        <v>1466</v>
      </c>
      <c r="E118" t="s">
        <v>1972</v>
      </c>
      <c r="F118" t="s">
        <v>1209</v>
      </c>
      <c r="G118" t="s">
        <v>3748</v>
      </c>
      <c r="H118" t="s">
        <v>4495</v>
      </c>
      <c r="I118" t="s">
        <v>2989</v>
      </c>
      <c r="J118" t="s">
        <v>3985</v>
      </c>
      <c r="K118" t="s">
        <v>2231</v>
      </c>
      <c r="L118" t="s">
        <v>2743</v>
      </c>
      <c r="M118" t="s">
        <v>4983</v>
      </c>
      <c r="N118" t="s">
        <v>4245</v>
      </c>
      <c r="O118" t="s">
        <v>3241</v>
      </c>
      <c r="P118" t="s">
        <v>1725</v>
      </c>
      <c r="Q118" t="s">
        <v>2495</v>
      </c>
      <c r="R118" t="s">
        <v>4740</v>
      </c>
    </row>
    <row r="119" spans="2:18" x14ac:dyDescent="0.2">
      <c r="B119">
        <v>119</v>
      </c>
      <c r="C119" t="s">
        <v>3505</v>
      </c>
      <c r="D119" t="s">
        <v>1467</v>
      </c>
      <c r="E119" t="s">
        <v>1973</v>
      </c>
      <c r="F119" t="s">
        <v>1210</v>
      </c>
      <c r="G119" t="s">
        <v>3749</v>
      </c>
      <c r="H119" t="s">
        <v>1210</v>
      </c>
      <c r="I119" t="s">
        <v>2990</v>
      </c>
      <c r="J119" t="s">
        <v>3986</v>
      </c>
      <c r="K119" t="s">
        <v>2232</v>
      </c>
      <c r="L119" t="s">
        <v>2744</v>
      </c>
      <c r="M119" t="s">
        <v>4984</v>
      </c>
      <c r="N119" t="s">
        <v>4246</v>
      </c>
      <c r="O119" t="s">
        <v>3242</v>
      </c>
      <c r="P119" t="s">
        <v>1726</v>
      </c>
      <c r="Q119" t="s">
        <v>2496</v>
      </c>
      <c r="R119" t="s">
        <v>4741</v>
      </c>
    </row>
    <row r="120" spans="2:18" x14ac:dyDescent="0.2">
      <c r="B120">
        <v>120</v>
      </c>
      <c r="C120" t="s">
        <v>3506</v>
      </c>
      <c r="D120" t="s">
        <v>1468</v>
      </c>
      <c r="E120" t="s">
        <v>1974</v>
      </c>
      <c r="F120" t="s">
        <v>1211</v>
      </c>
      <c r="G120" t="s">
        <v>2233</v>
      </c>
      <c r="H120" t="s">
        <v>2233</v>
      </c>
      <c r="I120" t="s">
        <v>2991</v>
      </c>
      <c r="J120" t="s">
        <v>3987</v>
      </c>
      <c r="K120" t="s">
        <v>2233</v>
      </c>
      <c r="L120" t="s">
        <v>2745</v>
      </c>
      <c r="M120" t="s">
        <v>4985</v>
      </c>
      <c r="N120" t="s">
        <v>4247</v>
      </c>
      <c r="O120" t="s">
        <v>3243</v>
      </c>
      <c r="P120" t="s">
        <v>1727</v>
      </c>
      <c r="Q120" t="s">
        <v>2497</v>
      </c>
      <c r="R120" t="s">
        <v>4742</v>
      </c>
    </row>
    <row r="121" spans="2:18" x14ac:dyDescent="0.2">
      <c r="B121">
        <v>121</v>
      </c>
      <c r="C121" t="s">
        <v>3507</v>
      </c>
      <c r="D121" t="s">
        <v>1469</v>
      </c>
      <c r="E121" t="s">
        <v>1975</v>
      </c>
      <c r="F121" t="s">
        <v>1212</v>
      </c>
      <c r="G121" t="s">
        <v>2196</v>
      </c>
      <c r="H121" t="s">
        <v>1975</v>
      </c>
      <c r="I121" t="s">
        <v>2992</v>
      </c>
      <c r="J121" t="s">
        <v>3988</v>
      </c>
      <c r="K121" t="s">
        <v>1975</v>
      </c>
      <c r="L121" t="s">
        <v>2746</v>
      </c>
      <c r="M121" t="s">
        <v>4986</v>
      </c>
      <c r="N121" t="s">
        <v>4248</v>
      </c>
      <c r="O121" t="s">
        <v>3244</v>
      </c>
      <c r="P121" t="s">
        <v>1728</v>
      </c>
      <c r="Q121" t="s">
        <v>2498</v>
      </c>
      <c r="R121" t="s">
        <v>2439</v>
      </c>
    </row>
    <row r="122" spans="2:18" x14ac:dyDescent="0.2">
      <c r="B122">
        <v>122</v>
      </c>
      <c r="C122" t="s">
        <v>3508</v>
      </c>
      <c r="D122" t="s">
        <v>1470</v>
      </c>
      <c r="E122" t="s">
        <v>1976</v>
      </c>
      <c r="F122" t="s">
        <v>1213</v>
      </c>
      <c r="G122" t="s">
        <v>3750</v>
      </c>
      <c r="H122" t="s">
        <v>4496</v>
      </c>
      <c r="I122" t="s">
        <v>2993</v>
      </c>
      <c r="J122" t="s">
        <v>3989</v>
      </c>
      <c r="K122" t="s">
        <v>2234</v>
      </c>
      <c r="L122" t="s">
        <v>2747</v>
      </c>
      <c r="M122" t="s">
        <v>4987</v>
      </c>
      <c r="N122" t="s">
        <v>4249</v>
      </c>
      <c r="O122" t="s">
        <v>3245</v>
      </c>
      <c r="P122" t="s">
        <v>1729</v>
      </c>
      <c r="Q122" t="s">
        <v>2499</v>
      </c>
      <c r="R122" t="s">
        <v>4743</v>
      </c>
    </row>
    <row r="123" spans="2:18" x14ac:dyDescent="0.2">
      <c r="B123">
        <v>123</v>
      </c>
      <c r="C123" t="s">
        <v>3509</v>
      </c>
      <c r="D123" t="s">
        <v>1471</v>
      </c>
      <c r="E123" t="s">
        <v>1977</v>
      </c>
      <c r="F123" t="s">
        <v>1214</v>
      </c>
      <c r="G123" t="s">
        <v>3751</v>
      </c>
      <c r="H123" t="s">
        <v>4497</v>
      </c>
      <c r="I123" t="s">
        <v>2994</v>
      </c>
      <c r="J123" t="s">
        <v>3990</v>
      </c>
      <c r="K123" t="s">
        <v>2235</v>
      </c>
      <c r="L123" t="s">
        <v>2748</v>
      </c>
      <c r="M123" t="s">
        <v>4988</v>
      </c>
      <c r="N123" t="s">
        <v>4250</v>
      </c>
      <c r="O123" t="s">
        <v>3246</v>
      </c>
      <c r="P123" t="s">
        <v>1730</v>
      </c>
      <c r="Q123" t="s">
        <v>2500</v>
      </c>
      <c r="R123" t="s">
        <v>4744</v>
      </c>
    </row>
    <row r="124" spans="2:18" x14ac:dyDescent="0.2">
      <c r="B124">
        <v>124</v>
      </c>
      <c r="C124" t="s">
        <v>3510</v>
      </c>
      <c r="D124" t="s">
        <v>1472</v>
      </c>
      <c r="E124" t="s">
        <v>1978</v>
      </c>
      <c r="F124" t="s">
        <v>1215</v>
      </c>
      <c r="G124" t="s">
        <v>3752</v>
      </c>
      <c r="H124" t="s">
        <v>4498</v>
      </c>
      <c r="I124" t="s">
        <v>2995</v>
      </c>
      <c r="J124" t="s">
        <v>3991</v>
      </c>
      <c r="K124" t="s">
        <v>2236</v>
      </c>
      <c r="L124" t="s">
        <v>2749</v>
      </c>
      <c r="M124" t="s">
        <v>4989</v>
      </c>
      <c r="N124" t="s">
        <v>4251</v>
      </c>
      <c r="O124" t="s">
        <v>3247</v>
      </c>
      <c r="P124" t="s">
        <v>1731</v>
      </c>
      <c r="Q124" t="s">
        <v>2501</v>
      </c>
      <c r="R124" t="s">
        <v>4745</v>
      </c>
    </row>
    <row r="125" spans="2:18" x14ac:dyDescent="0.2">
      <c r="B125">
        <v>125</v>
      </c>
      <c r="C125" t="s">
        <v>3511</v>
      </c>
      <c r="D125" t="s">
        <v>1473</v>
      </c>
      <c r="E125" t="s">
        <v>1979</v>
      </c>
      <c r="F125" t="s">
        <v>1216</v>
      </c>
      <c r="G125" t="s">
        <v>3753</v>
      </c>
      <c r="H125" t="s">
        <v>4499</v>
      </c>
      <c r="I125" t="s">
        <v>2996</v>
      </c>
      <c r="J125" t="s">
        <v>3992</v>
      </c>
      <c r="K125" t="s">
        <v>2237</v>
      </c>
      <c r="L125" t="s">
        <v>2669</v>
      </c>
      <c r="M125" t="s">
        <v>4990</v>
      </c>
      <c r="N125" t="s">
        <v>4252</v>
      </c>
      <c r="O125" t="s">
        <v>3248</v>
      </c>
      <c r="P125" t="s">
        <v>1473</v>
      </c>
      <c r="Q125" t="s">
        <v>2502</v>
      </c>
      <c r="R125" t="s">
        <v>4746</v>
      </c>
    </row>
    <row r="126" spans="2:18" x14ac:dyDescent="0.2">
      <c r="B126">
        <v>126</v>
      </c>
      <c r="C126" t="s">
        <v>3462</v>
      </c>
      <c r="D126" t="s">
        <v>1422</v>
      </c>
      <c r="E126" t="s">
        <v>1930</v>
      </c>
      <c r="F126" t="s">
        <v>1165</v>
      </c>
      <c r="G126" t="s">
        <v>3706</v>
      </c>
      <c r="H126" t="s">
        <v>4453</v>
      </c>
      <c r="I126" t="s">
        <v>2948</v>
      </c>
      <c r="J126" t="s">
        <v>3993</v>
      </c>
      <c r="K126" t="s">
        <v>1930</v>
      </c>
      <c r="L126" t="s">
        <v>2700</v>
      </c>
      <c r="M126" t="s">
        <v>4939</v>
      </c>
      <c r="N126" t="s">
        <v>4198</v>
      </c>
      <c r="O126" t="s">
        <v>3249</v>
      </c>
      <c r="P126" t="s">
        <v>1679</v>
      </c>
      <c r="Q126" t="s">
        <v>2449</v>
      </c>
      <c r="R126" t="s">
        <v>4747</v>
      </c>
    </row>
    <row r="127" spans="2:18" x14ac:dyDescent="0.2">
      <c r="B127">
        <v>127</v>
      </c>
      <c r="C127" t="s">
        <v>3512</v>
      </c>
      <c r="D127" t="s">
        <v>1474</v>
      </c>
      <c r="E127" t="s">
        <v>1980</v>
      </c>
      <c r="F127" t="s">
        <v>1217</v>
      </c>
      <c r="G127" t="s">
        <v>1474</v>
      </c>
      <c r="H127" t="s">
        <v>4449</v>
      </c>
      <c r="I127" t="s">
        <v>2997</v>
      </c>
      <c r="J127" t="s">
        <v>3994</v>
      </c>
      <c r="K127" t="s">
        <v>1980</v>
      </c>
      <c r="L127" t="s">
        <v>2750</v>
      </c>
      <c r="M127" t="s">
        <v>2750</v>
      </c>
      <c r="N127" t="s">
        <v>4253</v>
      </c>
      <c r="O127" t="s">
        <v>3250</v>
      </c>
      <c r="P127" t="s">
        <v>1732</v>
      </c>
      <c r="Q127" t="s">
        <v>2503</v>
      </c>
      <c r="R127" t="s">
        <v>4748</v>
      </c>
    </row>
    <row r="128" spans="2:18" x14ac:dyDescent="0.2">
      <c r="B128">
        <v>128</v>
      </c>
      <c r="C128" t="s">
        <v>3513</v>
      </c>
      <c r="D128" t="s">
        <v>1475</v>
      </c>
      <c r="E128" t="s">
        <v>1981</v>
      </c>
      <c r="F128" t="s">
        <v>1218</v>
      </c>
      <c r="G128" t="s">
        <v>3754</v>
      </c>
      <c r="H128" t="s">
        <v>4500</v>
      </c>
      <c r="I128" t="s">
        <v>2998</v>
      </c>
      <c r="J128" t="s">
        <v>3995</v>
      </c>
      <c r="K128" t="s">
        <v>2238</v>
      </c>
      <c r="L128" t="s">
        <v>2751</v>
      </c>
      <c r="M128" t="s">
        <v>4991</v>
      </c>
      <c r="N128" t="s">
        <v>4254</v>
      </c>
      <c r="O128" t="s">
        <v>3251</v>
      </c>
      <c r="P128" t="s">
        <v>1733</v>
      </c>
      <c r="Q128" t="s">
        <v>2504</v>
      </c>
      <c r="R128" t="s">
        <v>4749</v>
      </c>
    </row>
    <row r="129" spans="2:18" x14ac:dyDescent="0.2">
      <c r="B129">
        <v>129</v>
      </c>
      <c r="C129" t="s">
        <v>3514</v>
      </c>
      <c r="D129" t="s">
        <v>1476</v>
      </c>
      <c r="E129" t="s">
        <v>1982</v>
      </c>
      <c r="F129" t="s">
        <v>1219</v>
      </c>
      <c r="G129" t="s">
        <v>3755</v>
      </c>
      <c r="H129" t="s">
        <v>4501</v>
      </c>
      <c r="I129" t="s">
        <v>2999</v>
      </c>
      <c r="J129" t="s">
        <v>3941</v>
      </c>
      <c r="K129" t="s">
        <v>2239</v>
      </c>
      <c r="L129" t="s">
        <v>2752</v>
      </c>
      <c r="M129" t="s">
        <v>4992</v>
      </c>
      <c r="N129" t="s">
        <v>4255</v>
      </c>
      <c r="O129" t="s">
        <v>3252</v>
      </c>
      <c r="P129" t="s">
        <v>1734</v>
      </c>
      <c r="Q129" t="s">
        <v>2505</v>
      </c>
      <c r="R129" t="s">
        <v>4750</v>
      </c>
    </row>
    <row r="130" spans="2:18" x14ac:dyDescent="0.2">
      <c r="B130">
        <v>130</v>
      </c>
      <c r="C130" t="s">
        <v>3515</v>
      </c>
      <c r="D130" t="s">
        <v>0</v>
      </c>
      <c r="E130" t="s">
        <v>1930</v>
      </c>
      <c r="F130" t="s">
        <v>1165</v>
      </c>
      <c r="G130" t="s">
        <v>3756</v>
      </c>
      <c r="H130" t="s">
        <v>4453</v>
      </c>
      <c r="I130" t="s">
        <v>0</v>
      </c>
      <c r="J130" t="s">
        <v>3996</v>
      </c>
      <c r="K130" t="s">
        <v>2240</v>
      </c>
      <c r="L130" t="s">
        <v>2700</v>
      </c>
      <c r="M130" t="s">
        <v>4993</v>
      </c>
      <c r="N130" t="s">
        <v>4256</v>
      </c>
      <c r="O130" t="s">
        <v>3253</v>
      </c>
      <c r="P130" t="s">
        <v>1735</v>
      </c>
      <c r="Q130" t="s">
        <v>2506</v>
      </c>
      <c r="R130" t="s">
        <v>4722</v>
      </c>
    </row>
    <row r="131" spans="2:18" x14ac:dyDescent="0.2">
      <c r="B131">
        <v>131</v>
      </c>
      <c r="C131" t="s">
        <v>3516</v>
      </c>
      <c r="D131" t="s">
        <v>949</v>
      </c>
      <c r="E131" t="s">
        <v>1931</v>
      </c>
      <c r="F131" t="s">
        <v>949</v>
      </c>
      <c r="G131" t="s">
        <v>3757</v>
      </c>
      <c r="H131" t="s">
        <v>949</v>
      </c>
      <c r="I131" t="s">
        <v>949</v>
      </c>
      <c r="J131" t="s">
        <v>3941</v>
      </c>
      <c r="K131" t="s">
        <v>1931</v>
      </c>
      <c r="L131" t="s">
        <v>2753</v>
      </c>
      <c r="M131" t="s">
        <v>4940</v>
      </c>
      <c r="N131" t="s">
        <v>4255</v>
      </c>
      <c r="O131" t="s">
        <v>3254</v>
      </c>
      <c r="P131" t="s">
        <v>1680</v>
      </c>
      <c r="Q131" t="s">
        <v>2507</v>
      </c>
      <c r="R131" t="s">
        <v>4700</v>
      </c>
    </row>
    <row r="132" spans="2:18" x14ac:dyDescent="0.2">
      <c r="B132">
        <v>132</v>
      </c>
      <c r="C132" t="s">
        <v>3000</v>
      </c>
      <c r="D132" t="s">
        <v>1477</v>
      </c>
      <c r="E132" t="s">
        <v>1983</v>
      </c>
      <c r="F132" t="s">
        <v>1220</v>
      </c>
      <c r="G132" t="s">
        <v>3758</v>
      </c>
      <c r="H132" t="s">
        <v>4502</v>
      </c>
      <c r="I132" t="s">
        <v>3000</v>
      </c>
      <c r="J132" t="s">
        <v>3997</v>
      </c>
      <c r="K132" t="s">
        <v>2241</v>
      </c>
      <c r="L132" t="s">
        <v>2754</v>
      </c>
      <c r="M132" t="s">
        <v>4994</v>
      </c>
      <c r="N132" t="s">
        <v>4257</v>
      </c>
      <c r="O132" t="s">
        <v>3255</v>
      </c>
      <c r="P132" t="s">
        <v>1736</v>
      </c>
      <c r="Q132" t="s">
        <v>2508</v>
      </c>
      <c r="R132" t="s">
        <v>4751</v>
      </c>
    </row>
    <row r="133" spans="2:18" x14ac:dyDescent="0.2">
      <c r="B133">
        <v>133</v>
      </c>
      <c r="C133" t="s">
        <v>3489</v>
      </c>
      <c r="D133" t="s">
        <v>1447</v>
      </c>
      <c r="E133" t="s">
        <v>1957</v>
      </c>
      <c r="F133" t="s">
        <v>1221</v>
      </c>
      <c r="G133" t="s">
        <v>3730</v>
      </c>
      <c r="H133" t="s">
        <v>4479</v>
      </c>
      <c r="I133" t="s">
        <v>3001</v>
      </c>
      <c r="J133" t="s">
        <v>3998</v>
      </c>
      <c r="K133" t="s">
        <v>2242</v>
      </c>
      <c r="L133" t="s">
        <v>2725</v>
      </c>
      <c r="M133" t="s">
        <v>4965</v>
      </c>
      <c r="N133" t="s">
        <v>4226</v>
      </c>
      <c r="O133" t="s">
        <v>3256</v>
      </c>
      <c r="P133" t="s">
        <v>1707</v>
      </c>
      <c r="Q133" t="s">
        <v>2509</v>
      </c>
      <c r="R133" t="s">
        <v>4752</v>
      </c>
    </row>
    <row r="134" spans="2:18" x14ac:dyDescent="0.2">
      <c r="B134">
        <v>134</v>
      </c>
      <c r="C134" t="s">
        <v>3517</v>
      </c>
      <c r="D134" t="s">
        <v>1478</v>
      </c>
      <c r="E134" t="s">
        <v>1984</v>
      </c>
      <c r="F134" t="s">
        <v>1222</v>
      </c>
      <c r="G134" t="s">
        <v>3759</v>
      </c>
      <c r="H134" t="s">
        <v>4503</v>
      </c>
      <c r="I134" t="s">
        <v>1478</v>
      </c>
      <c r="J134" t="s">
        <v>3999</v>
      </c>
      <c r="K134" t="s">
        <v>2243</v>
      </c>
      <c r="L134" t="s">
        <v>2755</v>
      </c>
      <c r="M134" t="s">
        <v>2755</v>
      </c>
      <c r="N134" t="s">
        <v>4258</v>
      </c>
      <c r="O134" t="s">
        <v>3257</v>
      </c>
      <c r="P134" t="s">
        <v>1737</v>
      </c>
      <c r="Q134" t="s">
        <v>2510</v>
      </c>
      <c r="R134" t="s">
        <v>4753</v>
      </c>
    </row>
    <row r="135" spans="2:18" x14ac:dyDescent="0.2">
      <c r="B135">
        <v>135</v>
      </c>
      <c r="C135" t="s">
        <v>3518</v>
      </c>
      <c r="D135" t="s">
        <v>1479</v>
      </c>
      <c r="E135" t="s">
        <v>1956</v>
      </c>
      <c r="F135" t="s">
        <v>1223</v>
      </c>
      <c r="G135" t="s">
        <v>3729</v>
      </c>
      <c r="H135" t="s">
        <v>4504</v>
      </c>
      <c r="I135" t="s">
        <v>3002</v>
      </c>
      <c r="J135" t="s">
        <v>4000</v>
      </c>
      <c r="K135" t="s">
        <v>2244</v>
      </c>
      <c r="L135" t="s">
        <v>2724</v>
      </c>
      <c r="M135" t="s">
        <v>4995</v>
      </c>
      <c r="N135" t="s">
        <v>4225</v>
      </c>
      <c r="O135" t="s">
        <v>3223</v>
      </c>
      <c r="P135" t="s">
        <v>1738</v>
      </c>
      <c r="Q135" t="s">
        <v>2476</v>
      </c>
      <c r="R135" t="s">
        <v>4724</v>
      </c>
    </row>
    <row r="136" spans="2:18" x14ac:dyDescent="0.2">
      <c r="B136">
        <v>136</v>
      </c>
      <c r="C136" t="s">
        <v>3490</v>
      </c>
      <c r="D136" t="s">
        <v>1480</v>
      </c>
      <c r="E136" t="s">
        <v>1958</v>
      </c>
      <c r="F136" t="s">
        <v>1192</v>
      </c>
      <c r="G136" t="s">
        <v>3760</v>
      </c>
      <c r="H136" t="s">
        <v>4505</v>
      </c>
      <c r="I136" t="s">
        <v>3003</v>
      </c>
      <c r="J136" t="s">
        <v>4001</v>
      </c>
      <c r="K136" t="s">
        <v>2245</v>
      </c>
      <c r="L136" t="s">
        <v>2756</v>
      </c>
      <c r="M136" t="s">
        <v>4996</v>
      </c>
      <c r="N136" t="s">
        <v>4227</v>
      </c>
      <c r="O136" t="s">
        <v>3225</v>
      </c>
      <c r="P136" t="s">
        <v>1739</v>
      </c>
      <c r="Q136" t="s">
        <v>2511</v>
      </c>
      <c r="R136" t="s">
        <v>4726</v>
      </c>
    </row>
    <row r="137" spans="2:18" x14ac:dyDescent="0.2">
      <c r="B137">
        <v>137</v>
      </c>
      <c r="C137" t="s">
        <v>3519</v>
      </c>
      <c r="D137" t="s">
        <v>1449</v>
      </c>
      <c r="E137" t="s">
        <v>1959</v>
      </c>
      <c r="F137" t="s">
        <v>1193</v>
      </c>
      <c r="G137" t="s">
        <v>3761</v>
      </c>
      <c r="H137" t="s">
        <v>4481</v>
      </c>
      <c r="I137" t="s">
        <v>2974</v>
      </c>
      <c r="J137" t="s">
        <v>3968</v>
      </c>
      <c r="K137" t="s">
        <v>2246</v>
      </c>
      <c r="L137" t="s">
        <v>2727</v>
      </c>
      <c r="M137" t="s">
        <v>4967</v>
      </c>
      <c r="N137" t="s">
        <v>4228</v>
      </c>
      <c r="O137" t="s">
        <v>3258</v>
      </c>
      <c r="P137" t="s">
        <v>1709</v>
      </c>
      <c r="Q137" t="s">
        <v>2479</v>
      </c>
      <c r="R137" t="s">
        <v>4727</v>
      </c>
    </row>
    <row r="138" spans="2:18" x14ac:dyDescent="0.2">
      <c r="B138">
        <v>138</v>
      </c>
      <c r="C138" t="s">
        <v>3520</v>
      </c>
      <c r="D138" t="s">
        <v>1481</v>
      </c>
      <c r="E138" t="s">
        <v>1985</v>
      </c>
      <c r="F138" t="s">
        <v>1224</v>
      </c>
      <c r="G138" t="s">
        <v>3762</v>
      </c>
      <c r="H138" t="s">
        <v>4506</v>
      </c>
      <c r="I138" t="s">
        <v>3004</v>
      </c>
      <c r="J138" t="s">
        <v>4002</v>
      </c>
      <c r="K138" t="s">
        <v>2247</v>
      </c>
      <c r="L138" t="s">
        <v>2757</v>
      </c>
      <c r="M138" t="s">
        <v>4997</v>
      </c>
      <c r="N138" t="s">
        <v>4259</v>
      </c>
      <c r="O138" t="s">
        <v>3259</v>
      </c>
      <c r="P138" t="s">
        <v>1740</v>
      </c>
      <c r="Q138" t="s">
        <v>2512</v>
      </c>
      <c r="R138" t="s">
        <v>4754</v>
      </c>
    </row>
    <row r="139" spans="2:18" x14ac:dyDescent="0.2">
      <c r="B139">
        <v>139</v>
      </c>
      <c r="C139" t="s">
        <v>3521</v>
      </c>
      <c r="D139" t="s">
        <v>1482</v>
      </c>
      <c r="E139" t="s">
        <v>1986</v>
      </c>
      <c r="F139" t="s">
        <v>1225</v>
      </c>
      <c r="G139" t="s">
        <v>3763</v>
      </c>
      <c r="H139" t="s">
        <v>4507</v>
      </c>
      <c r="I139" t="s">
        <v>3005</v>
      </c>
      <c r="J139" t="s">
        <v>4003</v>
      </c>
      <c r="K139" t="s">
        <v>2248</v>
      </c>
      <c r="L139" t="s">
        <v>2758</v>
      </c>
      <c r="M139" t="s">
        <v>4998</v>
      </c>
      <c r="N139" t="s">
        <v>4260</v>
      </c>
      <c r="O139" t="s">
        <v>3260</v>
      </c>
      <c r="P139" t="s">
        <v>1741</v>
      </c>
      <c r="Q139" t="s">
        <v>2513</v>
      </c>
      <c r="R139" t="s">
        <v>4755</v>
      </c>
    </row>
    <row r="140" spans="2:18" x14ac:dyDescent="0.2">
      <c r="B140">
        <v>140</v>
      </c>
      <c r="C140" t="s">
        <v>3522</v>
      </c>
      <c r="D140" t="s">
        <v>1483</v>
      </c>
      <c r="E140" t="s">
        <v>1987</v>
      </c>
      <c r="F140" t="s">
        <v>1226</v>
      </c>
      <c r="G140" t="s">
        <v>3764</v>
      </c>
      <c r="H140" t="s">
        <v>4508</v>
      </c>
      <c r="I140" t="s">
        <v>3006</v>
      </c>
      <c r="J140" t="s">
        <v>4004</v>
      </c>
      <c r="K140" t="s">
        <v>2249</v>
      </c>
      <c r="L140" t="s">
        <v>2759</v>
      </c>
      <c r="M140" t="s">
        <v>4999</v>
      </c>
      <c r="N140" t="s">
        <v>4261</v>
      </c>
      <c r="O140" t="s">
        <v>3261</v>
      </c>
      <c r="P140" t="s">
        <v>1742</v>
      </c>
      <c r="Q140" t="s">
        <v>2514</v>
      </c>
      <c r="R140" t="s">
        <v>4756</v>
      </c>
    </row>
    <row r="141" spans="2:18" x14ac:dyDescent="0.2">
      <c r="B141">
        <v>141</v>
      </c>
      <c r="C141" t="s">
        <v>3523</v>
      </c>
      <c r="D141" s="46" t="s">
        <v>5162</v>
      </c>
      <c r="E141" t="s">
        <v>1988</v>
      </c>
      <c r="F141" t="s">
        <v>1227</v>
      </c>
      <c r="G141" t="s">
        <v>3765</v>
      </c>
      <c r="H141" t="s">
        <v>4509</v>
      </c>
      <c r="I141" t="s">
        <v>3007</v>
      </c>
      <c r="J141" t="s">
        <v>4005</v>
      </c>
      <c r="K141" t="s">
        <v>2250</v>
      </c>
      <c r="L141" t="s">
        <v>2760</v>
      </c>
      <c r="M141" t="s">
        <v>5000</v>
      </c>
      <c r="N141" t="s">
        <v>4262</v>
      </c>
      <c r="O141" t="s">
        <v>3262</v>
      </c>
      <c r="P141" t="s">
        <v>1743</v>
      </c>
      <c r="Q141" t="s">
        <v>2515</v>
      </c>
      <c r="R141" t="s">
        <v>4757</v>
      </c>
    </row>
    <row r="142" spans="2:18" x14ac:dyDescent="0.2">
      <c r="B142">
        <v>142</v>
      </c>
      <c r="C142" t="s">
        <v>3516</v>
      </c>
      <c r="D142" t="s">
        <v>949</v>
      </c>
      <c r="E142" t="s">
        <v>1931</v>
      </c>
      <c r="F142" t="s">
        <v>1228</v>
      </c>
      <c r="G142" t="s">
        <v>2761</v>
      </c>
      <c r="H142" t="s">
        <v>949</v>
      </c>
      <c r="I142" t="s">
        <v>949</v>
      </c>
      <c r="J142" t="s">
        <v>3941</v>
      </c>
      <c r="K142" t="s">
        <v>1931</v>
      </c>
      <c r="L142" t="s">
        <v>2761</v>
      </c>
      <c r="M142" t="s">
        <v>4940</v>
      </c>
      <c r="N142" t="s">
        <v>4263</v>
      </c>
      <c r="O142" t="s">
        <v>3254</v>
      </c>
      <c r="P142" t="s">
        <v>1680</v>
      </c>
      <c r="Q142" t="s">
        <v>2507</v>
      </c>
      <c r="R142" t="s">
        <v>4700</v>
      </c>
    </row>
    <row r="143" spans="2:18" x14ac:dyDescent="0.2">
      <c r="B143">
        <v>143</v>
      </c>
      <c r="C143" t="s">
        <v>3524</v>
      </c>
      <c r="D143" t="s">
        <v>1484</v>
      </c>
      <c r="E143" t="s">
        <v>1989</v>
      </c>
      <c r="F143" t="s">
        <v>1169</v>
      </c>
      <c r="G143" t="s">
        <v>3766</v>
      </c>
      <c r="H143" t="s">
        <v>4510</v>
      </c>
      <c r="I143" t="s">
        <v>3008</v>
      </c>
      <c r="J143" t="s">
        <v>4006</v>
      </c>
      <c r="K143" t="s">
        <v>1989</v>
      </c>
      <c r="L143" t="s">
        <v>2762</v>
      </c>
      <c r="M143" t="s">
        <v>5001</v>
      </c>
      <c r="N143" t="s">
        <v>4264</v>
      </c>
      <c r="O143" t="s">
        <v>3263</v>
      </c>
      <c r="P143" t="s">
        <v>1744</v>
      </c>
      <c r="Q143" t="s">
        <v>2516</v>
      </c>
      <c r="R143" t="s">
        <v>2516</v>
      </c>
    </row>
    <row r="144" spans="2:18" x14ac:dyDescent="0.2">
      <c r="B144">
        <v>144</v>
      </c>
      <c r="C144" t="s">
        <v>3468</v>
      </c>
      <c r="D144" t="s">
        <v>1485</v>
      </c>
      <c r="E144" t="s">
        <v>1990</v>
      </c>
      <c r="F144" t="s">
        <v>1229</v>
      </c>
      <c r="G144" t="s">
        <v>3711</v>
      </c>
      <c r="H144" t="s">
        <v>4511</v>
      </c>
      <c r="I144" t="s">
        <v>3009</v>
      </c>
      <c r="J144" t="s">
        <v>4007</v>
      </c>
      <c r="K144" t="s">
        <v>2251</v>
      </c>
      <c r="L144" t="s">
        <v>2763</v>
      </c>
      <c r="M144" t="s">
        <v>4945</v>
      </c>
      <c r="N144" t="s">
        <v>4205</v>
      </c>
      <c r="O144" t="s">
        <v>3264</v>
      </c>
      <c r="P144" t="s">
        <v>1745</v>
      </c>
      <c r="Q144" t="s">
        <v>2456</v>
      </c>
      <c r="R144" t="s">
        <v>4705</v>
      </c>
    </row>
    <row r="145" spans="1:18" x14ac:dyDescent="0.2">
      <c r="B145">
        <v>145</v>
      </c>
      <c r="C145" t="s">
        <v>3525</v>
      </c>
      <c r="D145" t="s">
        <v>1486</v>
      </c>
      <c r="E145" t="s">
        <v>1991</v>
      </c>
      <c r="F145" t="s">
        <v>1230</v>
      </c>
      <c r="G145" t="s">
        <v>3767</v>
      </c>
      <c r="H145" t="s">
        <v>4512</v>
      </c>
      <c r="I145" t="s">
        <v>3010</v>
      </c>
      <c r="J145" t="s">
        <v>4008</v>
      </c>
      <c r="K145" t="s">
        <v>2252</v>
      </c>
      <c r="L145" t="s">
        <v>2764</v>
      </c>
      <c r="M145" t="s">
        <v>5002</v>
      </c>
      <c r="N145" t="s">
        <v>4265</v>
      </c>
      <c r="O145" t="s">
        <v>3265</v>
      </c>
      <c r="P145" t="s">
        <v>1746</v>
      </c>
      <c r="Q145" t="s">
        <v>2517</v>
      </c>
      <c r="R145" t="s">
        <v>4758</v>
      </c>
    </row>
    <row r="146" spans="1:18" x14ac:dyDescent="0.2">
      <c r="B146">
        <v>146</v>
      </c>
      <c r="C146" t="s">
        <v>3526</v>
      </c>
      <c r="D146" t="s">
        <v>1487</v>
      </c>
      <c r="E146" t="s">
        <v>1992</v>
      </c>
      <c r="F146" t="s">
        <v>1231</v>
      </c>
      <c r="G146" t="s">
        <v>3768</v>
      </c>
      <c r="H146" t="s">
        <v>4513</v>
      </c>
      <c r="I146" t="s">
        <v>3011</v>
      </c>
      <c r="J146" t="s">
        <v>4009</v>
      </c>
      <c r="K146" t="s">
        <v>2253</v>
      </c>
      <c r="L146" t="s">
        <v>2765</v>
      </c>
      <c r="M146" t="s">
        <v>5003</v>
      </c>
      <c r="N146" t="s">
        <v>4266</v>
      </c>
      <c r="O146" t="s">
        <v>3266</v>
      </c>
      <c r="P146" t="s">
        <v>1747</v>
      </c>
      <c r="Q146" t="s">
        <v>2518</v>
      </c>
      <c r="R146" t="s">
        <v>4759</v>
      </c>
    </row>
    <row r="147" spans="1:18" x14ac:dyDescent="0.2">
      <c r="A147" t="s">
        <v>953</v>
      </c>
      <c r="B147">
        <v>147</v>
      </c>
      <c r="C147" t="s">
        <v>3527</v>
      </c>
      <c r="D147" t="s">
        <v>1488</v>
      </c>
      <c r="E147" t="s">
        <v>1993</v>
      </c>
      <c r="F147" t="s">
        <v>1232</v>
      </c>
      <c r="G147" t="s">
        <v>3769</v>
      </c>
      <c r="H147" t="s">
        <v>4514</v>
      </c>
      <c r="I147" t="s">
        <v>3012</v>
      </c>
      <c r="J147" t="s">
        <v>4010</v>
      </c>
      <c r="K147" t="s">
        <v>2254</v>
      </c>
      <c r="L147" t="s">
        <v>2766</v>
      </c>
      <c r="M147" t="s">
        <v>5004</v>
      </c>
      <c r="N147" t="s">
        <v>4267</v>
      </c>
      <c r="O147" t="s">
        <v>3267</v>
      </c>
      <c r="P147" t="s">
        <v>1748</v>
      </c>
      <c r="Q147" t="s">
        <v>2519</v>
      </c>
      <c r="R147" t="s">
        <v>4760</v>
      </c>
    </row>
    <row r="148" spans="1:18" x14ac:dyDescent="0.2">
      <c r="B148">
        <v>148</v>
      </c>
      <c r="C148" t="s">
        <v>3528</v>
      </c>
      <c r="D148" t="s">
        <v>1489</v>
      </c>
      <c r="E148" t="s">
        <v>1994</v>
      </c>
      <c r="F148" t="s">
        <v>1233</v>
      </c>
      <c r="G148" t="s">
        <v>3770</v>
      </c>
      <c r="H148" t="s">
        <v>4515</v>
      </c>
      <c r="I148" t="s">
        <v>2916</v>
      </c>
      <c r="J148" t="s">
        <v>4011</v>
      </c>
      <c r="K148" t="s">
        <v>2255</v>
      </c>
      <c r="L148" t="s">
        <v>2767</v>
      </c>
      <c r="M148" t="s">
        <v>5005</v>
      </c>
      <c r="N148" t="s">
        <v>4268</v>
      </c>
      <c r="O148" t="s">
        <v>3268</v>
      </c>
      <c r="P148" t="s">
        <v>1749</v>
      </c>
      <c r="Q148" t="s">
        <v>2417</v>
      </c>
      <c r="R148" t="s">
        <v>4761</v>
      </c>
    </row>
    <row r="149" spans="1:18" x14ac:dyDescent="0.2">
      <c r="B149">
        <v>149</v>
      </c>
      <c r="C149" t="s">
        <v>1490</v>
      </c>
      <c r="D149" t="s">
        <v>1490</v>
      </c>
      <c r="E149" t="s">
        <v>1490</v>
      </c>
      <c r="F149" t="s">
        <v>1234</v>
      </c>
      <c r="G149" t="s">
        <v>1490</v>
      </c>
      <c r="H149" t="s">
        <v>1490</v>
      </c>
      <c r="I149" t="s">
        <v>1490</v>
      </c>
      <c r="J149" t="s">
        <v>1490</v>
      </c>
      <c r="K149" t="s">
        <v>2256</v>
      </c>
      <c r="L149" t="s">
        <v>1490</v>
      </c>
      <c r="M149" t="s">
        <v>1490</v>
      </c>
      <c r="N149" t="s">
        <v>4269</v>
      </c>
      <c r="O149" t="s">
        <v>3269</v>
      </c>
      <c r="P149" t="s">
        <v>1750</v>
      </c>
      <c r="Q149" t="s">
        <v>2520</v>
      </c>
      <c r="R149" t="s">
        <v>1490</v>
      </c>
    </row>
    <row r="150" spans="1:18" x14ac:dyDescent="0.2">
      <c r="B150">
        <v>150</v>
      </c>
      <c r="C150" t="s">
        <v>1491</v>
      </c>
      <c r="D150" t="s">
        <v>1491</v>
      </c>
      <c r="E150" t="s">
        <v>1491</v>
      </c>
      <c r="F150" t="s">
        <v>1235</v>
      </c>
      <c r="G150" t="s">
        <v>1491</v>
      </c>
      <c r="H150" t="s">
        <v>1491</v>
      </c>
      <c r="I150" t="s">
        <v>1491</v>
      </c>
      <c r="J150" t="s">
        <v>1491</v>
      </c>
      <c r="K150" t="s">
        <v>2257</v>
      </c>
      <c r="L150" t="s">
        <v>1491</v>
      </c>
      <c r="M150" t="s">
        <v>1491</v>
      </c>
      <c r="N150" t="s">
        <v>4270</v>
      </c>
      <c r="O150" t="s">
        <v>3270</v>
      </c>
      <c r="P150" t="s">
        <v>1751</v>
      </c>
      <c r="Q150" t="s">
        <v>2521</v>
      </c>
      <c r="R150" t="s">
        <v>1491</v>
      </c>
    </row>
    <row r="151" spans="1:18" x14ac:dyDescent="0.2">
      <c r="B151">
        <v>151</v>
      </c>
      <c r="C151" t="s">
        <v>1492</v>
      </c>
      <c r="D151" t="s">
        <v>1492</v>
      </c>
      <c r="E151" t="s">
        <v>1492</v>
      </c>
      <c r="F151" t="s">
        <v>1236</v>
      </c>
      <c r="G151" t="s">
        <v>1492</v>
      </c>
      <c r="H151" t="s">
        <v>1492</v>
      </c>
      <c r="I151" t="s">
        <v>1492</v>
      </c>
      <c r="J151" t="s">
        <v>1492</v>
      </c>
      <c r="K151" t="s">
        <v>2258</v>
      </c>
      <c r="L151" t="s">
        <v>1492</v>
      </c>
      <c r="M151" t="s">
        <v>1492</v>
      </c>
      <c r="N151" t="s">
        <v>4271</v>
      </c>
      <c r="O151" t="s">
        <v>3271</v>
      </c>
      <c r="P151" t="s">
        <v>1752</v>
      </c>
      <c r="Q151" t="s">
        <v>2522</v>
      </c>
      <c r="R151" t="s">
        <v>1492</v>
      </c>
    </row>
    <row r="152" spans="1:18" x14ac:dyDescent="0.2">
      <c r="B152">
        <v>152</v>
      </c>
      <c r="C152" t="s">
        <v>1493</v>
      </c>
      <c r="D152" t="s">
        <v>1493</v>
      </c>
      <c r="E152" t="s">
        <v>1493</v>
      </c>
      <c r="F152" t="s">
        <v>1237</v>
      </c>
      <c r="G152" t="s">
        <v>1493</v>
      </c>
      <c r="H152" t="s">
        <v>4516</v>
      </c>
      <c r="I152" t="s">
        <v>1493</v>
      </c>
      <c r="J152" t="s">
        <v>1493</v>
      </c>
      <c r="K152" t="s">
        <v>231</v>
      </c>
      <c r="L152" t="s">
        <v>1493</v>
      </c>
      <c r="M152" t="s">
        <v>1493</v>
      </c>
      <c r="N152" t="s">
        <v>4272</v>
      </c>
      <c r="O152" t="s">
        <v>3272</v>
      </c>
      <c r="P152" t="s">
        <v>1753</v>
      </c>
      <c r="Q152" t="s">
        <v>2523</v>
      </c>
      <c r="R152" t="s">
        <v>1493</v>
      </c>
    </row>
    <row r="153" spans="1:18" x14ac:dyDescent="0.2">
      <c r="B153">
        <v>153</v>
      </c>
      <c r="C153" t="s">
        <v>1494</v>
      </c>
      <c r="D153" t="s">
        <v>1494</v>
      </c>
      <c r="E153" t="s">
        <v>1995</v>
      </c>
      <c r="F153" t="s">
        <v>1238</v>
      </c>
      <c r="G153" t="s">
        <v>3771</v>
      </c>
      <c r="H153" t="s">
        <v>3013</v>
      </c>
      <c r="I153" t="s">
        <v>3013</v>
      </c>
      <c r="J153" t="s">
        <v>362</v>
      </c>
      <c r="K153" t="s">
        <v>2259</v>
      </c>
      <c r="L153" t="s">
        <v>1494</v>
      </c>
      <c r="M153" t="s">
        <v>5006</v>
      </c>
      <c r="N153" t="s">
        <v>4273</v>
      </c>
      <c r="O153" t="s">
        <v>3273</v>
      </c>
      <c r="P153" t="s">
        <v>1754</v>
      </c>
      <c r="Q153" t="s">
        <v>2459</v>
      </c>
      <c r="R153" t="s">
        <v>2459</v>
      </c>
    </row>
    <row r="154" spans="1:18" x14ac:dyDescent="0.2">
      <c r="B154">
        <v>154</v>
      </c>
      <c r="C154" t="s">
        <v>3529</v>
      </c>
      <c r="D154" t="s">
        <v>1495</v>
      </c>
      <c r="E154" t="s">
        <v>1996</v>
      </c>
      <c r="F154" t="s">
        <v>1239</v>
      </c>
      <c r="G154" t="s">
        <v>3772</v>
      </c>
      <c r="H154" t="s">
        <v>4517</v>
      </c>
      <c r="I154" t="s">
        <v>3014</v>
      </c>
      <c r="J154" t="s">
        <v>4012</v>
      </c>
      <c r="K154" t="s">
        <v>2260</v>
      </c>
      <c r="L154" t="s">
        <v>2768</v>
      </c>
      <c r="M154" t="s">
        <v>5007</v>
      </c>
      <c r="N154" t="s">
        <v>4274</v>
      </c>
      <c r="O154" t="s">
        <v>3274</v>
      </c>
      <c r="P154" t="s">
        <v>1755</v>
      </c>
      <c r="Q154" t="s">
        <v>2524</v>
      </c>
      <c r="R154" t="s">
        <v>4762</v>
      </c>
    </row>
    <row r="155" spans="1:18" x14ac:dyDescent="0.2">
      <c r="B155">
        <v>155</v>
      </c>
      <c r="C155" t="s">
        <v>3459</v>
      </c>
      <c r="D155" t="s">
        <v>948</v>
      </c>
      <c r="E155" t="s">
        <v>1927</v>
      </c>
      <c r="F155" t="s">
        <v>948</v>
      </c>
      <c r="G155" t="s">
        <v>3703</v>
      </c>
      <c r="H155" t="s">
        <v>4518</v>
      </c>
      <c r="I155" t="s">
        <v>2945</v>
      </c>
      <c r="J155" t="s">
        <v>3937</v>
      </c>
      <c r="K155" t="s">
        <v>2186</v>
      </c>
      <c r="L155" t="s">
        <v>2697</v>
      </c>
      <c r="M155" t="s">
        <v>4936</v>
      </c>
      <c r="N155" t="s">
        <v>4195</v>
      </c>
      <c r="O155" t="s">
        <v>3193</v>
      </c>
      <c r="P155" t="s">
        <v>1717</v>
      </c>
      <c r="Q155" t="s">
        <v>2446</v>
      </c>
      <c r="R155" t="s">
        <v>4696</v>
      </c>
    </row>
    <row r="156" spans="1:18" x14ac:dyDescent="0.2">
      <c r="B156">
        <v>156</v>
      </c>
      <c r="C156" t="s">
        <v>3530</v>
      </c>
      <c r="D156" t="s">
        <v>1496</v>
      </c>
      <c r="E156" t="s">
        <v>1997</v>
      </c>
      <c r="F156" t="s">
        <v>1240</v>
      </c>
      <c r="G156" t="s">
        <v>3773</v>
      </c>
      <c r="H156" t="s">
        <v>4519</v>
      </c>
      <c r="I156" t="s">
        <v>3015</v>
      </c>
      <c r="J156" t="s">
        <v>4013</v>
      </c>
      <c r="K156" t="s">
        <v>2261</v>
      </c>
      <c r="L156" t="s">
        <v>2769</v>
      </c>
      <c r="M156" t="s">
        <v>5008</v>
      </c>
      <c r="N156" t="s">
        <v>4275</v>
      </c>
      <c r="O156" t="s">
        <v>3275</v>
      </c>
      <c r="P156" t="s">
        <v>1756</v>
      </c>
      <c r="Q156" t="s">
        <v>2525</v>
      </c>
      <c r="R156" t="s">
        <v>4763</v>
      </c>
    </row>
    <row r="157" spans="1:18" x14ac:dyDescent="0.2">
      <c r="B157">
        <v>157</v>
      </c>
      <c r="C157" t="s">
        <v>3469</v>
      </c>
      <c r="D157" t="s">
        <v>951</v>
      </c>
      <c r="E157" t="s">
        <v>1937</v>
      </c>
      <c r="F157" t="s">
        <v>951</v>
      </c>
      <c r="G157" t="s">
        <v>3712</v>
      </c>
      <c r="H157" t="s">
        <v>951</v>
      </c>
      <c r="I157" t="s">
        <v>2954</v>
      </c>
      <c r="J157" t="s">
        <v>3948</v>
      </c>
      <c r="K157" t="s">
        <v>2195</v>
      </c>
      <c r="L157" t="s">
        <v>2707</v>
      </c>
      <c r="M157" t="s">
        <v>951</v>
      </c>
      <c r="N157" t="s">
        <v>4206</v>
      </c>
      <c r="O157" t="s">
        <v>3204</v>
      </c>
      <c r="P157" t="s">
        <v>1687</v>
      </c>
      <c r="Q157" t="s">
        <v>2457</v>
      </c>
      <c r="R157" t="s">
        <v>4706</v>
      </c>
    </row>
    <row r="158" spans="1:18" x14ac:dyDescent="0.2">
      <c r="B158">
        <v>158</v>
      </c>
      <c r="C158" t="s">
        <v>3531</v>
      </c>
      <c r="D158" t="s">
        <v>1497</v>
      </c>
      <c r="E158" t="s">
        <v>1998</v>
      </c>
      <c r="F158" t="s">
        <v>1241</v>
      </c>
      <c r="G158" t="s">
        <v>3774</v>
      </c>
      <c r="H158" t="s">
        <v>4520</v>
      </c>
      <c r="I158" t="s">
        <v>3016</v>
      </c>
      <c r="J158" t="s">
        <v>4014</v>
      </c>
      <c r="K158" t="s">
        <v>2262</v>
      </c>
      <c r="L158" t="s">
        <v>2770</v>
      </c>
      <c r="M158" t="s">
        <v>5009</v>
      </c>
      <c r="N158" t="s">
        <v>4276</v>
      </c>
      <c r="O158" t="s">
        <v>3276</v>
      </c>
      <c r="P158" t="s">
        <v>1757</v>
      </c>
      <c r="Q158" t="s">
        <v>2526</v>
      </c>
      <c r="R158" t="s">
        <v>4764</v>
      </c>
    </row>
    <row r="159" spans="1:18" x14ac:dyDescent="0.2">
      <c r="B159">
        <v>159</v>
      </c>
      <c r="C159" t="s">
        <v>3532</v>
      </c>
      <c r="D159" t="s">
        <v>1498</v>
      </c>
      <c r="E159" t="s">
        <v>1999</v>
      </c>
      <c r="F159" t="s">
        <v>1242</v>
      </c>
      <c r="G159" t="s">
        <v>3775</v>
      </c>
      <c r="H159" t="s">
        <v>4521</v>
      </c>
      <c r="I159" t="s">
        <v>3017</v>
      </c>
      <c r="J159" t="s">
        <v>4015</v>
      </c>
      <c r="K159" t="s">
        <v>2263</v>
      </c>
      <c r="L159" t="s">
        <v>2771</v>
      </c>
      <c r="M159" t="s">
        <v>5010</v>
      </c>
      <c r="N159" t="s">
        <v>4277</v>
      </c>
      <c r="O159" t="s">
        <v>3277</v>
      </c>
      <c r="P159" t="s">
        <v>1758</v>
      </c>
      <c r="Q159" t="s">
        <v>2527</v>
      </c>
      <c r="R159" t="s">
        <v>4765</v>
      </c>
    </row>
    <row r="160" spans="1:18" x14ac:dyDescent="0.2">
      <c r="B160">
        <v>160</v>
      </c>
      <c r="H160" t="s">
        <v>4398</v>
      </c>
    </row>
    <row r="161" spans="1:18" x14ac:dyDescent="0.2">
      <c r="B161">
        <v>161</v>
      </c>
      <c r="C161" t="s">
        <v>3533</v>
      </c>
      <c r="D161" t="s">
        <v>1499</v>
      </c>
      <c r="E161" t="s">
        <v>2000</v>
      </c>
      <c r="F161" t="s">
        <v>1243</v>
      </c>
      <c r="G161" t="s">
        <v>3776</v>
      </c>
      <c r="H161" t="s">
        <v>4522</v>
      </c>
      <c r="I161" t="s">
        <v>3018</v>
      </c>
      <c r="J161" t="s">
        <v>4016</v>
      </c>
      <c r="K161" t="s">
        <v>2264</v>
      </c>
      <c r="L161" t="s">
        <v>2772</v>
      </c>
      <c r="M161" t="s">
        <v>5011</v>
      </c>
      <c r="N161" t="s">
        <v>4278</v>
      </c>
      <c r="O161" t="s">
        <v>3278</v>
      </c>
      <c r="P161" t="s">
        <v>1759</v>
      </c>
      <c r="Q161" t="s">
        <v>2528</v>
      </c>
      <c r="R161" t="s">
        <v>4766</v>
      </c>
    </row>
    <row r="162" spans="1:18" x14ac:dyDescent="0.2">
      <c r="B162">
        <v>162</v>
      </c>
      <c r="C162" t="s">
        <v>3534</v>
      </c>
      <c r="D162" t="s">
        <v>1500</v>
      </c>
      <c r="E162" t="s">
        <v>2001</v>
      </c>
      <c r="F162" t="s">
        <v>1244</v>
      </c>
      <c r="G162" t="s">
        <v>3777</v>
      </c>
      <c r="H162" t="s">
        <v>4523</v>
      </c>
      <c r="I162" t="s">
        <v>3019</v>
      </c>
      <c r="J162" t="s">
        <v>4017</v>
      </c>
      <c r="K162" t="s">
        <v>2265</v>
      </c>
      <c r="L162" t="s">
        <v>2773</v>
      </c>
      <c r="M162" t="s">
        <v>5012</v>
      </c>
      <c r="N162" t="s">
        <v>4279</v>
      </c>
      <c r="O162" t="s">
        <v>3279</v>
      </c>
      <c r="P162" t="s">
        <v>1760</v>
      </c>
      <c r="Q162" t="s">
        <v>2529</v>
      </c>
      <c r="R162" t="s">
        <v>4767</v>
      </c>
    </row>
    <row r="163" spans="1:18" x14ac:dyDescent="0.2">
      <c r="B163">
        <v>163</v>
      </c>
      <c r="C163" t="s">
        <v>3459</v>
      </c>
      <c r="D163" t="s">
        <v>948</v>
      </c>
      <c r="E163" t="s">
        <v>1927</v>
      </c>
      <c r="F163" t="s">
        <v>948</v>
      </c>
      <c r="G163" t="s">
        <v>3703</v>
      </c>
      <c r="H163" t="s">
        <v>4518</v>
      </c>
      <c r="I163" t="s">
        <v>2945</v>
      </c>
      <c r="J163" t="s">
        <v>3937</v>
      </c>
      <c r="K163" t="s">
        <v>2186</v>
      </c>
      <c r="L163" t="s">
        <v>2697</v>
      </c>
      <c r="M163" t="s">
        <v>4936</v>
      </c>
      <c r="N163" t="s">
        <v>4195</v>
      </c>
      <c r="O163" t="s">
        <v>3193</v>
      </c>
      <c r="P163" t="s">
        <v>1717</v>
      </c>
      <c r="Q163" t="s">
        <v>2446</v>
      </c>
      <c r="R163" t="s">
        <v>4696</v>
      </c>
    </row>
    <row r="164" spans="1:18" x14ac:dyDescent="0.2">
      <c r="B164">
        <v>164</v>
      </c>
      <c r="C164" t="s">
        <v>3535</v>
      </c>
      <c r="D164" t="s">
        <v>1501</v>
      </c>
      <c r="E164" t="s">
        <v>2002</v>
      </c>
      <c r="F164" t="s">
        <v>1245</v>
      </c>
      <c r="G164" t="s">
        <v>3778</v>
      </c>
      <c r="H164" t="s">
        <v>4524</v>
      </c>
      <c r="I164" t="s">
        <v>3020</v>
      </c>
      <c r="J164" t="s">
        <v>4018</v>
      </c>
      <c r="K164" t="s">
        <v>2266</v>
      </c>
      <c r="L164" t="s">
        <v>2774</v>
      </c>
      <c r="M164" t="s">
        <v>5013</v>
      </c>
      <c r="N164" t="s">
        <v>4280</v>
      </c>
      <c r="O164" t="s">
        <v>3280</v>
      </c>
      <c r="P164" t="s">
        <v>1761</v>
      </c>
      <c r="Q164" t="s">
        <v>2499</v>
      </c>
      <c r="R164" t="s">
        <v>4744</v>
      </c>
    </row>
    <row r="165" spans="1:18" x14ac:dyDescent="0.2">
      <c r="B165">
        <v>165</v>
      </c>
      <c r="C165" t="s">
        <v>3536</v>
      </c>
      <c r="D165" t="s">
        <v>1502</v>
      </c>
      <c r="E165" t="s">
        <v>2003</v>
      </c>
      <c r="F165" t="s">
        <v>1246</v>
      </c>
      <c r="G165" t="s">
        <v>3779</v>
      </c>
      <c r="H165" t="s">
        <v>4525</v>
      </c>
      <c r="I165" t="s">
        <v>3021</v>
      </c>
      <c r="J165" t="s">
        <v>4019</v>
      </c>
      <c r="K165" t="s">
        <v>2267</v>
      </c>
      <c r="L165" t="s">
        <v>2775</v>
      </c>
      <c r="M165" t="s">
        <v>5014</v>
      </c>
      <c r="N165" t="s">
        <v>4281</v>
      </c>
      <c r="O165" t="s">
        <v>3281</v>
      </c>
      <c r="P165" t="s">
        <v>1762</v>
      </c>
      <c r="Q165" t="s">
        <v>2530</v>
      </c>
      <c r="R165" t="s">
        <v>4768</v>
      </c>
    </row>
    <row r="166" spans="1:18" x14ac:dyDescent="0.2">
      <c r="B166">
        <v>166</v>
      </c>
      <c r="C166" t="s">
        <v>3537</v>
      </c>
      <c r="D166" t="s">
        <v>1503</v>
      </c>
      <c r="E166" t="s">
        <v>2004</v>
      </c>
      <c r="F166" t="s">
        <v>1247</v>
      </c>
      <c r="G166" t="s">
        <v>3780</v>
      </c>
      <c r="H166" t="s">
        <v>4526</v>
      </c>
      <c r="I166" t="s">
        <v>3022</v>
      </c>
      <c r="J166" t="s">
        <v>4020</v>
      </c>
      <c r="K166" t="s">
        <v>2268</v>
      </c>
      <c r="L166" t="s">
        <v>2776</v>
      </c>
      <c r="M166" t="s">
        <v>5015</v>
      </c>
      <c r="N166" t="s">
        <v>4282</v>
      </c>
      <c r="O166" t="s">
        <v>3282</v>
      </c>
      <c r="P166" t="s">
        <v>1763</v>
      </c>
      <c r="Q166" t="s">
        <v>2531</v>
      </c>
      <c r="R166" t="s">
        <v>4769</v>
      </c>
    </row>
    <row r="167" spans="1:18" x14ac:dyDescent="0.2">
      <c r="B167">
        <v>167</v>
      </c>
      <c r="C167" t="s">
        <v>3538</v>
      </c>
      <c r="D167" t="s">
        <v>1504</v>
      </c>
      <c r="E167" t="s">
        <v>2005</v>
      </c>
      <c r="F167" t="s">
        <v>1248</v>
      </c>
      <c r="G167" t="s">
        <v>3781</v>
      </c>
      <c r="H167" t="s">
        <v>4527</v>
      </c>
      <c r="I167" t="s">
        <v>3023</v>
      </c>
      <c r="J167" t="s">
        <v>4021</v>
      </c>
      <c r="K167" t="s">
        <v>2269</v>
      </c>
      <c r="L167" t="s">
        <v>2777</v>
      </c>
      <c r="M167" t="s">
        <v>5016</v>
      </c>
      <c r="N167" t="s">
        <v>4283</v>
      </c>
      <c r="O167" t="s">
        <v>3283</v>
      </c>
      <c r="P167" t="s">
        <v>1764</v>
      </c>
      <c r="Q167" t="s">
        <v>2501</v>
      </c>
      <c r="R167" t="s">
        <v>4770</v>
      </c>
    </row>
    <row r="168" spans="1:18" x14ac:dyDescent="0.2">
      <c r="A168" t="s">
        <v>954</v>
      </c>
      <c r="B168">
        <v>168</v>
      </c>
      <c r="C168" t="s">
        <v>3539</v>
      </c>
      <c r="D168" t="s">
        <v>1505</v>
      </c>
      <c r="E168" t="s">
        <v>2006</v>
      </c>
      <c r="F168" t="s">
        <v>1249</v>
      </c>
      <c r="G168" t="s">
        <v>3782</v>
      </c>
      <c r="H168" t="s">
        <v>4528</v>
      </c>
      <c r="I168" t="s">
        <v>3024</v>
      </c>
      <c r="J168" t="s">
        <v>4022</v>
      </c>
      <c r="K168" t="s">
        <v>2270</v>
      </c>
      <c r="L168" t="s">
        <v>2778</v>
      </c>
      <c r="M168" t="s">
        <v>5017</v>
      </c>
      <c r="N168" t="s">
        <v>4284</v>
      </c>
      <c r="O168" t="s">
        <v>3284</v>
      </c>
      <c r="P168" t="s">
        <v>1765</v>
      </c>
      <c r="Q168" t="s">
        <v>2532</v>
      </c>
      <c r="R168" t="s">
        <v>4771</v>
      </c>
    </row>
    <row r="169" spans="1:18" x14ac:dyDescent="0.2">
      <c r="B169">
        <v>169</v>
      </c>
      <c r="C169" t="s">
        <v>2944</v>
      </c>
      <c r="D169" t="s">
        <v>947</v>
      </c>
      <c r="E169" t="s">
        <v>1926</v>
      </c>
      <c r="F169" t="s">
        <v>947</v>
      </c>
      <c r="G169" t="s">
        <v>3697</v>
      </c>
      <c r="H169" t="s">
        <v>2180</v>
      </c>
      <c r="I169" t="s">
        <v>2944</v>
      </c>
      <c r="J169" t="s">
        <v>3930</v>
      </c>
      <c r="K169" t="s">
        <v>2180</v>
      </c>
      <c r="L169" t="s">
        <v>2692</v>
      </c>
      <c r="M169" t="s">
        <v>2944</v>
      </c>
      <c r="N169" t="s">
        <v>4194</v>
      </c>
      <c r="O169" t="s">
        <v>3187</v>
      </c>
      <c r="P169" t="s">
        <v>1766</v>
      </c>
      <c r="Q169" t="s">
        <v>2445</v>
      </c>
      <c r="R169" t="s">
        <v>4695</v>
      </c>
    </row>
    <row r="170" spans="1:18" x14ac:dyDescent="0.2">
      <c r="B170">
        <v>170</v>
      </c>
      <c r="C170" t="s">
        <v>3496</v>
      </c>
      <c r="D170" t="s">
        <v>1458</v>
      </c>
      <c r="E170" t="s">
        <v>1966</v>
      </c>
      <c r="F170" t="s">
        <v>1250</v>
      </c>
      <c r="G170" t="s">
        <v>3740</v>
      </c>
      <c r="H170" t="s">
        <v>4490</v>
      </c>
      <c r="I170" t="s">
        <v>3025</v>
      </c>
      <c r="J170" t="s">
        <v>3977</v>
      </c>
      <c r="K170" t="s">
        <v>2223</v>
      </c>
      <c r="L170" t="s">
        <v>2735</v>
      </c>
      <c r="M170" t="s">
        <v>4975</v>
      </c>
      <c r="N170" t="s">
        <v>4237</v>
      </c>
      <c r="O170" t="s">
        <v>3285</v>
      </c>
      <c r="P170" t="s">
        <v>1717</v>
      </c>
      <c r="Q170" t="s">
        <v>2446</v>
      </c>
      <c r="R170" t="s">
        <v>4734</v>
      </c>
    </row>
    <row r="171" spans="1:18" x14ac:dyDescent="0.2">
      <c r="B171">
        <v>171</v>
      </c>
      <c r="C171" t="s">
        <v>3540</v>
      </c>
      <c r="D171" t="s">
        <v>1506</v>
      </c>
      <c r="E171" t="s">
        <v>2007</v>
      </c>
      <c r="F171" t="s">
        <v>1251</v>
      </c>
      <c r="G171" t="s">
        <v>3783</v>
      </c>
      <c r="H171" t="s">
        <v>4529</v>
      </c>
      <c r="I171" t="s">
        <v>3026</v>
      </c>
      <c r="J171" t="s">
        <v>4023</v>
      </c>
      <c r="K171" t="s">
        <v>2271</v>
      </c>
      <c r="L171" t="s">
        <v>2779</v>
      </c>
      <c r="M171" t="s">
        <v>5018</v>
      </c>
      <c r="N171" t="s">
        <v>4285</v>
      </c>
      <c r="O171" t="s">
        <v>3286</v>
      </c>
      <c r="P171" t="s">
        <v>1767</v>
      </c>
      <c r="Q171" t="s">
        <v>2533</v>
      </c>
      <c r="R171" t="s">
        <v>4772</v>
      </c>
    </row>
    <row r="172" spans="1:18" x14ac:dyDescent="0.2">
      <c r="B172">
        <v>172</v>
      </c>
      <c r="C172" t="s">
        <v>3541</v>
      </c>
      <c r="D172" t="s">
        <v>1507</v>
      </c>
      <c r="E172" t="s">
        <v>2008</v>
      </c>
      <c r="F172" t="s">
        <v>1252</v>
      </c>
      <c r="G172" t="s">
        <v>3784</v>
      </c>
      <c r="H172" t="s">
        <v>4530</v>
      </c>
      <c r="I172" t="s">
        <v>3027</v>
      </c>
      <c r="J172" t="s">
        <v>4024</v>
      </c>
      <c r="K172" t="s">
        <v>2008</v>
      </c>
      <c r="L172" t="s">
        <v>2780</v>
      </c>
      <c r="M172" t="s">
        <v>5019</v>
      </c>
      <c r="N172" t="s">
        <v>4286</v>
      </c>
      <c r="O172" t="s">
        <v>3287</v>
      </c>
      <c r="P172" t="s">
        <v>1768</v>
      </c>
      <c r="Q172" t="s">
        <v>2534</v>
      </c>
      <c r="R172" t="s">
        <v>4773</v>
      </c>
    </row>
    <row r="173" spans="1:18" x14ac:dyDescent="0.2">
      <c r="B173">
        <v>173</v>
      </c>
      <c r="C173" t="s">
        <v>3542</v>
      </c>
      <c r="D173" t="s">
        <v>1508</v>
      </c>
      <c r="E173" t="s">
        <v>2009</v>
      </c>
      <c r="F173" t="s">
        <v>1253</v>
      </c>
      <c r="G173" t="s">
        <v>3785</v>
      </c>
      <c r="H173" t="s">
        <v>4531</v>
      </c>
      <c r="I173" t="s">
        <v>1508</v>
      </c>
      <c r="J173" t="s">
        <v>4025</v>
      </c>
      <c r="K173" t="s">
        <v>2009</v>
      </c>
      <c r="L173" t="s">
        <v>2781</v>
      </c>
      <c r="M173" t="s">
        <v>5020</v>
      </c>
      <c r="N173" t="s">
        <v>4287</v>
      </c>
      <c r="O173" t="s">
        <v>3288</v>
      </c>
      <c r="P173" t="s">
        <v>1769</v>
      </c>
      <c r="Q173" t="s">
        <v>2535</v>
      </c>
      <c r="R173" t="s">
        <v>4774</v>
      </c>
    </row>
    <row r="174" spans="1:18" x14ac:dyDescent="0.2">
      <c r="B174">
        <v>174</v>
      </c>
      <c r="C174" t="s">
        <v>3543</v>
      </c>
      <c r="D174" t="s">
        <v>1509</v>
      </c>
      <c r="E174" t="s">
        <v>2010</v>
      </c>
      <c r="F174" t="s">
        <v>1254</v>
      </c>
      <c r="G174" t="s">
        <v>3786</v>
      </c>
      <c r="H174" t="s">
        <v>4532</v>
      </c>
      <c r="I174" t="s">
        <v>3028</v>
      </c>
      <c r="J174" t="s">
        <v>4026</v>
      </c>
      <c r="K174" t="s">
        <v>2272</v>
      </c>
      <c r="L174" t="s">
        <v>2782</v>
      </c>
      <c r="M174" t="s">
        <v>5021</v>
      </c>
      <c r="N174" t="s">
        <v>4288</v>
      </c>
      <c r="O174" t="s">
        <v>3289</v>
      </c>
      <c r="P174" t="s">
        <v>1770</v>
      </c>
      <c r="Q174" t="s">
        <v>2536</v>
      </c>
      <c r="R174" t="s">
        <v>4775</v>
      </c>
    </row>
    <row r="175" spans="1:18" x14ac:dyDescent="0.2">
      <c r="B175">
        <v>175</v>
      </c>
      <c r="C175" t="s">
        <v>3544</v>
      </c>
      <c r="D175" t="s">
        <v>1510</v>
      </c>
      <c r="E175" t="s">
        <v>2011</v>
      </c>
      <c r="F175" t="s">
        <v>1255</v>
      </c>
      <c r="G175" t="s">
        <v>3787</v>
      </c>
      <c r="H175" t="s">
        <v>4533</v>
      </c>
      <c r="I175" t="s">
        <v>1510</v>
      </c>
      <c r="J175" t="s">
        <v>4027</v>
      </c>
      <c r="K175" t="s">
        <v>2273</v>
      </c>
      <c r="L175" t="s">
        <v>2783</v>
      </c>
      <c r="M175" t="s">
        <v>1510</v>
      </c>
      <c r="N175" t="s">
        <v>4289</v>
      </c>
      <c r="O175" t="s">
        <v>3290</v>
      </c>
      <c r="P175" t="s">
        <v>1771</v>
      </c>
      <c r="Q175" t="s">
        <v>2537</v>
      </c>
      <c r="R175" t="s">
        <v>4776</v>
      </c>
    </row>
    <row r="176" spans="1:18" x14ac:dyDescent="0.2">
      <c r="B176">
        <v>176</v>
      </c>
      <c r="C176" t="s">
        <v>3545</v>
      </c>
      <c r="D176" t="s">
        <v>1511</v>
      </c>
      <c r="E176" t="s">
        <v>2012</v>
      </c>
      <c r="F176" t="s">
        <v>1256</v>
      </c>
      <c r="G176" t="s">
        <v>3788</v>
      </c>
      <c r="H176" t="s">
        <v>4534</v>
      </c>
      <c r="I176" t="s">
        <v>3029</v>
      </c>
      <c r="J176" t="s">
        <v>4028</v>
      </c>
      <c r="K176" t="s">
        <v>2274</v>
      </c>
      <c r="L176" t="s">
        <v>2784</v>
      </c>
      <c r="M176" t="s">
        <v>5022</v>
      </c>
      <c r="N176" t="s">
        <v>4290</v>
      </c>
      <c r="O176" t="s">
        <v>3291</v>
      </c>
      <c r="P176" t="s">
        <v>1772</v>
      </c>
      <c r="Q176" t="s">
        <v>2538</v>
      </c>
      <c r="R176" t="s">
        <v>4777</v>
      </c>
    </row>
    <row r="177" spans="1:18" x14ac:dyDescent="0.2">
      <c r="B177">
        <v>177</v>
      </c>
      <c r="C177" t="s">
        <v>3546</v>
      </c>
      <c r="D177" t="s">
        <v>1512</v>
      </c>
      <c r="E177" t="s">
        <v>972</v>
      </c>
      <c r="F177" t="s">
        <v>972</v>
      </c>
      <c r="G177" t="s">
        <v>3789</v>
      </c>
      <c r="H177" t="s">
        <v>4535</v>
      </c>
      <c r="I177" t="s">
        <v>972</v>
      </c>
      <c r="J177" t="s">
        <v>972</v>
      </c>
      <c r="K177" t="s">
        <v>972</v>
      </c>
      <c r="L177" t="s">
        <v>972</v>
      </c>
      <c r="M177" t="s">
        <v>972</v>
      </c>
      <c r="N177" t="s">
        <v>4291</v>
      </c>
      <c r="O177" t="s">
        <v>3292</v>
      </c>
      <c r="P177" t="s">
        <v>972</v>
      </c>
      <c r="Q177" t="s">
        <v>2539</v>
      </c>
      <c r="R177" t="s">
        <v>972</v>
      </c>
    </row>
    <row r="178" spans="1:18" x14ac:dyDescent="0.2">
      <c r="B178">
        <v>178</v>
      </c>
      <c r="C178" t="s">
        <v>3547</v>
      </c>
      <c r="D178" t="s">
        <v>1513</v>
      </c>
      <c r="E178" t="s">
        <v>2013</v>
      </c>
      <c r="F178" t="s">
        <v>1257</v>
      </c>
      <c r="G178" t="s">
        <v>3790</v>
      </c>
      <c r="H178" t="s">
        <v>4536</v>
      </c>
      <c r="I178" t="s">
        <v>3030</v>
      </c>
      <c r="J178" t="s">
        <v>4029</v>
      </c>
      <c r="K178" t="s">
        <v>2275</v>
      </c>
      <c r="L178" t="s">
        <v>2785</v>
      </c>
      <c r="M178" t="s">
        <v>5023</v>
      </c>
      <c r="N178" t="s">
        <v>4292</v>
      </c>
      <c r="O178" t="s">
        <v>3293</v>
      </c>
      <c r="P178" t="s">
        <v>1773</v>
      </c>
      <c r="Q178" t="s">
        <v>2540</v>
      </c>
      <c r="R178" t="s">
        <v>4778</v>
      </c>
    </row>
    <row r="179" spans="1:18" x14ac:dyDescent="0.2">
      <c r="B179">
        <v>179</v>
      </c>
      <c r="C179" t="s">
        <v>3548</v>
      </c>
      <c r="D179" t="s">
        <v>1514</v>
      </c>
      <c r="E179" t="s">
        <v>2014</v>
      </c>
      <c r="F179" t="s">
        <v>1258</v>
      </c>
      <c r="G179" t="s">
        <v>3791</v>
      </c>
      <c r="H179" t="s">
        <v>4537</v>
      </c>
      <c r="I179" t="s">
        <v>3031</v>
      </c>
      <c r="J179" t="s">
        <v>4030</v>
      </c>
      <c r="K179" t="s">
        <v>2276</v>
      </c>
      <c r="L179" t="s">
        <v>2782</v>
      </c>
      <c r="M179" t="s">
        <v>5021</v>
      </c>
      <c r="N179" t="s">
        <v>4293</v>
      </c>
      <c r="O179" t="s">
        <v>3294</v>
      </c>
      <c r="P179" t="s">
        <v>1774</v>
      </c>
      <c r="Q179" t="s">
        <v>2541</v>
      </c>
      <c r="R179" t="s">
        <v>4779</v>
      </c>
    </row>
    <row r="180" spans="1:18" x14ac:dyDescent="0.2">
      <c r="B180">
        <v>180</v>
      </c>
      <c r="C180" t="s">
        <v>3549</v>
      </c>
      <c r="D180" t="s">
        <v>1515</v>
      </c>
      <c r="E180" t="s">
        <v>2015</v>
      </c>
      <c r="F180" t="s">
        <v>1259</v>
      </c>
      <c r="G180" t="s">
        <v>3792</v>
      </c>
      <c r="H180" t="s">
        <v>4538</v>
      </c>
      <c r="I180" t="s">
        <v>3032</v>
      </c>
      <c r="J180" t="s">
        <v>4031</v>
      </c>
      <c r="K180" t="s">
        <v>2277</v>
      </c>
      <c r="L180" t="s">
        <v>2786</v>
      </c>
      <c r="M180" t="s">
        <v>5024</v>
      </c>
      <c r="N180" t="s">
        <v>4294</v>
      </c>
      <c r="O180" t="s">
        <v>3295</v>
      </c>
      <c r="P180" t="s">
        <v>1775</v>
      </c>
      <c r="Q180" t="s">
        <v>2542</v>
      </c>
      <c r="R180" t="s">
        <v>4780</v>
      </c>
    </row>
    <row r="181" spans="1:18" x14ac:dyDescent="0.2">
      <c r="B181">
        <v>181</v>
      </c>
      <c r="C181" t="s">
        <v>3550</v>
      </c>
      <c r="D181" t="s">
        <v>1516</v>
      </c>
      <c r="E181" t="s">
        <v>2016</v>
      </c>
      <c r="F181" t="s">
        <v>1260</v>
      </c>
      <c r="G181" t="s">
        <v>3793</v>
      </c>
      <c r="H181" t="s">
        <v>4539</v>
      </c>
      <c r="I181" t="s">
        <v>3033</v>
      </c>
      <c r="J181" t="s">
        <v>4032</v>
      </c>
      <c r="K181" t="s">
        <v>2278</v>
      </c>
      <c r="L181" t="s">
        <v>2787</v>
      </c>
      <c r="M181" t="s">
        <v>5025</v>
      </c>
      <c r="N181" t="s">
        <v>4295</v>
      </c>
      <c r="O181" t="s">
        <v>3296</v>
      </c>
      <c r="P181" t="s">
        <v>1776</v>
      </c>
      <c r="Q181" t="s">
        <v>2543</v>
      </c>
      <c r="R181" t="s">
        <v>4781</v>
      </c>
    </row>
    <row r="182" spans="1:18" x14ac:dyDescent="0.2">
      <c r="B182">
        <v>182</v>
      </c>
      <c r="C182" t="s">
        <v>3551</v>
      </c>
      <c r="D182" t="s">
        <v>1422</v>
      </c>
      <c r="E182" t="s">
        <v>1930</v>
      </c>
      <c r="F182" t="s">
        <v>1165</v>
      </c>
      <c r="G182" t="s">
        <v>3706</v>
      </c>
      <c r="H182" t="s">
        <v>4453</v>
      </c>
      <c r="I182" t="s">
        <v>3034</v>
      </c>
      <c r="J182" t="s">
        <v>3940</v>
      </c>
      <c r="K182" t="s">
        <v>1930</v>
      </c>
      <c r="L182" t="s">
        <v>2700</v>
      </c>
      <c r="M182" t="s">
        <v>4939</v>
      </c>
      <c r="N182" t="s">
        <v>4198</v>
      </c>
      <c r="O182" t="s">
        <v>3249</v>
      </c>
      <c r="P182" t="s">
        <v>1679</v>
      </c>
      <c r="Q182" t="s">
        <v>2449</v>
      </c>
      <c r="R182" t="s">
        <v>4747</v>
      </c>
    </row>
    <row r="183" spans="1:18" x14ac:dyDescent="0.2">
      <c r="B183">
        <v>183</v>
      </c>
      <c r="C183" t="s">
        <v>3547</v>
      </c>
      <c r="D183" t="s">
        <v>1513</v>
      </c>
      <c r="E183" t="s">
        <v>2013</v>
      </c>
      <c r="F183" t="s">
        <v>1257</v>
      </c>
      <c r="G183" t="s">
        <v>3790</v>
      </c>
      <c r="H183" t="s">
        <v>4536</v>
      </c>
      <c r="I183" t="s">
        <v>3035</v>
      </c>
      <c r="J183" t="s">
        <v>4029</v>
      </c>
      <c r="K183" t="s">
        <v>2279</v>
      </c>
      <c r="L183" t="s">
        <v>2788</v>
      </c>
      <c r="M183" t="s">
        <v>5023</v>
      </c>
      <c r="N183" t="s">
        <v>4292</v>
      </c>
      <c r="O183" t="s">
        <v>3297</v>
      </c>
      <c r="P183" t="s">
        <v>1773</v>
      </c>
      <c r="Q183" t="s">
        <v>2540</v>
      </c>
      <c r="R183" t="s">
        <v>4778</v>
      </c>
    </row>
    <row r="184" spans="1:18" x14ac:dyDescent="0.2">
      <c r="A184" t="s">
        <v>955</v>
      </c>
      <c r="B184">
        <v>184</v>
      </c>
      <c r="C184" t="s">
        <v>3552</v>
      </c>
      <c r="D184" t="s">
        <v>1400</v>
      </c>
      <c r="E184" t="s">
        <v>1903</v>
      </c>
      <c r="F184" t="s">
        <v>1261</v>
      </c>
      <c r="G184" t="s">
        <v>3679</v>
      </c>
      <c r="H184" t="s">
        <v>4427</v>
      </c>
      <c r="I184" t="s">
        <v>2920</v>
      </c>
      <c r="J184" t="s">
        <v>3969</v>
      </c>
      <c r="K184" t="s">
        <v>2280</v>
      </c>
      <c r="L184" t="s">
        <v>2674</v>
      </c>
      <c r="M184" t="s">
        <v>5026</v>
      </c>
      <c r="N184" t="s">
        <v>4296</v>
      </c>
      <c r="O184" t="s">
        <v>3169</v>
      </c>
      <c r="P184" t="s">
        <v>1651</v>
      </c>
      <c r="Q184" t="s">
        <v>2421</v>
      </c>
      <c r="R184" t="s">
        <v>4782</v>
      </c>
    </row>
    <row r="185" spans="1:18" x14ac:dyDescent="0.2">
      <c r="B185">
        <v>185</v>
      </c>
      <c r="C185" t="s">
        <v>3417</v>
      </c>
      <c r="D185" t="s">
        <v>1517</v>
      </c>
      <c r="E185" t="s">
        <v>2017</v>
      </c>
      <c r="F185" t="s">
        <v>1195</v>
      </c>
      <c r="G185" t="s">
        <v>3733</v>
      </c>
      <c r="H185" t="s">
        <v>4483</v>
      </c>
      <c r="I185" t="s">
        <v>2900</v>
      </c>
      <c r="J185" t="s">
        <v>3970</v>
      </c>
      <c r="K185" t="s">
        <v>2281</v>
      </c>
      <c r="L185" t="s">
        <v>2728</v>
      </c>
      <c r="M185" t="s">
        <v>5027</v>
      </c>
      <c r="N185" t="s">
        <v>4297</v>
      </c>
      <c r="O185" t="s">
        <v>3298</v>
      </c>
      <c r="P185" t="s">
        <v>1777</v>
      </c>
      <c r="Q185" t="s">
        <v>2544</v>
      </c>
      <c r="R185" t="s">
        <v>4729</v>
      </c>
    </row>
    <row r="186" spans="1:18" x14ac:dyDescent="0.2">
      <c r="B186">
        <v>186</v>
      </c>
      <c r="C186" t="s">
        <v>3553</v>
      </c>
      <c r="D186" t="s">
        <v>1518</v>
      </c>
      <c r="E186" t="s">
        <v>2018</v>
      </c>
      <c r="F186" t="s">
        <v>1262</v>
      </c>
      <c r="G186" t="s">
        <v>3794</v>
      </c>
      <c r="H186" t="s">
        <v>4540</v>
      </c>
      <c r="I186" t="s">
        <v>3036</v>
      </c>
      <c r="J186" t="s">
        <v>4033</v>
      </c>
      <c r="K186" t="s">
        <v>2282</v>
      </c>
      <c r="L186" t="s">
        <v>2789</v>
      </c>
      <c r="M186" t="s">
        <v>5028</v>
      </c>
      <c r="N186" t="s">
        <v>4298</v>
      </c>
      <c r="O186" t="s">
        <v>3299</v>
      </c>
      <c r="P186" t="s">
        <v>1778</v>
      </c>
      <c r="Q186" t="s">
        <v>2545</v>
      </c>
      <c r="R186" t="s">
        <v>4783</v>
      </c>
    </row>
    <row r="187" spans="1:18" x14ac:dyDescent="0.2">
      <c r="B187">
        <v>187</v>
      </c>
      <c r="C187" t="s">
        <v>3413</v>
      </c>
      <c r="D187" t="s">
        <v>1453</v>
      </c>
      <c r="E187" t="s">
        <v>1961</v>
      </c>
      <c r="F187" t="s">
        <v>1118</v>
      </c>
      <c r="G187" t="s">
        <v>3795</v>
      </c>
      <c r="H187" t="s">
        <v>4485</v>
      </c>
      <c r="I187" t="s">
        <v>3037</v>
      </c>
      <c r="J187" t="s">
        <v>3972</v>
      </c>
      <c r="K187" t="s">
        <v>2218</v>
      </c>
      <c r="L187" t="s">
        <v>2730</v>
      </c>
      <c r="M187" t="s">
        <v>4970</v>
      </c>
      <c r="N187" t="s">
        <v>4232</v>
      </c>
      <c r="O187" t="s">
        <v>3300</v>
      </c>
      <c r="P187" t="s">
        <v>1712</v>
      </c>
      <c r="Q187" t="s">
        <v>2483</v>
      </c>
      <c r="R187" t="s">
        <v>4651</v>
      </c>
    </row>
    <row r="188" spans="1:18" x14ac:dyDescent="0.2">
      <c r="B188">
        <v>188</v>
      </c>
      <c r="C188" t="s">
        <v>3554</v>
      </c>
      <c r="D188" t="s">
        <v>1455</v>
      </c>
      <c r="E188" t="s">
        <v>1963</v>
      </c>
      <c r="F188" t="s">
        <v>1263</v>
      </c>
      <c r="G188" t="s">
        <v>3796</v>
      </c>
      <c r="H188" t="s">
        <v>4541</v>
      </c>
      <c r="I188" t="s">
        <v>3038</v>
      </c>
      <c r="J188" t="s">
        <v>3974</v>
      </c>
      <c r="K188" t="s">
        <v>2283</v>
      </c>
      <c r="L188" t="s">
        <v>2732</v>
      </c>
      <c r="M188" t="s">
        <v>5029</v>
      </c>
      <c r="N188" t="s">
        <v>4234</v>
      </c>
      <c r="O188" t="s">
        <v>3301</v>
      </c>
      <c r="P188" t="s">
        <v>1779</v>
      </c>
      <c r="Q188" t="s">
        <v>2485</v>
      </c>
      <c r="R188" t="s">
        <v>4731</v>
      </c>
    </row>
    <row r="189" spans="1:18" x14ac:dyDescent="0.2">
      <c r="B189">
        <v>189</v>
      </c>
      <c r="C189" t="s">
        <v>3555</v>
      </c>
      <c r="D189" t="s">
        <v>1519</v>
      </c>
      <c r="E189" t="s">
        <v>2019</v>
      </c>
      <c r="F189" t="s">
        <v>1264</v>
      </c>
      <c r="G189" t="s">
        <v>3738</v>
      </c>
      <c r="H189" t="s">
        <v>4542</v>
      </c>
      <c r="I189" t="s">
        <v>2979</v>
      </c>
      <c r="J189" t="s">
        <v>4034</v>
      </c>
      <c r="K189" t="s">
        <v>2284</v>
      </c>
      <c r="L189" t="s">
        <v>2733</v>
      </c>
      <c r="M189" t="s">
        <v>5030</v>
      </c>
      <c r="N189" t="s">
        <v>4235</v>
      </c>
      <c r="O189" t="s">
        <v>3231</v>
      </c>
      <c r="P189" t="s">
        <v>1780</v>
      </c>
      <c r="Q189" t="s">
        <v>2486</v>
      </c>
      <c r="R189" t="s">
        <v>4732</v>
      </c>
    </row>
    <row r="190" spans="1:18" x14ac:dyDescent="0.2">
      <c r="B190">
        <v>190</v>
      </c>
      <c r="C190" t="s">
        <v>3416</v>
      </c>
      <c r="D190" t="s">
        <v>1520</v>
      </c>
      <c r="E190" t="s">
        <v>1883</v>
      </c>
      <c r="F190" t="s">
        <v>1121</v>
      </c>
      <c r="G190" t="s">
        <v>3659</v>
      </c>
      <c r="H190" t="s">
        <v>4408</v>
      </c>
      <c r="I190" t="s">
        <v>2900</v>
      </c>
      <c r="J190" t="s">
        <v>3892</v>
      </c>
      <c r="K190" t="s">
        <v>2143</v>
      </c>
      <c r="L190" t="s">
        <v>2654</v>
      </c>
      <c r="M190" t="s">
        <v>5031</v>
      </c>
      <c r="N190" t="s">
        <v>4150</v>
      </c>
      <c r="O190" t="s">
        <v>3149</v>
      </c>
      <c r="P190" t="s">
        <v>1781</v>
      </c>
      <c r="Q190" t="s">
        <v>2401</v>
      </c>
      <c r="R190" t="s">
        <v>4654</v>
      </c>
    </row>
    <row r="191" spans="1:18" x14ac:dyDescent="0.2">
      <c r="B191">
        <v>191</v>
      </c>
      <c r="C191" t="s">
        <v>3482</v>
      </c>
      <c r="D191" t="s">
        <v>1521</v>
      </c>
      <c r="E191" t="s">
        <v>2020</v>
      </c>
      <c r="F191" t="s">
        <v>1123</v>
      </c>
      <c r="G191" t="s">
        <v>3797</v>
      </c>
      <c r="H191" t="s">
        <v>4484</v>
      </c>
      <c r="I191" t="s">
        <v>3039</v>
      </c>
      <c r="J191" t="s">
        <v>4035</v>
      </c>
      <c r="K191" t="s">
        <v>2285</v>
      </c>
      <c r="L191" t="s">
        <v>2790</v>
      </c>
      <c r="M191" t="s">
        <v>4958</v>
      </c>
      <c r="N191" t="s">
        <v>4299</v>
      </c>
      <c r="O191" t="s">
        <v>3219</v>
      </c>
      <c r="P191" t="s">
        <v>1702</v>
      </c>
      <c r="Q191" t="s">
        <v>2546</v>
      </c>
      <c r="R191" t="s">
        <v>4719</v>
      </c>
    </row>
    <row r="192" spans="1:18" x14ac:dyDescent="0.2">
      <c r="B192">
        <v>192</v>
      </c>
      <c r="C192" t="s">
        <v>3556</v>
      </c>
      <c r="D192" t="s">
        <v>1440</v>
      </c>
      <c r="E192" t="s">
        <v>2021</v>
      </c>
      <c r="F192" t="s">
        <v>1265</v>
      </c>
      <c r="G192" t="s">
        <v>3723</v>
      </c>
      <c r="H192" t="s">
        <v>4472</v>
      </c>
      <c r="I192" t="s">
        <v>3040</v>
      </c>
      <c r="J192" t="s">
        <v>4036</v>
      </c>
      <c r="K192" t="s">
        <v>2206</v>
      </c>
      <c r="L192" t="s">
        <v>2718</v>
      </c>
      <c r="M192" t="s">
        <v>4956</v>
      </c>
      <c r="N192" t="s">
        <v>4219</v>
      </c>
      <c r="O192" t="s">
        <v>3217</v>
      </c>
      <c r="P192" t="s">
        <v>1700</v>
      </c>
      <c r="Q192" t="s">
        <v>2470</v>
      </c>
      <c r="R192" t="s">
        <v>4784</v>
      </c>
    </row>
    <row r="193" spans="2:18" x14ac:dyDescent="0.2">
      <c r="B193">
        <v>193</v>
      </c>
      <c r="H193" t="s">
        <v>4398</v>
      </c>
    </row>
    <row r="194" spans="2:18" x14ac:dyDescent="0.2">
      <c r="B194">
        <v>194</v>
      </c>
      <c r="C194" t="s">
        <v>3534</v>
      </c>
      <c r="D194" t="s">
        <v>1500</v>
      </c>
      <c r="E194" t="s">
        <v>2001</v>
      </c>
      <c r="F194" t="s">
        <v>1244</v>
      </c>
      <c r="G194" t="s">
        <v>3777</v>
      </c>
      <c r="H194" t="s">
        <v>4543</v>
      </c>
      <c r="I194" t="s">
        <v>3041</v>
      </c>
      <c r="J194" t="s">
        <v>4017</v>
      </c>
      <c r="K194" t="s">
        <v>2265</v>
      </c>
      <c r="L194" t="s">
        <v>2773</v>
      </c>
      <c r="M194" t="s">
        <v>5012</v>
      </c>
      <c r="N194" t="s">
        <v>4279</v>
      </c>
      <c r="O194" t="s">
        <v>3279</v>
      </c>
      <c r="P194" t="s">
        <v>1760</v>
      </c>
      <c r="Q194" t="s">
        <v>2529</v>
      </c>
      <c r="R194" t="s">
        <v>4767</v>
      </c>
    </row>
    <row r="195" spans="2:18" x14ac:dyDescent="0.2">
      <c r="B195">
        <v>195</v>
      </c>
      <c r="C195" t="s">
        <v>3557</v>
      </c>
      <c r="D195" t="s">
        <v>1458</v>
      </c>
      <c r="E195" t="s">
        <v>2022</v>
      </c>
      <c r="F195" t="s">
        <v>1250</v>
      </c>
      <c r="G195" t="s">
        <v>3740</v>
      </c>
      <c r="H195" t="s">
        <v>4490</v>
      </c>
      <c r="I195" t="s">
        <v>3025</v>
      </c>
      <c r="J195" t="s">
        <v>3977</v>
      </c>
      <c r="K195" t="s">
        <v>2223</v>
      </c>
      <c r="L195" t="s">
        <v>2735</v>
      </c>
      <c r="M195" t="s">
        <v>4975</v>
      </c>
      <c r="N195" t="s">
        <v>4237</v>
      </c>
      <c r="O195" t="s">
        <v>3285</v>
      </c>
      <c r="P195" t="s">
        <v>1717</v>
      </c>
      <c r="Q195" t="s">
        <v>2446</v>
      </c>
      <c r="R195" t="s">
        <v>4734</v>
      </c>
    </row>
    <row r="196" spans="2:18" x14ac:dyDescent="0.2">
      <c r="B196">
        <v>196</v>
      </c>
      <c r="C196" t="s">
        <v>3558</v>
      </c>
      <c r="D196" t="s">
        <v>1522</v>
      </c>
      <c r="E196" t="s">
        <v>2023</v>
      </c>
      <c r="F196" t="s">
        <v>1266</v>
      </c>
      <c r="G196" t="s">
        <v>3798</v>
      </c>
      <c r="H196" t="s">
        <v>4544</v>
      </c>
      <c r="I196" t="s">
        <v>3042</v>
      </c>
      <c r="J196" t="s">
        <v>4037</v>
      </c>
      <c r="K196" t="s">
        <v>2286</v>
      </c>
      <c r="L196" t="s">
        <v>2791</v>
      </c>
      <c r="M196" t="s">
        <v>5032</v>
      </c>
      <c r="N196" t="s">
        <v>4300</v>
      </c>
      <c r="O196" t="s">
        <v>3302</v>
      </c>
      <c r="P196" t="s">
        <v>1782</v>
      </c>
      <c r="Q196" t="s">
        <v>2547</v>
      </c>
      <c r="R196" t="s">
        <v>4785</v>
      </c>
    </row>
    <row r="197" spans="2:18" x14ac:dyDescent="0.2">
      <c r="B197">
        <v>197</v>
      </c>
      <c r="C197" t="s">
        <v>3559</v>
      </c>
      <c r="D197" t="s">
        <v>1523</v>
      </c>
      <c r="E197" t="s">
        <v>2024</v>
      </c>
      <c r="F197" t="s">
        <v>1267</v>
      </c>
      <c r="G197" t="s">
        <v>3799</v>
      </c>
      <c r="H197" t="s">
        <v>4482</v>
      </c>
      <c r="I197" t="s">
        <v>3043</v>
      </c>
      <c r="J197" t="s">
        <v>4038</v>
      </c>
      <c r="K197" t="s">
        <v>2287</v>
      </c>
      <c r="L197" t="s">
        <v>2792</v>
      </c>
      <c r="M197" t="s">
        <v>5033</v>
      </c>
      <c r="N197" t="s">
        <v>4375</v>
      </c>
      <c r="O197" t="s">
        <v>3303</v>
      </c>
      <c r="P197" t="s">
        <v>1783</v>
      </c>
      <c r="Q197" t="s">
        <v>2548</v>
      </c>
      <c r="R197" t="s">
        <v>4786</v>
      </c>
    </row>
    <row r="198" spans="2:18" x14ac:dyDescent="0.2">
      <c r="B198">
        <v>198</v>
      </c>
      <c r="C198" t="s">
        <v>3560</v>
      </c>
      <c r="D198" t="s">
        <v>1524</v>
      </c>
      <c r="E198" t="s">
        <v>2025</v>
      </c>
      <c r="F198" t="s">
        <v>1268</v>
      </c>
      <c r="G198" t="s">
        <v>3800</v>
      </c>
      <c r="H198" t="s">
        <v>4545</v>
      </c>
      <c r="I198" t="s">
        <v>3044</v>
      </c>
      <c r="J198" t="s">
        <v>4039</v>
      </c>
      <c r="K198" t="s">
        <v>2288</v>
      </c>
      <c r="L198" t="s">
        <v>2793</v>
      </c>
      <c r="M198" t="s">
        <v>5034</v>
      </c>
      <c r="N198" t="s">
        <v>4301</v>
      </c>
      <c r="O198" t="s">
        <v>3304</v>
      </c>
      <c r="P198" t="s">
        <v>1784</v>
      </c>
      <c r="Q198" t="s">
        <v>2549</v>
      </c>
      <c r="R198" t="s">
        <v>4787</v>
      </c>
    </row>
    <row r="199" spans="2:18" x14ac:dyDescent="0.2">
      <c r="B199">
        <v>199</v>
      </c>
      <c r="C199" t="s">
        <v>3561</v>
      </c>
      <c r="D199" t="s">
        <v>1525</v>
      </c>
      <c r="E199" t="s">
        <v>2026</v>
      </c>
      <c r="F199" t="s">
        <v>1269</v>
      </c>
      <c r="G199" t="s">
        <v>3801</v>
      </c>
      <c r="H199" t="s">
        <v>4546</v>
      </c>
      <c r="I199" t="s">
        <v>3045</v>
      </c>
      <c r="J199" t="s">
        <v>4040</v>
      </c>
      <c r="K199" t="s">
        <v>2289</v>
      </c>
      <c r="L199" t="s">
        <v>2794</v>
      </c>
      <c r="M199" t="s">
        <v>5035</v>
      </c>
      <c r="N199" t="s">
        <v>4302</v>
      </c>
      <c r="O199" t="s">
        <v>3305</v>
      </c>
      <c r="P199" t="s">
        <v>1785</v>
      </c>
      <c r="Q199" t="s">
        <v>2550</v>
      </c>
      <c r="R199" t="s">
        <v>4788</v>
      </c>
    </row>
    <row r="200" spans="2:18" x14ac:dyDescent="0.2">
      <c r="B200">
        <v>200</v>
      </c>
      <c r="C200" t="s">
        <v>3562</v>
      </c>
      <c r="D200" t="s">
        <v>1526</v>
      </c>
      <c r="E200" t="s">
        <v>2027</v>
      </c>
      <c r="F200" t="s">
        <v>1270</v>
      </c>
      <c r="G200" t="s">
        <v>1577</v>
      </c>
      <c r="H200" t="s">
        <v>4547</v>
      </c>
      <c r="I200" t="s">
        <v>3046</v>
      </c>
      <c r="J200" t="s">
        <v>4041</v>
      </c>
      <c r="K200" t="s">
        <v>2290</v>
      </c>
      <c r="L200" t="s">
        <v>2795</v>
      </c>
      <c r="M200" t="s">
        <v>5036</v>
      </c>
      <c r="N200" t="s">
        <v>4303</v>
      </c>
      <c r="O200" t="s">
        <v>3306</v>
      </c>
      <c r="P200" t="s">
        <v>1786</v>
      </c>
      <c r="Q200" t="s">
        <v>2551</v>
      </c>
      <c r="R200" t="s">
        <v>4789</v>
      </c>
    </row>
    <row r="201" spans="2:18" x14ac:dyDescent="0.2">
      <c r="B201">
        <v>201</v>
      </c>
      <c r="C201" t="s">
        <v>3563</v>
      </c>
      <c r="D201" t="s">
        <v>1527</v>
      </c>
      <c r="E201" t="s">
        <v>2028</v>
      </c>
      <c r="F201" t="s">
        <v>1271</v>
      </c>
      <c r="G201" t="s">
        <v>3802</v>
      </c>
      <c r="H201" t="s">
        <v>4548</v>
      </c>
      <c r="I201" t="s">
        <v>3047</v>
      </c>
      <c r="J201" t="s">
        <v>4042</v>
      </c>
      <c r="K201" t="s">
        <v>2291</v>
      </c>
      <c r="L201" t="s">
        <v>2796</v>
      </c>
      <c r="M201" t="s">
        <v>5037</v>
      </c>
      <c r="N201" t="s">
        <v>4304</v>
      </c>
      <c r="O201" t="s">
        <v>3307</v>
      </c>
      <c r="P201" t="s">
        <v>1787</v>
      </c>
      <c r="Q201" t="s">
        <v>2552</v>
      </c>
      <c r="R201" t="s">
        <v>4790</v>
      </c>
    </row>
    <row r="202" spans="2:18" x14ac:dyDescent="0.2">
      <c r="B202">
        <v>202</v>
      </c>
      <c r="C202" t="s">
        <v>3564</v>
      </c>
      <c r="D202" t="s">
        <v>1528</v>
      </c>
      <c r="E202" t="s">
        <v>2029</v>
      </c>
      <c r="F202" t="s">
        <v>1272</v>
      </c>
      <c r="G202" t="s">
        <v>3803</v>
      </c>
      <c r="H202" t="s">
        <v>4549</v>
      </c>
      <c r="I202" t="s">
        <v>3048</v>
      </c>
      <c r="J202" t="s">
        <v>4043</v>
      </c>
      <c r="K202" t="s">
        <v>2292</v>
      </c>
      <c r="L202" t="s">
        <v>2797</v>
      </c>
      <c r="M202" t="s">
        <v>5038</v>
      </c>
      <c r="N202" t="s">
        <v>4305</v>
      </c>
      <c r="O202" t="s">
        <v>3308</v>
      </c>
      <c r="P202" t="s">
        <v>1788</v>
      </c>
      <c r="Q202" t="s">
        <v>2553</v>
      </c>
      <c r="R202" t="s">
        <v>4791</v>
      </c>
    </row>
    <row r="203" spans="2:18" x14ac:dyDescent="0.2">
      <c r="B203">
        <v>203</v>
      </c>
      <c r="C203" t="s">
        <v>3565</v>
      </c>
      <c r="D203" t="s">
        <v>1529</v>
      </c>
      <c r="E203" t="s">
        <v>2030</v>
      </c>
      <c r="F203" t="s">
        <v>1273</v>
      </c>
      <c r="G203" t="s">
        <v>3804</v>
      </c>
      <c r="H203" t="s">
        <v>4550</v>
      </c>
      <c r="I203" t="s">
        <v>524</v>
      </c>
      <c r="J203" t="s">
        <v>4044</v>
      </c>
      <c r="K203" t="s">
        <v>2293</v>
      </c>
      <c r="L203" t="s">
        <v>2668</v>
      </c>
      <c r="M203" t="s">
        <v>5039</v>
      </c>
      <c r="N203" t="s">
        <v>4306</v>
      </c>
      <c r="O203" t="s">
        <v>3309</v>
      </c>
      <c r="P203" t="s">
        <v>1789</v>
      </c>
      <c r="Q203" t="s">
        <v>2554</v>
      </c>
      <c r="R203" t="s">
        <v>4792</v>
      </c>
    </row>
    <row r="204" spans="2:18" x14ac:dyDescent="0.2">
      <c r="B204">
        <v>204</v>
      </c>
      <c r="C204" t="s">
        <v>3566</v>
      </c>
      <c r="D204" t="s">
        <v>1530</v>
      </c>
      <c r="E204" t="s">
        <v>2031</v>
      </c>
      <c r="F204" t="s">
        <v>1274</v>
      </c>
      <c r="G204" t="s">
        <v>3805</v>
      </c>
      <c r="H204" t="s">
        <v>4551</v>
      </c>
      <c r="I204" t="s">
        <v>3049</v>
      </c>
      <c r="J204" t="s">
        <v>4045</v>
      </c>
      <c r="K204" t="s">
        <v>2294</v>
      </c>
      <c r="L204" t="s">
        <v>2798</v>
      </c>
      <c r="M204" t="s">
        <v>5040</v>
      </c>
      <c r="N204" t="s">
        <v>4307</v>
      </c>
      <c r="O204" t="s">
        <v>3310</v>
      </c>
      <c r="P204" t="s">
        <v>1530</v>
      </c>
      <c r="Q204" t="s">
        <v>2555</v>
      </c>
      <c r="R204" t="s">
        <v>4793</v>
      </c>
    </row>
    <row r="205" spans="2:18" x14ac:dyDescent="0.2">
      <c r="B205">
        <v>205</v>
      </c>
      <c r="C205" t="s">
        <v>3524</v>
      </c>
      <c r="D205" t="s">
        <v>1531</v>
      </c>
      <c r="E205" t="s">
        <v>1989</v>
      </c>
      <c r="F205" t="s">
        <v>1275</v>
      </c>
      <c r="G205" t="s">
        <v>3806</v>
      </c>
      <c r="H205" t="s">
        <v>4510</v>
      </c>
      <c r="I205" t="s">
        <v>3050</v>
      </c>
      <c r="J205" t="s">
        <v>4006</v>
      </c>
      <c r="K205" t="s">
        <v>1989</v>
      </c>
      <c r="L205" t="s">
        <v>2762</v>
      </c>
      <c r="M205" t="s">
        <v>5041</v>
      </c>
      <c r="N205" t="s">
        <v>4264</v>
      </c>
      <c r="O205" t="s">
        <v>3263</v>
      </c>
      <c r="P205" t="s">
        <v>1744</v>
      </c>
      <c r="Q205" t="s">
        <v>2556</v>
      </c>
      <c r="R205" t="s">
        <v>2556</v>
      </c>
    </row>
    <row r="206" spans="2:18" x14ac:dyDescent="0.2">
      <c r="B206">
        <v>206</v>
      </c>
      <c r="C206" t="s">
        <v>3567</v>
      </c>
      <c r="D206" t="s">
        <v>1532</v>
      </c>
      <c r="E206" t="s">
        <v>2032</v>
      </c>
      <c r="F206" t="s">
        <v>1276</v>
      </c>
      <c r="G206" t="s">
        <v>3807</v>
      </c>
      <c r="H206" t="s">
        <v>4552</v>
      </c>
      <c r="I206" t="s">
        <v>3051</v>
      </c>
      <c r="J206" t="s">
        <v>4046</v>
      </c>
      <c r="K206" t="s">
        <v>2295</v>
      </c>
      <c r="L206" t="s">
        <v>2799</v>
      </c>
      <c r="M206" t="s">
        <v>5042</v>
      </c>
      <c r="N206" t="s">
        <v>4308</v>
      </c>
      <c r="O206" t="s">
        <v>3311</v>
      </c>
      <c r="P206" t="s">
        <v>1790</v>
      </c>
      <c r="Q206" t="s">
        <v>2557</v>
      </c>
      <c r="R206" t="s">
        <v>4794</v>
      </c>
    </row>
    <row r="207" spans="2:18" x14ac:dyDescent="0.2">
      <c r="B207">
        <v>207</v>
      </c>
      <c r="C207" t="s">
        <v>3568</v>
      </c>
      <c r="D207" t="s">
        <v>1533</v>
      </c>
      <c r="E207" t="s">
        <v>2033</v>
      </c>
      <c r="F207" t="s">
        <v>1277</v>
      </c>
      <c r="G207" t="s">
        <v>3808</v>
      </c>
      <c r="H207" t="s">
        <v>4553</v>
      </c>
      <c r="I207" t="s">
        <v>3052</v>
      </c>
      <c r="J207" t="s">
        <v>4047</v>
      </c>
      <c r="K207" t="s">
        <v>2101</v>
      </c>
      <c r="L207" t="s">
        <v>2800</v>
      </c>
      <c r="M207" t="s">
        <v>5043</v>
      </c>
      <c r="N207" t="s">
        <v>4309</v>
      </c>
      <c r="O207" t="s">
        <v>3312</v>
      </c>
      <c r="P207" t="s">
        <v>1791</v>
      </c>
      <c r="Q207" t="s">
        <v>2558</v>
      </c>
      <c r="R207" t="s">
        <v>4795</v>
      </c>
    </row>
    <row r="208" spans="2:18" x14ac:dyDescent="0.2">
      <c r="B208">
        <v>208</v>
      </c>
      <c r="C208" t="s">
        <v>3419</v>
      </c>
      <c r="D208" t="s">
        <v>1534</v>
      </c>
      <c r="E208" t="s">
        <v>1</v>
      </c>
      <c r="F208" t="s">
        <v>1170</v>
      </c>
      <c r="G208" t="s">
        <v>3809</v>
      </c>
      <c r="H208" t="s">
        <v>4554</v>
      </c>
      <c r="I208" t="s">
        <v>3053</v>
      </c>
      <c r="J208" t="s">
        <v>4048</v>
      </c>
      <c r="K208" t="s">
        <v>2296</v>
      </c>
      <c r="L208" t="s">
        <v>2801</v>
      </c>
      <c r="M208" t="s">
        <v>5044</v>
      </c>
      <c r="N208" t="s">
        <v>4310</v>
      </c>
      <c r="O208" t="s">
        <v>3313</v>
      </c>
      <c r="P208" t="s">
        <v>1792</v>
      </c>
      <c r="Q208" t="s">
        <v>2559</v>
      </c>
      <c r="R208" t="s">
        <v>4796</v>
      </c>
    </row>
    <row r="209" spans="1:18" x14ac:dyDescent="0.2">
      <c r="B209">
        <v>209</v>
      </c>
      <c r="C209" t="s">
        <v>3569</v>
      </c>
      <c r="D209" t="s">
        <v>956</v>
      </c>
      <c r="E209" t="s">
        <v>2034</v>
      </c>
      <c r="F209" t="s">
        <v>951</v>
      </c>
      <c r="G209" t="s">
        <v>956</v>
      </c>
      <c r="H209" t="s">
        <v>956</v>
      </c>
      <c r="I209" t="s">
        <v>2954</v>
      </c>
      <c r="J209" t="s">
        <v>3948</v>
      </c>
      <c r="K209" t="s">
        <v>2195</v>
      </c>
      <c r="L209" t="s">
        <v>2707</v>
      </c>
      <c r="M209" t="s">
        <v>951</v>
      </c>
      <c r="N209" t="s">
        <v>4206</v>
      </c>
      <c r="O209" t="s">
        <v>3204</v>
      </c>
      <c r="P209" t="s">
        <v>1687</v>
      </c>
      <c r="Q209" t="s">
        <v>2457</v>
      </c>
      <c r="R209" t="s">
        <v>4797</v>
      </c>
    </row>
    <row r="210" spans="1:18" x14ac:dyDescent="0.2">
      <c r="B210">
        <v>210</v>
      </c>
      <c r="C210" t="s">
        <v>3570</v>
      </c>
      <c r="D210" t="s">
        <v>1535</v>
      </c>
      <c r="E210" t="s">
        <v>2013</v>
      </c>
      <c r="F210" t="s">
        <v>1257</v>
      </c>
      <c r="G210" t="s">
        <v>3810</v>
      </c>
      <c r="H210" t="s">
        <v>4536</v>
      </c>
      <c r="I210" t="s">
        <v>3054</v>
      </c>
      <c r="J210" t="s">
        <v>4029</v>
      </c>
      <c r="K210" t="s">
        <v>2297</v>
      </c>
      <c r="L210" t="s">
        <v>2802</v>
      </c>
      <c r="M210" t="s">
        <v>5023</v>
      </c>
      <c r="N210" t="s">
        <v>4292</v>
      </c>
      <c r="O210" t="s">
        <v>3293</v>
      </c>
      <c r="P210" t="s">
        <v>1773</v>
      </c>
      <c r="Q210" t="s">
        <v>2540</v>
      </c>
      <c r="R210" t="s">
        <v>4778</v>
      </c>
    </row>
    <row r="211" spans="1:18" x14ac:dyDescent="0.2">
      <c r="B211">
        <v>211</v>
      </c>
      <c r="C211" t="s">
        <v>3571</v>
      </c>
      <c r="D211" t="s">
        <v>1536</v>
      </c>
      <c r="E211" t="s">
        <v>2035</v>
      </c>
      <c r="F211" t="s">
        <v>1278</v>
      </c>
      <c r="G211" t="s">
        <v>3811</v>
      </c>
      <c r="H211" t="s">
        <v>4555</v>
      </c>
      <c r="I211" t="s">
        <v>3055</v>
      </c>
      <c r="J211" t="s">
        <v>4049</v>
      </c>
      <c r="K211" t="s">
        <v>2298</v>
      </c>
      <c r="L211" t="s">
        <v>2803</v>
      </c>
      <c r="M211" t="s">
        <v>5045</v>
      </c>
      <c r="N211" t="s">
        <v>4311</v>
      </c>
      <c r="O211" t="s">
        <v>3314</v>
      </c>
      <c r="P211" t="s">
        <v>1793</v>
      </c>
      <c r="Q211" t="s">
        <v>2560</v>
      </c>
      <c r="R211" t="s">
        <v>4798</v>
      </c>
    </row>
    <row r="212" spans="1:18" x14ac:dyDescent="0.2">
      <c r="B212">
        <v>212</v>
      </c>
      <c r="C212" t="s">
        <v>3572</v>
      </c>
      <c r="D212" t="s">
        <v>1537</v>
      </c>
      <c r="E212" t="s">
        <v>2036</v>
      </c>
      <c r="F212" t="s">
        <v>1279</v>
      </c>
      <c r="G212" t="s">
        <v>3812</v>
      </c>
      <c r="H212" t="s">
        <v>4556</v>
      </c>
      <c r="I212" t="s">
        <v>2947</v>
      </c>
      <c r="J212" t="s">
        <v>4050</v>
      </c>
      <c r="K212" t="s">
        <v>2299</v>
      </c>
      <c r="L212" t="s">
        <v>2804</v>
      </c>
      <c r="M212" t="s">
        <v>5046</v>
      </c>
      <c r="N212" t="s">
        <v>4312</v>
      </c>
      <c r="O212" t="s">
        <v>3315</v>
      </c>
      <c r="P212" t="s">
        <v>1794</v>
      </c>
      <c r="Q212" t="s">
        <v>2561</v>
      </c>
      <c r="R212" t="s">
        <v>4799</v>
      </c>
    </row>
    <row r="213" spans="1:18" x14ac:dyDescent="0.2">
      <c r="B213">
        <v>213</v>
      </c>
      <c r="C213" t="s">
        <v>3462</v>
      </c>
      <c r="D213" t="s">
        <v>1422</v>
      </c>
      <c r="E213" t="s">
        <v>1930</v>
      </c>
      <c r="F213" t="s">
        <v>1165</v>
      </c>
      <c r="G213" t="s">
        <v>3706</v>
      </c>
      <c r="H213" t="s">
        <v>4453</v>
      </c>
      <c r="I213" t="s">
        <v>2948</v>
      </c>
      <c r="J213" t="s">
        <v>3940</v>
      </c>
      <c r="K213" t="s">
        <v>1930</v>
      </c>
      <c r="L213" t="s">
        <v>2700</v>
      </c>
      <c r="M213" t="s">
        <v>4939</v>
      </c>
      <c r="N213" t="s">
        <v>4198</v>
      </c>
      <c r="O213" t="s">
        <v>3316</v>
      </c>
      <c r="P213" t="s">
        <v>1679</v>
      </c>
      <c r="Q213" t="s">
        <v>2562</v>
      </c>
      <c r="R213" t="s">
        <v>4747</v>
      </c>
    </row>
    <row r="214" spans="1:18" x14ac:dyDescent="0.2">
      <c r="B214">
        <v>214</v>
      </c>
      <c r="C214" t="s">
        <v>3516</v>
      </c>
      <c r="D214" t="s">
        <v>949</v>
      </c>
      <c r="E214" t="s">
        <v>1931</v>
      </c>
      <c r="F214" t="s">
        <v>1280</v>
      </c>
      <c r="G214" t="s">
        <v>2761</v>
      </c>
      <c r="H214" t="s">
        <v>949</v>
      </c>
      <c r="I214" t="s">
        <v>949</v>
      </c>
      <c r="J214" t="s">
        <v>4051</v>
      </c>
      <c r="K214" t="s">
        <v>1931</v>
      </c>
      <c r="L214" t="s">
        <v>2761</v>
      </c>
      <c r="M214" t="s">
        <v>5047</v>
      </c>
      <c r="N214" t="s">
        <v>4313</v>
      </c>
      <c r="O214" t="s">
        <v>3254</v>
      </c>
      <c r="P214" t="s">
        <v>1680</v>
      </c>
      <c r="Q214" t="s">
        <v>2507</v>
      </c>
      <c r="R214" t="s">
        <v>4700</v>
      </c>
    </row>
    <row r="215" spans="1:18" x14ac:dyDescent="0.2">
      <c r="A215" t="s">
        <v>957</v>
      </c>
      <c r="B215">
        <v>215</v>
      </c>
      <c r="C215" t="s">
        <v>3436</v>
      </c>
      <c r="D215" t="s">
        <v>1401</v>
      </c>
      <c r="E215" t="s">
        <v>1904</v>
      </c>
      <c r="F215" t="s">
        <v>1281</v>
      </c>
      <c r="G215" t="s">
        <v>3680</v>
      </c>
      <c r="H215" t="s">
        <v>4428</v>
      </c>
      <c r="I215" t="s">
        <v>2921</v>
      </c>
      <c r="J215" t="s">
        <v>4052</v>
      </c>
      <c r="K215" t="s">
        <v>2163</v>
      </c>
      <c r="L215" t="s">
        <v>2675</v>
      </c>
      <c r="M215" t="s">
        <v>5048</v>
      </c>
      <c r="N215" t="s">
        <v>4171</v>
      </c>
      <c r="O215" t="s">
        <v>3317</v>
      </c>
      <c r="P215" t="s">
        <v>1652</v>
      </c>
      <c r="Q215" t="s">
        <v>2563</v>
      </c>
      <c r="R215" t="s">
        <v>4675</v>
      </c>
    </row>
    <row r="216" spans="1:18" x14ac:dyDescent="0.2">
      <c r="B216">
        <v>216</v>
      </c>
      <c r="C216" t="s">
        <v>3573</v>
      </c>
      <c r="D216" t="s">
        <v>1538</v>
      </c>
      <c r="E216" t="s">
        <v>2037</v>
      </c>
      <c r="F216" t="s">
        <v>1217</v>
      </c>
      <c r="G216" t="s">
        <v>3813</v>
      </c>
      <c r="H216" t="s">
        <v>2300</v>
      </c>
      <c r="I216" t="s">
        <v>3056</v>
      </c>
      <c r="J216" t="s">
        <v>3970</v>
      </c>
      <c r="K216" t="s">
        <v>2300</v>
      </c>
      <c r="L216" t="s">
        <v>2805</v>
      </c>
      <c r="M216" t="s">
        <v>5049</v>
      </c>
      <c r="N216" t="s">
        <v>4314</v>
      </c>
      <c r="O216" t="s">
        <v>3318</v>
      </c>
      <c r="P216" t="s">
        <v>1795</v>
      </c>
      <c r="Q216" t="s">
        <v>2544</v>
      </c>
      <c r="R216" t="s">
        <v>4800</v>
      </c>
    </row>
    <row r="217" spans="1:18" x14ac:dyDescent="0.2">
      <c r="B217">
        <v>217</v>
      </c>
      <c r="C217" t="s">
        <v>3482</v>
      </c>
      <c r="D217" t="s">
        <v>1539</v>
      </c>
      <c r="E217" t="s">
        <v>2038</v>
      </c>
      <c r="F217" t="s">
        <v>1282</v>
      </c>
      <c r="G217" t="s">
        <v>3734</v>
      </c>
      <c r="H217" t="s">
        <v>4557</v>
      </c>
      <c r="I217" t="s">
        <v>3057</v>
      </c>
      <c r="J217" t="s">
        <v>3971</v>
      </c>
      <c r="K217" t="s">
        <v>2208</v>
      </c>
      <c r="L217" t="s">
        <v>2729</v>
      </c>
      <c r="M217" t="s">
        <v>4958</v>
      </c>
      <c r="N217" t="s">
        <v>4315</v>
      </c>
      <c r="O217" t="s">
        <v>3319</v>
      </c>
      <c r="P217" t="s">
        <v>1711</v>
      </c>
      <c r="Q217" t="s">
        <v>2482</v>
      </c>
      <c r="R217" t="s">
        <v>4719</v>
      </c>
    </row>
    <row r="218" spans="1:18" x14ac:dyDescent="0.2">
      <c r="B218">
        <v>218</v>
      </c>
      <c r="C218" t="s">
        <v>3554</v>
      </c>
      <c r="D218" t="s">
        <v>1540</v>
      </c>
      <c r="E218" t="s">
        <v>2039</v>
      </c>
      <c r="F218" t="s">
        <v>1198</v>
      </c>
      <c r="G218" t="s">
        <v>3737</v>
      </c>
      <c r="H218" t="s">
        <v>4558</v>
      </c>
      <c r="I218" t="s">
        <v>3038</v>
      </c>
      <c r="J218" t="s">
        <v>3974</v>
      </c>
      <c r="K218" t="s">
        <v>2301</v>
      </c>
      <c r="L218" t="s">
        <v>2732</v>
      </c>
      <c r="M218" t="s">
        <v>5050</v>
      </c>
      <c r="N218" t="s">
        <v>4316</v>
      </c>
      <c r="O218" t="s">
        <v>3320</v>
      </c>
      <c r="P218" t="s">
        <v>1779</v>
      </c>
      <c r="Q218" t="s">
        <v>2564</v>
      </c>
      <c r="R218" t="s">
        <v>4731</v>
      </c>
    </row>
    <row r="219" spans="1:18" x14ac:dyDescent="0.2">
      <c r="B219">
        <v>219</v>
      </c>
      <c r="C219" t="s">
        <v>3413</v>
      </c>
      <c r="D219" t="s">
        <v>1453</v>
      </c>
      <c r="E219" t="s">
        <v>2040</v>
      </c>
      <c r="F219" t="s">
        <v>1283</v>
      </c>
      <c r="G219" t="s">
        <v>3735</v>
      </c>
      <c r="H219" t="s">
        <v>4485</v>
      </c>
      <c r="I219" t="s">
        <v>3037</v>
      </c>
      <c r="J219" t="s">
        <v>3972</v>
      </c>
      <c r="K219" t="s">
        <v>2218</v>
      </c>
      <c r="L219" t="s">
        <v>2730</v>
      </c>
      <c r="M219" t="s">
        <v>4891</v>
      </c>
      <c r="N219" t="s">
        <v>4232</v>
      </c>
      <c r="O219" t="s">
        <v>3321</v>
      </c>
      <c r="P219" t="s">
        <v>1712</v>
      </c>
      <c r="Q219" t="s">
        <v>2483</v>
      </c>
      <c r="R219" t="s">
        <v>4651</v>
      </c>
    </row>
    <row r="220" spans="1:18" x14ac:dyDescent="0.2">
      <c r="B220">
        <v>220</v>
      </c>
      <c r="C220" t="s">
        <v>3574</v>
      </c>
      <c r="D220" t="s">
        <v>1454</v>
      </c>
      <c r="E220" t="s">
        <v>2041</v>
      </c>
      <c r="F220" t="s">
        <v>1284</v>
      </c>
      <c r="G220" t="s">
        <v>3736</v>
      </c>
      <c r="H220" t="s">
        <v>4559</v>
      </c>
      <c r="I220" t="s">
        <v>2977</v>
      </c>
      <c r="J220" t="s">
        <v>4053</v>
      </c>
      <c r="K220" t="s">
        <v>2302</v>
      </c>
      <c r="L220" t="s">
        <v>2806</v>
      </c>
      <c r="M220" t="s">
        <v>5051</v>
      </c>
      <c r="N220" t="s">
        <v>4317</v>
      </c>
      <c r="O220" t="s">
        <v>3322</v>
      </c>
      <c r="P220" t="s">
        <v>1713</v>
      </c>
      <c r="Q220" t="s">
        <v>2565</v>
      </c>
      <c r="R220" t="s">
        <v>4730</v>
      </c>
    </row>
    <row r="221" spans="1:18" x14ac:dyDescent="0.2">
      <c r="B221">
        <v>221</v>
      </c>
      <c r="C221" t="s">
        <v>3575</v>
      </c>
      <c r="D221" t="s">
        <v>1541</v>
      </c>
      <c r="E221" t="s">
        <v>2042</v>
      </c>
      <c r="F221" t="s">
        <v>1285</v>
      </c>
      <c r="G221" t="s">
        <v>3814</v>
      </c>
      <c r="H221" t="s">
        <v>4560</v>
      </c>
      <c r="I221" t="s">
        <v>3058</v>
      </c>
      <c r="J221" t="s">
        <v>4054</v>
      </c>
      <c r="K221" t="s">
        <v>2303</v>
      </c>
      <c r="L221" t="s">
        <v>2807</v>
      </c>
      <c r="M221" t="s">
        <v>5031</v>
      </c>
      <c r="N221" t="s">
        <v>4318</v>
      </c>
      <c r="O221" t="s">
        <v>3323</v>
      </c>
      <c r="P221" t="s">
        <v>1781</v>
      </c>
      <c r="Q221" t="s">
        <v>2566</v>
      </c>
      <c r="R221" t="s">
        <v>4801</v>
      </c>
    </row>
    <row r="222" spans="1:18" x14ac:dyDescent="0.2">
      <c r="B222">
        <v>222</v>
      </c>
      <c r="C222" t="s">
        <v>3576</v>
      </c>
      <c r="D222" t="s">
        <v>1542</v>
      </c>
      <c r="E222" t="s">
        <v>2043</v>
      </c>
      <c r="F222" t="s">
        <v>1286</v>
      </c>
      <c r="G222" t="s">
        <v>3815</v>
      </c>
      <c r="H222" t="s">
        <v>4561</v>
      </c>
      <c r="I222" t="s">
        <v>3059</v>
      </c>
      <c r="J222" t="s">
        <v>4055</v>
      </c>
      <c r="K222" t="s">
        <v>2304</v>
      </c>
      <c r="L222" t="s">
        <v>2808</v>
      </c>
      <c r="M222" t="s">
        <v>5052</v>
      </c>
      <c r="N222" t="s">
        <v>4319</v>
      </c>
      <c r="O222" t="s">
        <v>3324</v>
      </c>
      <c r="P222" t="s">
        <v>1796</v>
      </c>
      <c r="Q222" t="s">
        <v>2567</v>
      </c>
      <c r="R222" t="s">
        <v>4795</v>
      </c>
    </row>
    <row r="223" spans="1:18" x14ac:dyDescent="0.2">
      <c r="B223">
        <v>223</v>
      </c>
      <c r="C223" t="s">
        <v>3556</v>
      </c>
      <c r="D223" t="s">
        <v>1543</v>
      </c>
      <c r="E223" t="s">
        <v>2044</v>
      </c>
      <c r="F223" t="s">
        <v>1287</v>
      </c>
      <c r="G223" t="s">
        <v>3816</v>
      </c>
      <c r="H223" t="s">
        <v>4472</v>
      </c>
      <c r="I223" t="s">
        <v>3040</v>
      </c>
      <c r="J223" t="s">
        <v>4056</v>
      </c>
      <c r="K223" t="s">
        <v>2305</v>
      </c>
      <c r="L223" t="s">
        <v>2809</v>
      </c>
      <c r="M223" t="s">
        <v>5053</v>
      </c>
      <c r="N223" t="s">
        <v>4320</v>
      </c>
      <c r="O223" t="s">
        <v>3217</v>
      </c>
      <c r="P223" t="s">
        <v>1797</v>
      </c>
      <c r="Q223" t="s">
        <v>2568</v>
      </c>
      <c r="R223" t="s">
        <v>4784</v>
      </c>
    </row>
    <row r="224" spans="1:18" x14ac:dyDescent="0.2">
      <c r="B224">
        <v>224</v>
      </c>
      <c r="H224" t="s">
        <v>4398</v>
      </c>
    </row>
    <row r="225" spans="1:18" x14ac:dyDescent="0.2">
      <c r="B225">
        <v>225</v>
      </c>
      <c r="C225" t="s">
        <v>3459</v>
      </c>
      <c r="D225" t="s">
        <v>948</v>
      </c>
      <c r="E225" t="s">
        <v>1927</v>
      </c>
      <c r="F225" t="s">
        <v>948</v>
      </c>
      <c r="G225" t="s">
        <v>3703</v>
      </c>
      <c r="H225" t="s">
        <v>4518</v>
      </c>
      <c r="I225" t="s">
        <v>2945</v>
      </c>
      <c r="J225" t="s">
        <v>3937</v>
      </c>
      <c r="K225" t="s">
        <v>2186</v>
      </c>
      <c r="L225" t="s">
        <v>2697</v>
      </c>
      <c r="M225" t="s">
        <v>4936</v>
      </c>
      <c r="N225" t="s">
        <v>4195</v>
      </c>
      <c r="O225" t="s">
        <v>3193</v>
      </c>
      <c r="P225" t="s">
        <v>1717</v>
      </c>
      <c r="Q225" t="s">
        <v>2446</v>
      </c>
      <c r="R225" t="s">
        <v>4696</v>
      </c>
    </row>
    <row r="226" spans="1:18" x14ac:dyDescent="0.2">
      <c r="B226">
        <v>226</v>
      </c>
      <c r="C226" t="s">
        <v>3577</v>
      </c>
      <c r="D226" t="s">
        <v>1544</v>
      </c>
      <c r="E226" t="s">
        <v>2045</v>
      </c>
      <c r="F226" t="s">
        <v>1288</v>
      </c>
      <c r="G226" t="s">
        <v>3817</v>
      </c>
      <c r="H226" t="s">
        <v>4562</v>
      </c>
      <c r="I226" t="s">
        <v>3060</v>
      </c>
      <c r="J226" t="s">
        <v>4057</v>
      </c>
      <c r="K226" t="s">
        <v>2190</v>
      </c>
      <c r="L226" t="s">
        <v>2703</v>
      </c>
      <c r="M226" t="s">
        <v>5054</v>
      </c>
      <c r="N226" t="s">
        <v>4321</v>
      </c>
      <c r="O226" t="s">
        <v>3325</v>
      </c>
      <c r="P226" t="s">
        <v>1798</v>
      </c>
      <c r="Q226" t="s">
        <v>2569</v>
      </c>
      <c r="R226" t="s">
        <v>4802</v>
      </c>
    </row>
    <row r="227" spans="1:18" x14ac:dyDescent="0.2">
      <c r="B227">
        <v>227</v>
      </c>
      <c r="C227" t="s">
        <v>3578</v>
      </c>
      <c r="D227" t="s">
        <v>1545</v>
      </c>
      <c r="E227" t="s">
        <v>2046</v>
      </c>
      <c r="F227" t="s">
        <v>1289</v>
      </c>
      <c r="G227" t="s">
        <v>3818</v>
      </c>
      <c r="H227" t="s">
        <v>4563</v>
      </c>
      <c r="I227" t="s">
        <v>3061</v>
      </c>
      <c r="J227" t="s">
        <v>4038</v>
      </c>
      <c r="K227" t="s">
        <v>2306</v>
      </c>
      <c r="L227" t="s">
        <v>2810</v>
      </c>
      <c r="M227" t="s">
        <v>5055</v>
      </c>
      <c r="N227" t="s">
        <v>5212</v>
      </c>
      <c r="O227" t="s">
        <v>3303</v>
      </c>
      <c r="P227" t="s">
        <v>1799</v>
      </c>
      <c r="Q227" t="s">
        <v>2548</v>
      </c>
      <c r="R227" t="s">
        <v>4803</v>
      </c>
    </row>
    <row r="228" spans="1:18" x14ac:dyDescent="0.2">
      <c r="B228">
        <v>228</v>
      </c>
      <c r="C228" t="s">
        <v>956</v>
      </c>
      <c r="D228" t="s">
        <v>956</v>
      </c>
      <c r="E228" t="s">
        <v>2034</v>
      </c>
      <c r="F228" t="s">
        <v>951</v>
      </c>
      <c r="G228" t="s">
        <v>956</v>
      </c>
      <c r="H228" t="s">
        <v>951</v>
      </c>
      <c r="I228" t="s">
        <v>2954</v>
      </c>
      <c r="J228" t="s">
        <v>4058</v>
      </c>
      <c r="K228" t="s">
        <v>2307</v>
      </c>
      <c r="L228" t="s">
        <v>2707</v>
      </c>
      <c r="M228" t="s">
        <v>951</v>
      </c>
      <c r="N228" t="s">
        <v>4206</v>
      </c>
      <c r="O228" t="s">
        <v>3204</v>
      </c>
      <c r="P228" t="s">
        <v>1687</v>
      </c>
      <c r="Q228" t="s">
        <v>2457</v>
      </c>
      <c r="R228" t="s">
        <v>4797</v>
      </c>
    </row>
    <row r="229" spans="1:18" x14ac:dyDescent="0.2">
      <c r="B229">
        <v>229</v>
      </c>
      <c r="C229" t="s">
        <v>3579</v>
      </c>
      <c r="D229" t="s">
        <v>1546</v>
      </c>
      <c r="E229" t="s">
        <v>2047</v>
      </c>
      <c r="F229" t="s">
        <v>1290</v>
      </c>
      <c r="G229" t="s">
        <v>3819</v>
      </c>
      <c r="H229" t="s">
        <v>4564</v>
      </c>
      <c r="I229" t="s">
        <v>3062</v>
      </c>
      <c r="J229" t="s">
        <v>4039</v>
      </c>
      <c r="K229" t="s">
        <v>2308</v>
      </c>
      <c r="L229" t="s">
        <v>2793</v>
      </c>
      <c r="M229" t="s">
        <v>5056</v>
      </c>
      <c r="N229" t="s">
        <v>4322</v>
      </c>
      <c r="O229" t="s">
        <v>3326</v>
      </c>
      <c r="P229" t="s">
        <v>1784</v>
      </c>
      <c r="Q229" t="s">
        <v>2549</v>
      </c>
      <c r="R229" t="s">
        <v>4804</v>
      </c>
    </row>
    <row r="230" spans="1:18" x14ac:dyDescent="0.2">
      <c r="B230">
        <v>230</v>
      </c>
      <c r="C230" t="s">
        <v>3000</v>
      </c>
      <c r="D230" t="s">
        <v>1477</v>
      </c>
      <c r="E230" t="s">
        <v>2048</v>
      </c>
      <c r="F230" t="s">
        <v>1220</v>
      </c>
      <c r="G230" t="s">
        <v>3758</v>
      </c>
      <c r="H230" t="s">
        <v>4565</v>
      </c>
      <c r="I230" t="s">
        <v>3000</v>
      </c>
      <c r="J230" t="s">
        <v>4059</v>
      </c>
      <c r="K230" t="s">
        <v>2309</v>
      </c>
      <c r="L230" t="s">
        <v>2811</v>
      </c>
      <c r="M230" t="s">
        <v>5057</v>
      </c>
      <c r="N230" t="s">
        <v>4257</v>
      </c>
      <c r="O230" t="s">
        <v>3255</v>
      </c>
      <c r="P230" t="s">
        <v>1736</v>
      </c>
      <c r="Q230" t="s">
        <v>2570</v>
      </c>
      <c r="R230" t="s">
        <v>4751</v>
      </c>
    </row>
    <row r="231" spans="1:18" x14ac:dyDescent="0.2">
      <c r="B231">
        <v>231</v>
      </c>
      <c r="C231" t="s">
        <v>3580</v>
      </c>
      <c r="D231" t="s">
        <v>1547</v>
      </c>
      <c r="E231" t="s">
        <v>2049</v>
      </c>
      <c r="F231" t="s">
        <v>1291</v>
      </c>
      <c r="G231" t="s">
        <v>3820</v>
      </c>
      <c r="H231" t="s">
        <v>4566</v>
      </c>
      <c r="I231" t="s">
        <v>3063</v>
      </c>
      <c r="J231" t="s">
        <v>4060</v>
      </c>
      <c r="K231" t="s">
        <v>2310</v>
      </c>
      <c r="L231" t="s">
        <v>2812</v>
      </c>
      <c r="M231" t="s">
        <v>5058</v>
      </c>
      <c r="N231" t="s">
        <v>4323</v>
      </c>
      <c r="O231" t="s">
        <v>3327</v>
      </c>
      <c r="P231" t="s">
        <v>1800</v>
      </c>
      <c r="Q231" t="s">
        <v>2571</v>
      </c>
      <c r="R231" t="s">
        <v>4805</v>
      </c>
    </row>
    <row r="232" spans="1:18" x14ac:dyDescent="0.2">
      <c r="B232">
        <v>232</v>
      </c>
      <c r="C232" t="s">
        <v>3581</v>
      </c>
      <c r="D232" t="s">
        <v>1548</v>
      </c>
      <c r="E232" t="s">
        <v>2050</v>
      </c>
      <c r="F232" t="s">
        <v>1292</v>
      </c>
      <c r="G232" t="s">
        <v>3821</v>
      </c>
      <c r="H232" t="s">
        <v>4567</v>
      </c>
      <c r="I232" t="s">
        <v>3064</v>
      </c>
      <c r="J232" t="s">
        <v>4061</v>
      </c>
      <c r="K232" t="s">
        <v>2311</v>
      </c>
      <c r="L232" t="s">
        <v>2813</v>
      </c>
      <c r="M232" t="s">
        <v>5059</v>
      </c>
      <c r="N232" t="s">
        <v>4324</v>
      </c>
      <c r="O232" t="s">
        <v>3328</v>
      </c>
      <c r="P232" t="s">
        <v>1801</v>
      </c>
      <c r="Q232" t="s">
        <v>2572</v>
      </c>
      <c r="R232" t="s">
        <v>4806</v>
      </c>
    </row>
    <row r="233" spans="1:18" x14ac:dyDescent="0.2">
      <c r="B233">
        <v>233</v>
      </c>
      <c r="C233" t="s">
        <v>3582</v>
      </c>
      <c r="D233" t="s">
        <v>1549</v>
      </c>
      <c r="E233" t="s">
        <v>2051</v>
      </c>
      <c r="F233" t="s">
        <v>1293</v>
      </c>
      <c r="G233" t="s">
        <v>3822</v>
      </c>
      <c r="H233" t="s">
        <v>4568</v>
      </c>
      <c r="I233" t="s">
        <v>3065</v>
      </c>
      <c r="J233" t="s">
        <v>4062</v>
      </c>
      <c r="K233" t="s">
        <v>2312</v>
      </c>
      <c r="L233" t="s">
        <v>2814</v>
      </c>
      <c r="M233" t="s">
        <v>5060</v>
      </c>
      <c r="N233" t="s">
        <v>4325</v>
      </c>
      <c r="O233" t="s">
        <v>3329</v>
      </c>
      <c r="P233" t="s">
        <v>1802</v>
      </c>
      <c r="Q233" t="s">
        <v>2573</v>
      </c>
      <c r="R233" t="s">
        <v>4807</v>
      </c>
    </row>
    <row r="234" spans="1:18" x14ac:dyDescent="0.2">
      <c r="B234">
        <v>234</v>
      </c>
      <c r="C234" t="s">
        <v>3583</v>
      </c>
      <c r="D234" t="s">
        <v>1550</v>
      </c>
      <c r="E234" t="s">
        <v>2052</v>
      </c>
      <c r="F234" t="s">
        <v>1294</v>
      </c>
      <c r="G234" t="s">
        <v>3823</v>
      </c>
      <c r="H234" t="s">
        <v>4569</v>
      </c>
      <c r="I234" t="s">
        <v>3066</v>
      </c>
      <c r="J234" t="s">
        <v>4063</v>
      </c>
      <c r="K234" t="s">
        <v>2313</v>
      </c>
      <c r="L234" t="s">
        <v>2815</v>
      </c>
      <c r="M234" t="s">
        <v>5061</v>
      </c>
      <c r="N234" t="s">
        <v>4326</v>
      </c>
      <c r="O234" t="s">
        <v>3330</v>
      </c>
      <c r="P234" t="s">
        <v>1803</v>
      </c>
      <c r="Q234" t="s">
        <v>2574</v>
      </c>
      <c r="R234" t="s">
        <v>4808</v>
      </c>
    </row>
    <row r="235" spans="1:18" x14ac:dyDescent="0.2">
      <c r="A235" t="s">
        <v>958</v>
      </c>
      <c r="B235">
        <v>235</v>
      </c>
      <c r="C235" t="s">
        <v>3584</v>
      </c>
      <c r="D235" t="s">
        <v>1551</v>
      </c>
      <c r="E235" t="s">
        <v>2053</v>
      </c>
      <c r="F235" t="s">
        <v>1295</v>
      </c>
      <c r="G235" t="s">
        <v>3824</v>
      </c>
      <c r="H235" t="s">
        <v>4570</v>
      </c>
      <c r="I235" t="s">
        <v>3067</v>
      </c>
      <c r="J235" t="s">
        <v>4064</v>
      </c>
      <c r="K235" t="s">
        <v>2314</v>
      </c>
      <c r="L235" t="s">
        <v>2816</v>
      </c>
      <c r="M235" t="s">
        <v>5062</v>
      </c>
      <c r="N235" t="s">
        <v>4327</v>
      </c>
      <c r="O235" t="s">
        <v>3331</v>
      </c>
      <c r="P235" t="s">
        <v>1804</v>
      </c>
      <c r="Q235" t="s">
        <v>2575</v>
      </c>
      <c r="R235" t="s">
        <v>4652</v>
      </c>
    </row>
    <row r="236" spans="1:18" x14ac:dyDescent="0.2">
      <c r="B236">
        <v>236</v>
      </c>
      <c r="C236" t="s">
        <v>3585</v>
      </c>
      <c r="D236" t="s">
        <v>1552</v>
      </c>
      <c r="E236" t="s">
        <v>2054</v>
      </c>
      <c r="F236" t="s">
        <v>1296</v>
      </c>
      <c r="G236" t="s">
        <v>3068</v>
      </c>
      <c r="H236" t="s">
        <v>4571</v>
      </c>
      <c r="I236" t="s">
        <v>3068</v>
      </c>
      <c r="J236" t="s">
        <v>4065</v>
      </c>
      <c r="K236" t="s">
        <v>2315</v>
      </c>
      <c r="L236" t="s">
        <v>2817</v>
      </c>
      <c r="M236" t="s">
        <v>3585</v>
      </c>
      <c r="N236" t="s">
        <v>4328</v>
      </c>
      <c r="O236" t="s">
        <v>3332</v>
      </c>
      <c r="P236" t="s">
        <v>1805</v>
      </c>
      <c r="Q236" t="s">
        <v>2576</v>
      </c>
      <c r="R236" t="s">
        <v>4809</v>
      </c>
    </row>
    <row r="237" spans="1:18" x14ac:dyDescent="0.2">
      <c r="B237">
        <v>237</v>
      </c>
      <c r="C237" t="s">
        <v>3586</v>
      </c>
      <c r="D237" t="s">
        <v>1553</v>
      </c>
      <c r="E237" t="s">
        <v>2055</v>
      </c>
      <c r="F237" t="s">
        <v>1297</v>
      </c>
      <c r="G237" t="s">
        <v>3069</v>
      </c>
      <c r="H237" t="s">
        <v>4572</v>
      </c>
      <c r="I237" t="s">
        <v>3069</v>
      </c>
      <c r="J237" t="s">
        <v>4066</v>
      </c>
      <c r="K237" t="s">
        <v>2316</v>
      </c>
      <c r="L237" t="s">
        <v>2818</v>
      </c>
      <c r="M237" t="s">
        <v>3586</v>
      </c>
      <c r="N237" t="s">
        <v>4329</v>
      </c>
      <c r="O237" t="s">
        <v>3333</v>
      </c>
      <c r="P237" t="s">
        <v>1806</v>
      </c>
      <c r="Q237" t="s">
        <v>2577</v>
      </c>
      <c r="R237" t="s">
        <v>4810</v>
      </c>
    </row>
    <row r="238" spans="1:18" x14ac:dyDescent="0.2">
      <c r="B238">
        <v>238</v>
      </c>
      <c r="C238" t="s">
        <v>3587</v>
      </c>
      <c r="D238" t="s">
        <v>1554</v>
      </c>
      <c r="E238" t="s">
        <v>2056</v>
      </c>
      <c r="F238" t="s">
        <v>1298</v>
      </c>
      <c r="G238" t="s">
        <v>3825</v>
      </c>
      <c r="H238" t="s">
        <v>2056</v>
      </c>
      <c r="I238" t="s">
        <v>3070</v>
      </c>
      <c r="J238" t="s">
        <v>4067</v>
      </c>
      <c r="K238" t="s">
        <v>2317</v>
      </c>
      <c r="L238" t="s">
        <v>2819</v>
      </c>
      <c r="M238" t="s">
        <v>5063</v>
      </c>
      <c r="N238" t="s">
        <v>4330</v>
      </c>
      <c r="O238" t="s">
        <v>3334</v>
      </c>
      <c r="P238" t="s">
        <v>1807</v>
      </c>
      <c r="Q238" t="s">
        <v>2578</v>
      </c>
      <c r="R238" t="s">
        <v>4811</v>
      </c>
    </row>
    <row r="239" spans="1:18" x14ac:dyDescent="0.2">
      <c r="B239">
        <v>239</v>
      </c>
      <c r="C239" t="s">
        <v>1555</v>
      </c>
      <c r="D239" t="s">
        <v>1555</v>
      </c>
      <c r="E239" t="s">
        <v>2057</v>
      </c>
      <c r="F239" t="s">
        <v>1299</v>
      </c>
      <c r="G239" t="s">
        <v>1555</v>
      </c>
      <c r="H239" t="s">
        <v>4573</v>
      </c>
      <c r="I239" t="s">
        <v>1555</v>
      </c>
      <c r="J239" t="s">
        <v>4068</v>
      </c>
      <c r="K239" t="s">
        <v>2057</v>
      </c>
      <c r="L239" t="s">
        <v>2820</v>
      </c>
      <c r="M239" t="s">
        <v>1555</v>
      </c>
      <c r="N239" t="s">
        <v>4331</v>
      </c>
      <c r="O239" t="s">
        <v>3335</v>
      </c>
      <c r="P239" t="s">
        <v>1808</v>
      </c>
      <c r="Q239" t="s">
        <v>2579</v>
      </c>
      <c r="R239" t="s">
        <v>4812</v>
      </c>
    </row>
    <row r="240" spans="1:18" x14ac:dyDescent="0.2">
      <c r="B240">
        <v>240</v>
      </c>
      <c r="C240" t="s">
        <v>1300</v>
      </c>
      <c r="D240" t="s">
        <v>1556</v>
      </c>
      <c r="E240" t="s">
        <v>2058</v>
      </c>
      <c r="F240" t="s">
        <v>1300</v>
      </c>
      <c r="G240" t="s">
        <v>3071</v>
      </c>
      <c r="H240" t="s">
        <v>4574</v>
      </c>
      <c r="I240" t="s">
        <v>3071</v>
      </c>
      <c r="J240" t="s">
        <v>4069</v>
      </c>
      <c r="K240" t="s">
        <v>2318</v>
      </c>
      <c r="L240" t="s">
        <v>2821</v>
      </c>
      <c r="M240" t="s">
        <v>5064</v>
      </c>
      <c r="N240" t="s">
        <v>4332</v>
      </c>
      <c r="O240" t="s">
        <v>3336</v>
      </c>
      <c r="P240" t="s">
        <v>1809</v>
      </c>
      <c r="Q240" t="s">
        <v>2580</v>
      </c>
      <c r="R240" t="s">
        <v>4813</v>
      </c>
    </row>
    <row r="241" spans="2:18" x14ac:dyDescent="0.2">
      <c r="B241">
        <v>241</v>
      </c>
      <c r="C241" t="s">
        <v>3072</v>
      </c>
      <c r="D241" t="s">
        <v>1557</v>
      </c>
      <c r="E241" t="s">
        <v>2059</v>
      </c>
      <c r="F241" t="s">
        <v>1301</v>
      </c>
      <c r="G241" t="s">
        <v>3072</v>
      </c>
      <c r="H241" t="s">
        <v>4575</v>
      </c>
      <c r="I241" t="s">
        <v>3072</v>
      </c>
      <c r="J241" t="s">
        <v>4070</v>
      </c>
      <c r="K241" t="s">
        <v>2319</v>
      </c>
      <c r="L241" t="s">
        <v>2822</v>
      </c>
      <c r="M241" t="s">
        <v>5065</v>
      </c>
      <c r="N241" t="s">
        <v>4333</v>
      </c>
      <c r="O241" t="s">
        <v>3337</v>
      </c>
      <c r="P241" t="s">
        <v>1810</v>
      </c>
      <c r="Q241" t="s">
        <v>2581</v>
      </c>
      <c r="R241" t="s">
        <v>4814</v>
      </c>
    </row>
    <row r="242" spans="2:18" x14ac:dyDescent="0.2">
      <c r="B242">
        <v>242</v>
      </c>
      <c r="C242" t="s">
        <v>3073</v>
      </c>
      <c r="D242" t="s">
        <v>1558</v>
      </c>
      <c r="E242" t="s">
        <v>2060</v>
      </c>
      <c r="F242" t="s">
        <v>1302</v>
      </c>
      <c r="G242" t="s">
        <v>3073</v>
      </c>
      <c r="H242" t="s">
        <v>4576</v>
      </c>
      <c r="I242" t="s">
        <v>3073</v>
      </c>
      <c r="J242" t="s">
        <v>4071</v>
      </c>
      <c r="K242" t="s">
        <v>2320</v>
      </c>
      <c r="L242" t="s">
        <v>2823</v>
      </c>
      <c r="M242" t="s">
        <v>3073</v>
      </c>
      <c r="N242" t="s">
        <v>4334</v>
      </c>
      <c r="O242" t="s">
        <v>3338</v>
      </c>
      <c r="P242" t="s">
        <v>1811</v>
      </c>
      <c r="Q242" t="s">
        <v>2582</v>
      </c>
      <c r="R242" t="s">
        <v>4815</v>
      </c>
    </row>
    <row r="243" spans="2:18" x14ac:dyDescent="0.2">
      <c r="B243">
        <v>243</v>
      </c>
      <c r="C243" t="s">
        <v>1559</v>
      </c>
      <c r="D243" t="s">
        <v>1559</v>
      </c>
      <c r="E243" t="s">
        <v>2061</v>
      </c>
      <c r="F243" t="s">
        <v>1303</v>
      </c>
      <c r="G243" t="s">
        <v>3826</v>
      </c>
      <c r="H243" t="s">
        <v>2061</v>
      </c>
      <c r="I243" t="s">
        <v>3074</v>
      </c>
      <c r="J243" t="s">
        <v>4072</v>
      </c>
      <c r="K243" t="s">
        <v>2061</v>
      </c>
      <c r="L243" t="s">
        <v>2824</v>
      </c>
      <c r="M243" t="s">
        <v>5066</v>
      </c>
      <c r="N243" t="s">
        <v>4335</v>
      </c>
      <c r="O243" t="s">
        <v>3339</v>
      </c>
      <c r="P243" t="s">
        <v>1812</v>
      </c>
      <c r="Q243" t="s">
        <v>2583</v>
      </c>
      <c r="R243" t="s">
        <v>4816</v>
      </c>
    </row>
    <row r="244" spans="2:18" x14ac:dyDescent="0.2">
      <c r="B244">
        <v>244</v>
      </c>
      <c r="C244" t="s">
        <v>1560</v>
      </c>
      <c r="D244" t="s">
        <v>1560</v>
      </c>
      <c r="E244" t="s">
        <v>2062</v>
      </c>
      <c r="F244" t="s">
        <v>1304</v>
      </c>
      <c r="G244" t="s">
        <v>1560</v>
      </c>
      <c r="H244" t="s">
        <v>4577</v>
      </c>
      <c r="I244" t="s">
        <v>1560</v>
      </c>
      <c r="J244" t="s">
        <v>4073</v>
      </c>
      <c r="K244" t="s">
        <v>2321</v>
      </c>
      <c r="L244" t="s">
        <v>2825</v>
      </c>
      <c r="M244" t="s">
        <v>5067</v>
      </c>
      <c r="N244" t="s">
        <v>4336</v>
      </c>
      <c r="O244" t="s">
        <v>3340</v>
      </c>
      <c r="P244" t="s">
        <v>1813</v>
      </c>
      <c r="Q244" t="s">
        <v>2584</v>
      </c>
      <c r="R244" t="s">
        <v>4817</v>
      </c>
    </row>
    <row r="245" spans="2:18" x14ac:dyDescent="0.2">
      <c r="B245">
        <v>245</v>
      </c>
      <c r="C245" t="s">
        <v>3075</v>
      </c>
      <c r="D245" t="s">
        <v>1561</v>
      </c>
      <c r="E245" t="s">
        <v>2063</v>
      </c>
      <c r="F245" t="s">
        <v>1305</v>
      </c>
      <c r="G245" t="s">
        <v>3075</v>
      </c>
      <c r="H245" t="s">
        <v>4578</v>
      </c>
      <c r="I245" t="s">
        <v>3075</v>
      </c>
      <c r="J245" t="s">
        <v>4074</v>
      </c>
      <c r="K245" t="s">
        <v>2322</v>
      </c>
      <c r="L245" t="s">
        <v>2826</v>
      </c>
      <c r="M245" t="s">
        <v>5068</v>
      </c>
      <c r="N245" t="s">
        <v>4337</v>
      </c>
      <c r="O245" t="s">
        <v>3341</v>
      </c>
      <c r="P245" t="s">
        <v>1814</v>
      </c>
      <c r="Q245" t="s">
        <v>2585</v>
      </c>
      <c r="R245" t="s">
        <v>4818</v>
      </c>
    </row>
    <row r="246" spans="2:18" x14ac:dyDescent="0.2">
      <c r="B246">
        <v>246</v>
      </c>
      <c r="C246" t="s">
        <v>1562</v>
      </c>
      <c r="D246" t="s">
        <v>1562</v>
      </c>
      <c r="E246" t="s">
        <v>2064</v>
      </c>
      <c r="F246" t="s">
        <v>1306</v>
      </c>
      <c r="G246" t="s">
        <v>1562</v>
      </c>
      <c r="H246" t="s">
        <v>1306</v>
      </c>
      <c r="I246" t="s">
        <v>1562</v>
      </c>
      <c r="J246" t="s">
        <v>4075</v>
      </c>
      <c r="K246" t="s">
        <v>2323</v>
      </c>
      <c r="L246" t="s">
        <v>2827</v>
      </c>
      <c r="M246" t="s">
        <v>5069</v>
      </c>
      <c r="N246" t="s">
        <v>4338</v>
      </c>
      <c r="O246" t="s">
        <v>3342</v>
      </c>
      <c r="P246" t="s">
        <v>1815</v>
      </c>
      <c r="Q246" t="s">
        <v>2586</v>
      </c>
      <c r="R246" t="s">
        <v>4819</v>
      </c>
    </row>
    <row r="247" spans="2:18" x14ac:dyDescent="0.2">
      <c r="B247">
        <v>247</v>
      </c>
      <c r="C247" t="s">
        <v>3588</v>
      </c>
      <c r="D247" t="s">
        <v>1563</v>
      </c>
      <c r="E247" t="s">
        <v>2065</v>
      </c>
      <c r="F247" t="s">
        <v>1307</v>
      </c>
      <c r="G247" t="s">
        <v>3827</v>
      </c>
      <c r="H247" t="s">
        <v>4579</v>
      </c>
      <c r="I247" t="s">
        <v>1563</v>
      </c>
      <c r="J247" t="s">
        <v>4076</v>
      </c>
      <c r="K247" t="s">
        <v>2324</v>
      </c>
      <c r="L247" t="s">
        <v>2828</v>
      </c>
      <c r="M247" t="s">
        <v>5070</v>
      </c>
      <c r="N247" t="s">
        <v>4339</v>
      </c>
      <c r="O247" t="s">
        <v>3343</v>
      </c>
      <c r="P247" t="s">
        <v>1816</v>
      </c>
      <c r="Q247" t="s">
        <v>2587</v>
      </c>
      <c r="R247" t="s">
        <v>4820</v>
      </c>
    </row>
    <row r="248" spans="2:18" x14ac:dyDescent="0.2">
      <c r="B248">
        <v>248</v>
      </c>
      <c r="H248" t="s">
        <v>4398</v>
      </c>
    </row>
    <row r="249" spans="2:18" x14ac:dyDescent="0.2">
      <c r="B249">
        <v>249</v>
      </c>
      <c r="C249" t="s">
        <v>3589</v>
      </c>
      <c r="D249" t="s">
        <v>959</v>
      </c>
      <c r="E249" t="s">
        <v>2066</v>
      </c>
      <c r="F249" t="s">
        <v>959</v>
      </c>
      <c r="G249" t="s">
        <v>3828</v>
      </c>
      <c r="H249" t="s">
        <v>4580</v>
      </c>
      <c r="I249" t="s">
        <v>3076</v>
      </c>
      <c r="J249" t="s">
        <v>4077</v>
      </c>
      <c r="K249" t="s">
        <v>2325</v>
      </c>
      <c r="L249" t="s">
        <v>2829</v>
      </c>
      <c r="M249" t="s">
        <v>5071</v>
      </c>
      <c r="N249" t="s">
        <v>4340</v>
      </c>
      <c r="O249" t="s">
        <v>3344</v>
      </c>
      <c r="P249" t="s">
        <v>1817</v>
      </c>
      <c r="Q249" t="s">
        <v>2588</v>
      </c>
      <c r="R249" t="s">
        <v>4821</v>
      </c>
    </row>
    <row r="250" spans="2:18" x14ac:dyDescent="0.2">
      <c r="B250">
        <v>250</v>
      </c>
      <c r="C250" t="s">
        <v>3590</v>
      </c>
      <c r="D250" t="s">
        <v>1564</v>
      </c>
      <c r="E250" t="s">
        <v>2067</v>
      </c>
      <c r="F250" t="s">
        <v>1308</v>
      </c>
      <c r="G250" t="s">
        <v>3829</v>
      </c>
      <c r="H250" t="s">
        <v>4581</v>
      </c>
      <c r="I250" t="s">
        <v>3077</v>
      </c>
      <c r="J250" t="s">
        <v>4078</v>
      </c>
      <c r="K250" t="s">
        <v>2326</v>
      </c>
      <c r="L250" t="s">
        <v>2830</v>
      </c>
      <c r="M250" t="s">
        <v>5072</v>
      </c>
      <c r="N250" t="s">
        <v>4341</v>
      </c>
      <c r="O250" t="s">
        <v>3345</v>
      </c>
      <c r="P250" t="s">
        <v>1818</v>
      </c>
      <c r="Q250" t="s">
        <v>2589</v>
      </c>
      <c r="R250" t="s">
        <v>4822</v>
      </c>
    </row>
    <row r="251" spans="2:18" x14ac:dyDescent="0.2">
      <c r="B251">
        <v>251</v>
      </c>
      <c r="C251" t="s">
        <v>3591</v>
      </c>
      <c r="D251" t="s">
        <v>1565</v>
      </c>
      <c r="E251" t="s">
        <v>2068</v>
      </c>
      <c r="F251" t="s">
        <v>1309</v>
      </c>
      <c r="G251" t="s">
        <v>1565</v>
      </c>
      <c r="H251" t="s">
        <v>4582</v>
      </c>
      <c r="I251" t="s">
        <v>3078</v>
      </c>
      <c r="J251" t="s">
        <v>4079</v>
      </c>
      <c r="K251" t="s">
        <v>2327</v>
      </c>
      <c r="L251" t="s">
        <v>2831</v>
      </c>
      <c r="M251" t="s">
        <v>1565</v>
      </c>
      <c r="N251" t="s">
        <v>4342</v>
      </c>
      <c r="O251" t="s">
        <v>3346</v>
      </c>
      <c r="P251" t="s">
        <v>1819</v>
      </c>
      <c r="Q251" t="s">
        <v>2590</v>
      </c>
      <c r="R251" t="s">
        <v>4823</v>
      </c>
    </row>
    <row r="252" spans="2:18" x14ac:dyDescent="0.2">
      <c r="B252">
        <v>252</v>
      </c>
      <c r="C252" t="s">
        <v>3592</v>
      </c>
      <c r="D252" t="s">
        <v>1566</v>
      </c>
      <c r="E252" t="s">
        <v>2069</v>
      </c>
      <c r="F252" t="s">
        <v>1310</v>
      </c>
      <c r="G252" t="s">
        <v>1566</v>
      </c>
      <c r="H252" t="s">
        <v>4583</v>
      </c>
      <c r="I252" t="s">
        <v>3079</v>
      </c>
      <c r="J252" t="s">
        <v>4080</v>
      </c>
      <c r="K252" t="s">
        <v>2328</v>
      </c>
      <c r="L252" t="s">
        <v>2832</v>
      </c>
      <c r="M252" t="s">
        <v>5073</v>
      </c>
      <c r="N252" t="s">
        <v>4343</v>
      </c>
      <c r="O252" t="s">
        <v>3347</v>
      </c>
      <c r="P252" t="s">
        <v>1820</v>
      </c>
      <c r="Q252" t="s">
        <v>2591</v>
      </c>
      <c r="R252" t="s">
        <v>4824</v>
      </c>
    </row>
    <row r="253" spans="2:18" x14ac:dyDescent="0.2">
      <c r="B253">
        <v>253</v>
      </c>
      <c r="C253" t="s">
        <v>2592</v>
      </c>
      <c r="D253" t="s">
        <v>1567</v>
      </c>
      <c r="E253" t="s">
        <v>2070</v>
      </c>
      <c r="F253" t="s">
        <v>1311</v>
      </c>
      <c r="G253" t="s">
        <v>2592</v>
      </c>
      <c r="H253" t="s">
        <v>4584</v>
      </c>
      <c r="I253" t="s">
        <v>3080</v>
      </c>
      <c r="J253" t="s">
        <v>4081</v>
      </c>
      <c r="K253" t="s">
        <v>2329</v>
      </c>
      <c r="L253" t="s">
        <v>2833</v>
      </c>
      <c r="M253" t="s">
        <v>2592</v>
      </c>
      <c r="N253" t="s">
        <v>4344</v>
      </c>
      <c r="O253" t="s">
        <v>3348</v>
      </c>
      <c r="P253" t="s">
        <v>1821</v>
      </c>
      <c r="Q253" t="s">
        <v>2592</v>
      </c>
      <c r="R253" t="s">
        <v>4825</v>
      </c>
    </row>
    <row r="254" spans="2:18" x14ac:dyDescent="0.2">
      <c r="B254">
        <v>254</v>
      </c>
      <c r="C254" t="s">
        <v>3593</v>
      </c>
      <c r="D254" t="s">
        <v>1568</v>
      </c>
      <c r="E254" t="s">
        <v>2071</v>
      </c>
      <c r="F254" t="s">
        <v>1109</v>
      </c>
      <c r="G254" t="s">
        <v>1568</v>
      </c>
      <c r="H254" t="s">
        <v>4585</v>
      </c>
      <c r="I254" t="s">
        <v>3081</v>
      </c>
      <c r="J254" t="s">
        <v>4082</v>
      </c>
      <c r="K254" t="s">
        <v>2330</v>
      </c>
      <c r="L254" t="s">
        <v>2834</v>
      </c>
      <c r="M254" t="s">
        <v>5074</v>
      </c>
      <c r="N254" t="s">
        <v>4345</v>
      </c>
      <c r="O254" t="s">
        <v>3349</v>
      </c>
      <c r="P254" t="s">
        <v>1822</v>
      </c>
      <c r="Q254" t="s">
        <v>2593</v>
      </c>
      <c r="R254" t="s">
        <v>4826</v>
      </c>
    </row>
    <row r="255" spans="2:18" x14ac:dyDescent="0.2">
      <c r="B255">
        <v>255</v>
      </c>
      <c r="C255" t="s">
        <v>3594</v>
      </c>
      <c r="D255" t="s">
        <v>1569</v>
      </c>
      <c r="E255" t="s">
        <v>2072</v>
      </c>
      <c r="F255" t="s">
        <v>1312</v>
      </c>
      <c r="G255" t="s">
        <v>3830</v>
      </c>
      <c r="H255" t="s">
        <v>4586</v>
      </c>
      <c r="I255" t="s">
        <v>3082</v>
      </c>
      <c r="J255" t="s">
        <v>4083</v>
      </c>
      <c r="K255" t="s">
        <v>2331</v>
      </c>
      <c r="L255" t="s">
        <v>2835</v>
      </c>
      <c r="M255" t="s">
        <v>5075</v>
      </c>
      <c r="N255" t="s">
        <v>4346</v>
      </c>
      <c r="O255" t="s">
        <v>3350</v>
      </c>
      <c r="P255" t="s">
        <v>1823</v>
      </c>
      <c r="Q255" t="s">
        <v>2594</v>
      </c>
      <c r="R255" t="s">
        <v>4827</v>
      </c>
    </row>
    <row r="256" spans="2:18" x14ac:dyDescent="0.2">
      <c r="B256">
        <v>256</v>
      </c>
      <c r="H256" t="s">
        <v>4398</v>
      </c>
    </row>
    <row r="257" spans="1:18" x14ac:dyDescent="0.2">
      <c r="A257" t="s">
        <v>960</v>
      </c>
      <c r="B257">
        <v>257</v>
      </c>
      <c r="C257" t="s">
        <v>3595</v>
      </c>
      <c r="D257" t="s">
        <v>1570</v>
      </c>
      <c r="E257" t="s">
        <v>2073</v>
      </c>
      <c r="G257" t="s">
        <v>3831</v>
      </c>
      <c r="H257" t="s">
        <v>4398</v>
      </c>
      <c r="I257" t="s">
        <v>3083</v>
      </c>
      <c r="J257" t="s">
        <v>4084</v>
      </c>
      <c r="K257" t="s">
        <v>2332</v>
      </c>
      <c r="L257" t="s">
        <v>2836</v>
      </c>
      <c r="M257" t="s">
        <v>5076</v>
      </c>
      <c r="N257" t="s">
        <v>4347</v>
      </c>
      <c r="O257" t="s">
        <v>3351</v>
      </c>
      <c r="P257" t="s">
        <v>1824</v>
      </c>
      <c r="Q257" t="s">
        <v>2595</v>
      </c>
      <c r="R257" t="s">
        <v>4828</v>
      </c>
    </row>
    <row r="258" spans="1:18" x14ac:dyDescent="0.2">
      <c r="B258">
        <v>258</v>
      </c>
      <c r="C258" t="s">
        <v>3596</v>
      </c>
      <c r="D258" t="s">
        <v>1571</v>
      </c>
      <c r="E258" t="s">
        <v>2074</v>
      </c>
      <c r="F258" t="s">
        <v>1313</v>
      </c>
      <c r="G258" t="s">
        <v>3832</v>
      </c>
      <c r="H258" t="s">
        <v>4587</v>
      </c>
      <c r="I258" t="s">
        <v>3084</v>
      </c>
      <c r="J258" t="s">
        <v>4085</v>
      </c>
      <c r="K258" t="s">
        <v>2333</v>
      </c>
      <c r="L258" t="s">
        <v>2791</v>
      </c>
      <c r="M258" t="s">
        <v>5077</v>
      </c>
      <c r="N258" t="s">
        <v>4348</v>
      </c>
      <c r="O258" t="s">
        <v>3352</v>
      </c>
      <c r="P258" t="s">
        <v>1825</v>
      </c>
      <c r="Q258" t="s">
        <v>2596</v>
      </c>
      <c r="R258" t="s">
        <v>4829</v>
      </c>
    </row>
    <row r="259" spans="1:18" x14ac:dyDescent="0.2">
      <c r="B259">
        <v>259</v>
      </c>
      <c r="C259" t="s">
        <v>3597</v>
      </c>
      <c r="D259" t="s">
        <v>1572</v>
      </c>
      <c r="E259" t="s">
        <v>2075</v>
      </c>
      <c r="F259" t="s">
        <v>1314</v>
      </c>
      <c r="G259" t="s">
        <v>3833</v>
      </c>
      <c r="H259" t="s">
        <v>4588</v>
      </c>
      <c r="I259" t="s">
        <v>3085</v>
      </c>
      <c r="J259" t="s">
        <v>4086</v>
      </c>
      <c r="K259" t="s">
        <v>2334</v>
      </c>
      <c r="L259" t="s">
        <v>2837</v>
      </c>
      <c r="M259" t="s">
        <v>5078</v>
      </c>
      <c r="N259" t="s">
        <v>4349</v>
      </c>
      <c r="O259" t="s">
        <v>3353</v>
      </c>
      <c r="P259" t="s">
        <v>1826</v>
      </c>
      <c r="Q259" t="s">
        <v>2452</v>
      </c>
      <c r="R259" t="s">
        <v>4830</v>
      </c>
    </row>
    <row r="260" spans="1:18" x14ac:dyDescent="0.2">
      <c r="B260">
        <v>260</v>
      </c>
      <c r="C260" t="s">
        <v>3598</v>
      </c>
      <c r="D260" t="s">
        <v>1573</v>
      </c>
      <c r="E260" t="s">
        <v>2076</v>
      </c>
      <c r="F260" t="s">
        <v>1315</v>
      </c>
      <c r="G260" t="s">
        <v>3834</v>
      </c>
      <c r="H260" t="s">
        <v>4563</v>
      </c>
      <c r="I260" t="s">
        <v>3061</v>
      </c>
      <c r="J260" t="s">
        <v>4087</v>
      </c>
      <c r="K260" t="s">
        <v>2335</v>
      </c>
      <c r="L260" t="s">
        <v>2838</v>
      </c>
      <c r="M260" t="s">
        <v>5033</v>
      </c>
      <c r="N260" t="s">
        <v>5213</v>
      </c>
      <c r="O260" t="s">
        <v>3303</v>
      </c>
      <c r="P260" t="s">
        <v>1799</v>
      </c>
      <c r="Q260" t="s">
        <v>2597</v>
      </c>
      <c r="R260" t="s">
        <v>4831</v>
      </c>
    </row>
    <row r="261" spans="1:18" x14ac:dyDescent="0.2">
      <c r="B261">
        <v>261</v>
      </c>
      <c r="C261" t="s">
        <v>3599</v>
      </c>
      <c r="D261" t="s">
        <v>554</v>
      </c>
      <c r="E261" t="s">
        <v>2077</v>
      </c>
      <c r="F261" t="s">
        <v>1316</v>
      </c>
      <c r="G261" t="s">
        <v>3835</v>
      </c>
      <c r="H261" t="s">
        <v>4589</v>
      </c>
      <c r="I261" t="s">
        <v>3086</v>
      </c>
      <c r="J261" t="s">
        <v>4088</v>
      </c>
      <c r="K261" t="s">
        <v>2336</v>
      </c>
      <c r="L261" t="s">
        <v>2839</v>
      </c>
      <c r="M261" t="s">
        <v>5079</v>
      </c>
      <c r="N261" t="s">
        <v>5214</v>
      </c>
      <c r="O261" t="s">
        <v>3354</v>
      </c>
      <c r="P261" t="s">
        <v>1827</v>
      </c>
      <c r="Q261" t="s">
        <v>2598</v>
      </c>
      <c r="R261" t="s">
        <v>4832</v>
      </c>
    </row>
    <row r="262" spans="1:18" x14ac:dyDescent="0.2">
      <c r="B262">
        <v>262</v>
      </c>
      <c r="C262" t="s">
        <v>3087</v>
      </c>
      <c r="D262" t="s">
        <v>1574</v>
      </c>
      <c r="E262" t="s">
        <v>2078</v>
      </c>
      <c r="F262" t="s">
        <v>1317</v>
      </c>
      <c r="G262" t="s">
        <v>3836</v>
      </c>
      <c r="H262" t="s">
        <v>4590</v>
      </c>
      <c r="I262" t="s">
        <v>3087</v>
      </c>
      <c r="J262" t="s">
        <v>4089</v>
      </c>
      <c r="K262" t="s">
        <v>2337</v>
      </c>
      <c r="L262" t="s">
        <v>2840</v>
      </c>
      <c r="M262" t="s">
        <v>5080</v>
      </c>
      <c r="N262" t="s">
        <v>4350</v>
      </c>
      <c r="O262" t="s">
        <v>3355</v>
      </c>
      <c r="P262" t="s">
        <v>1828</v>
      </c>
      <c r="Q262" t="s">
        <v>2599</v>
      </c>
      <c r="R262" t="s">
        <v>4833</v>
      </c>
    </row>
    <row r="263" spans="1:18" x14ac:dyDescent="0.2">
      <c r="B263">
        <v>263</v>
      </c>
      <c r="C263" t="s">
        <v>3600</v>
      </c>
      <c r="D263" t="s">
        <v>555</v>
      </c>
      <c r="E263" t="s">
        <v>2079</v>
      </c>
      <c r="F263" t="s">
        <v>1318</v>
      </c>
      <c r="G263" t="s">
        <v>3837</v>
      </c>
      <c r="H263" t="s">
        <v>4591</v>
      </c>
      <c r="I263" t="s">
        <v>3088</v>
      </c>
      <c r="J263" t="s">
        <v>4090</v>
      </c>
      <c r="K263" t="s">
        <v>2338</v>
      </c>
      <c r="L263" t="s">
        <v>2841</v>
      </c>
      <c r="M263" t="s">
        <v>5081</v>
      </c>
      <c r="N263" t="s">
        <v>4351</v>
      </c>
      <c r="O263" t="s">
        <v>3356</v>
      </c>
      <c r="P263" t="s">
        <v>1829</v>
      </c>
      <c r="Q263" t="s">
        <v>2600</v>
      </c>
      <c r="R263" t="s">
        <v>4834</v>
      </c>
    </row>
    <row r="264" spans="1:18" x14ac:dyDescent="0.2">
      <c r="B264">
        <v>264</v>
      </c>
      <c r="C264" t="s">
        <v>3466</v>
      </c>
      <c r="D264" t="s">
        <v>1426</v>
      </c>
      <c r="E264" t="s">
        <v>1935</v>
      </c>
      <c r="F264" t="s">
        <v>1169</v>
      </c>
      <c r="G264" t="s">
        <v>3709</v>
      </c>
      <c r="H264" t="s">
        <v>4592</v>
      </c>
      <c r="I264" t="s">
        <v>3089</v>
      </c>
      <c r="J264" t="s">
        <v>3945</v>
      </c>
      <c r="K264" t="s">
        <v>1935</v>
      </c>
      <c r="L264" t="s">
        <v>2842</v>
      </c>
      <c r="M264" t="s">
        <v>4943</v>
      </c>
      <c r="N264" t="s">
        <v>4203</v>
      </c>
      <c r="O264" t="s">
        <v>3201</v>
      </c>
      <c r="P264" t="s">
        <v>1684</v>
      </c>
      <c r="Q264" t="s">
        <v>2454</v>
      </c>
      <c r="R264" t="s">
        <v>2454</v>
      </c>
    </row>
    <row r="265" spans="1:18" x14ac:dyDescent="0.2">
      <c r="B265">
        <v>265</v>
      </c>
      <c r="C265" t="s">
        <v>3601</v>
      </c>
      <c r="D265" t="s">
        <v>1575</v>
      </c>
      <c r="E265" t="s">
        <v>2080</v>
      </c>
      <c r="F265" t="s">
        <v>1319</v>
      </c>
      <c r="G265" t="s">
        <v>3838</v>
      </c>
      <c r="H265" t="s">
        <v>4593</v>
      </c>
      <c r="I265" t="s">
        <v>3090</v>
      </c>
      <c r="J265" t="s">
        <v>4091</v>
      </c>
      <c r="K265" t="s">
        <v>2339</v>
      </c>
      <c r="L265" t="s">
        <v>2843</v>
      </c>
      <c r="M265" t="s">
        <v>5082</v>
      </c>
      <c r="N265" t="s">
        <v>4352</v>
      </c>
      <c r="O265" t="s">
        <v>3357</v>
      </c>
      <c r="P265" t="s">
        <v>1830</v>
      </c>
      <c r="Q265" t="s">
        <v>2601</v>
      </c>
      <c r="R265" t="s">
        <v>4835</v>
      </c>
    </row>
    <row r="266" spans="1:18" x14ac:dyDescent="0.2">
      <c r="B266">
        <v>266</v>
      </c>
      <c r="C266" t="s">
        <v>3602</v>
      </c>
      <c r="D266" t="s">
        <v>1576</v>
      </c>
      <c r="E266" t="s">
        <v>2081</v>
      </c>
      <c r="F266" t="s">
        <v>1221</v>
      </c>
      <c r="G266" t="s">
        <v>3839</v>
      </c>
      <c r="H266" t="s">
        <v>1576</v>
      </c>
      <c r="I266" t="s">
        <v>3091</v>
      </c>
      <c r="J266" t="s">
        <v>3998</v>
      </c>
      <c r="K266" t="s">
        <v>2081</v>
      </c>
      <c r="L266" t="s">
        <v>2779</v>
      </c>
      <c r="M266" t="s">
        <v>5083</v>
      </c>
      <c r="N266" t="s">
        <v>4226</v>
      </c>
      <c r="O266" t="s">
        <v>3358</v>
      </c>
      <c r="P266" t="s">
        <v>1831</v>
      </c>
      <c r="Q266" t="s">
        <v>2533</v>
      </c>
      <c r="R266" t="s">
        <v>4752</v>
      </c>
    </row>
    <row r="267" spans="1:18" x14ac:dyDescent="0.2">
      <c r="B267">
        <v>267</v>
      </c>
      <c r="C267" t="s">
        <v>3562</v>
      </c>
      <c r="D267" t="s">
        <v>1577</v>
      </c>
      <c r="E267" t="s">
        <v>2027</v>
      </c>
      <c r="F267" t="s">
        <v>1320</v>
      </c>
      <c r="G267" t="s">
        <v>1577</v>
      </c>
      <c r="H267" t="s">
        <v>4594</v>
      </c>
      <c r="I267" t="s">
        <v>3046</v>
      </c>
      <c r="J267" t="s">
        <v>4041</v>
      </c>
      <c r="K267" t="s">
        <v>2290</v>
      </c>
      <c r="L267" t="s">
        <v>2795</v>
      </c>
      <c r="M267" t="s">
        <v>5036</v>
      </c>
      <c r="N267" t="s">
        <v>4303</v>
      </c>
      <c r="O267" t="s">
        <v>3306</v>
      </c>
      <c r="P267" t="s">
        <v>1786</v>
      </c>
      <c r="Q267" t="s">
        <v>2602</v>
      </c>
      <c r="R267" t="s">
        <v>4789</v>
      </c>
    </row>
    <row r="268" spans="1:18" x14ac:dyDescent="0.2">
      <c r="B268">
        <v>268</v>
      </c>
      <c r="C268" t="s">
        <v>3603</v>
      </c>
      <c r="D268" t="s">
        <v>1578</v>
      </c>
      <c r="E268" t="s">
        <v>2082</v>
      </c>
      <c r="F268" t="s">
        <v>1321</v>
      </c>
      <c r="G268" t="s">
        <v>3840</v>
      </c>
      <c r="H268" t="s">
        <v>4595</v>
      </c>
      <c r="I268" t="s">
        <v>3092</v>
      </c>
      <c r="J268" t="s">
        <v>4092</v>
      </c>
      <c r="K268" t="s">
        <v>2340</v>
      </c>
      <c r="L268" t="s">
        <v>2844</v>
      </c>
      <c r="M268" t="s">
        <v>5084</v>
      </c>
      <c r="N268" t="s">
        <v>4353</v>
      </c>
      <c r="O268" t="s">
        <v>3359</v>
      </c>
      <c r="P268" t="s">
        <v>1832</v>
      </c>
      <c r="Q268" t="s">
        <v>2603</v>
      </c>
      <c r="R268" t="s">
        <v>4836</v>
      </c>
    </row>
    <row r="269" spans="1:18" x14ac:dyDescent="0.2">
      <c r="B269">
        <v>269</v>
      </c>
      <c r="C269" t="s">
        <v>3604</v>
      </c>
      <c r="D269" t="s">
        <v>1579</v>
      </c>
      <c r="E269" t="s">
        <v>2083</v>
      </c>
      <c r="F269" t="s">
        <v>1322</v>
      </c>
      <c r="G269" t="s">
        <v>3841</v>
      </c>
      <c r="H269" t="s">
        <v>4596</v>
      </c>
      <c r="I269" t="s">
        <v>3093</v>
      </c>
      <c r="J269" t="s">
        <v>4093</v>
      </c>
      <c r="K269" t="s">
        <v>2341</v>
      </c>
      <c r="L269" t="s">
        <v>2845</v>
      </c>
      <c r="M269" t="s">
        <v>5085</v>
      </c>
      <c r="N269" t="s">
        <v>4354</v>
      </c>
      <c r="O269" t="s">
        <v>3360</v>
      </c>
      <c r="P269" t="s">
        <v>1629</v>
      </c>
      <c r="Q269" t="s">
        <v>2604</v>
      </c>
      <c r="R269" t="s">
        <v>4837</v>
      </c>
    </row>
    <row r="270" spans="1:18" x14ac:dyDescent="0.2">
      <c r="B270">
        <v>270</v>
      </c>
      <c r="C270" t="s">
        <v>3605</v>
      </c>
      <c r="D270" t="s">
        <v>1580</v>
      </c>
      <c r="E270" t="s">
        <v>2084</v>
      </c>
      <c r="F270" t="s">
        <v>1323</v>
      </c>
      <c r="G270" t="s">
        <v>3842</v>
      </c>
      <c r="H270" t="s">
        <v>4597</v>
      </c>
      <c r="I270" t="s">
        <v>3094</v>
      </c>
      <c r="J270" t="s">
        <v>4094</v>
      </c>
      <c r="K270" t="s">
        <v>2342</v>
      </c>
      <c r="L270" t="s">
        <v>2846</v>
      </c>
      <c r="M270" t="s">
        <v>5086</v>
      </c>
      <c r="N270" t="s">
        <v>4355</v>
      </c>
      <c r="O270" t="s">
        <v>3361</v>
      </c>
      <c r="P270" t="s">
        <v>1833</v>
      </c>
      <c r="Q270" t="s">
        <v>2605</v>
      </c>
      <c r="R270" t="s">
        <v>4838</v>
      </c>
    </row>
    <row r="271" spans="1:18" x14ac:dyDescent="0.2">
      <c r="B271">
        <v>271</v>
      </c>
      <c r="C271" t="s">
        <v>3606</v>
      </c>
      <c r="D271" t="s">
        <v>1581</v>
      </c>
      <c r="E271" t="s">
        <v>2085</v>
      </c>
      <c r="F271" t="s">
        <v>1324</v>
      </c>
      <c r="G271" t="s">
        <v>3843</v>
      </c>
      <c r="H271" t="s">
        <v>4598</v>
      </c>
      <c r="I271" t="s">
        <v>3095</v>
      </c>
      <c r="J271" t="s">
        <v>4095</v>
      </c>
      <c r="K271" t="s">
        <v>2343</v>
      </c>
      <c r="L271" t="s">
        <v>2847</v>
      </c>
      <c r="M271" t="s">
        <v>5087</v>
      </c>
      <c r="N271" t="s">
        <v>4356</v>
      </c>
      <c r="O271" t="s">
        <v>3362</v>
      </c>
      <c r="P271" t="s">
        <v>1834</v>
      </c>
      <c r="Q271" t="s">
        <v>2606</v>
      </c>
      <c r="R271" t="s">
        <v>4839</v>
      </c>
    </row>
    <row r="272" spans="1:18" x14ac:dyDescent="0.2">
      <c r="B272">
        <v>272</v>
      </c>
      <c r="C272" t="s">
        <v>3607</v>
      </c>
      <c r="D272" t="s">
        <v>1475</v>
      </c>
      <c r="E272" t="s">
        <v>1981</v>
      </c>
      <c r="F272" t="s">
        <v>1325</v>
      </c>
      <c r="G272" t="s">
        <v>3754</v>
      </c>
      <c r="H272" t="s">
        <v>4500</v>
      </c>
      <c r="I272" t="s">
        <v>2998</v>
      </c>
      <c r="J272" t="s">
        <v>3995</v>
      </c>
      <c r="K272" t="s">
        <v>2238</v>
      </c>
      <c r="L272" t="s">
        <v>2751</v>
      </c>
      <c r="M272" t="s">
        <v>5088</v>
      </c>
      <c r="N272" t="s">
        <v>4357</v>
      </c>
      <c r="O272" t="s">
        <v>3251</v>
      </c>
      <c r="P272" t="s">
        <v>1733</v>
      </c>
      <c r="Q272" t="s">
        <v>2607</v>
      </c>
      <c r="R272" t="s">
        <v>4749</v>
      </c>
    </row>
    <row r="273" spans="2:18" x14ac:dyDescent="0.2">
      <c r="B273">
        <v>273</v>
      </c>
      <c r="C273" t="s">
        <v>3516</v>
      </c>
      <c r="D273" t="s">
        <v>949</v>
      </c>
      <c r="E273" t="s">
        <v>1931</v>
      </c>
      <c r="F273" t="s">
        <v>1228</v>
      </c>
      <c r="G273" t="s">
        <v>2761</v>
      </c>
      <c r="H273" t="s">
        <v>949</v>
      </c>
      <c r="I273" t="s">
        <v>949</v>
      </c>
      <c r="J273" t="s">
        <v>3941</v>
      </c>
      <c r="K273" t="s">
        <v>1931</v>
      </c>
      <c r="L273" t="s">
        <v>2848</v>
      </c>
      <c r="M273" t="s">
        <v>4940</v>
      </c>
      <c r="N273" t="s">
        <v>4263</v>
      </c>
      <c r="O273" t="s">
        <v>3254</v>
      </c>
      <c r="P273" t="s">
        <v>1680</v>
      </c>
      <c r="Q273" t="s">
        <v>2507</v>
      </c>
      <c r="R273" t="s">
        <v>4700</v>
      </c>
    </row>
    <row r="274" spans="2:18" x14ac:dyDescent="0.2">
      <c r="B274">
        <v>274</v>
      </c>
      <c r="C274" t="s">
        <v>3608</v>
      </c>
      <c r="D274" t="s">
        <v>1582</v>
      </c>
      <c r="E274" t="s">
        <v>2086</v>
      </c>
      <c r="F274" t="s">
        <v>1326</v>
      </c>
      <c r="G274" t="s">
        <v>3844</v>
      </c>
      <c r="H274" t="s">
        <v>4552</v>
      </c>
      <c r="I274" t="s">
        <v>3096</v>
      </c>
      <c r="J274" t="s">
        <v>4096</v>
      </c>
      <c r="K274" t="s">
        <v>2295</v>
      </c>
      <c r="L274" t="s">
        <v>2799</v>
      </c>
      <c r="M274" t="s">
        <v>5089</v>
      </c>
      <c r="N274" t="s">
        <v>4308</v>
      </c>
      <c r="O274" t="s">
        <v>3363</v>
      </c>
      <c r="P274" t="s">
        <v>1790</v>
      </c>
      <c r="Q274" t="s">
        <v>2603</v>
      </c>
      <c r="R274" t="s">
        <v>4840</v>
      </c>
    </row>
    <row r="275" spans="2:18" x14ac:dyDescent="0.2">
      <c r="B275">
        <v>275</v>
      </c>
      <c r="C275" t="s">
        <v>3609</v>
      </c>
      <c r="D275" t="s">
        <v>1583</v>
      </c>
      <c r="E275" t="s">
        <v>2087</v>
      </c>
      <c r="F275" t="s">
        <v>1327</v>
      </c>
      <c r="G275" t="s">
        <v>3845</v>
      </c>
      <c r="H275" t="s">
        <v>4599</v>
      </c>
      <c r="I275" t="s">
        <v>3097</v>
      </c>
      <c r="J275" t="s">
        <v>4097</v>
      </c>
      <c r="K275" t="s">
        <v>2344</v>
      </c>
      <c r="L275" t="s">
        <v>2849</v>
      </c>
      <c r="M275" t="s">
        <v>5090</v>
      </c>
      <c r="N275" t="s">
        <v>4358</v>
      </c>
      <c r="O275" t="s">
        <v>3364</v>
      </c>
      <c r="P275" t="s">
        <v>1835</v>
      </c>
      <c r="Q275" t="s">
        <v>2608</v>
      </c>
      <c r="R275" t="s">
        <v>4841</v>
      </c>
    </row>
    <row r="276" spans="2:18" x14ac:dyDescent="0.2">
      <c r="B276">
        <v>276</v>
      </c>
      <c r="C276" t="s">
        <v>3610</v>
      </c>
      <c r="D276" t="s">
        <v>1584</v>
      </c>
      <c r="E276" t="s">
        <v>2088</v>
      </c>
      <c r="F276" t="s">
        <v>1328</v>
      </c>
      <c r="G276" t="s">
        <v>3846</v>
      </c>
      <c r="H276" t="s">
        <v>4600</v>
      </c>
      <c r="I276" t="s">
        <v>3098</v>
      </c>
      <c r="J276" t="s">
        <v>4098</v>
      </c>
      <c r="K276" t="s">
        <v>2345</v>
      </c>
      <c r="L276" t="s">
        <v>2850</v>
      </c>
      <c r="M276" t="s">
        <v>5091</v>
      </c>
      <c r="N276" t="s">
        <v>4359</v>
      </c>
      <c r="O276" t="s">
        <v>3365</v>
      </c>
      <c r="P276" t="s">
        <v>1836</v>
      </c>
      <c r="Q276" t="s">
        <v>2609</v>
      </c>
      <c r="R276" t="s">
        <v>4842</v>
      </c>
    </row>
    <row r="277" spans="2:18" x14ac:dyDescent="0.2">
      <c r="B277">
        <v>277</v>
      </c>
      <c r="C277" t="s">
        <v>3611</v>
      </c>
      <c r="D277" t="s">
        <v>1585</v>
      </c>
      <c r="E277" t="s">
        <v>2089</v>
      </c>
      <c r="F277" t="s">
        <v>1329</v>
      </c>
      <c r="G277" t="s">
        <v>3847</v>
      </c>
      <c r="H277" t="s">
        <v>4601</v>
      </c>
      <c r="I277" t="s">
        <v>3099</v>
      </c>
      <c r="J277" t="s">
        <v>4099</v>
      </c>
      <c r="K277" t="s">
        <v>2346</v>
      </c>
      <c r="L277" t="s">
        <v>2851</v>
      </c>
      <c r="M277" t="s">
        <v>5092</v>
      </c>
      <c r="N277" t="s">
        <v>4360</v>
      </c>
      <c r="O277" t="s">
        <v>3366</v>
      </c>
      <c r="P277" t="s">
        <v>1837</v>
      </c>
      <c r="Q277" t="s">
        <v>2610</v>
      </c>
      <c r="R277" t="s">
        <v>4843</v>
      </c>
    </row>
    <row r="278" spans="2:18" x14ac:dyDescent="0.2">
      <c r="B278">
        <v>278</v>
      </c>
      <c r="C278" t="s">
        <v>3612</v>
      </c>
      <c r="D278" t="s">
        <v>1586</v>
      </c>
      <c r="E278" t="s">
        <v>2090</v>
      </c>
      <c r="F278" t="s">
        <v>1330</v>
      </c>
      <c r="G278" t="s">
        <v>3848</v>
      </c>
      <c r="H278" t="s">
        <v>4602</v>
      </c>
      <c r="I278" t="s">
        <v>3100</v>
      </c>
      <c r="J278" t="s">
        <v>4100</v>
      </c>
      <c r="K278" t="s">
        <v>2347</v>
      </c>
      <c r="L278" t="s">
        <v>2852</v>
      </c>
      <c r="M278" t="s">
        <v>5093</v>
      </c>
      <c r="N278" t="s">
        <v>4361</v>
      </c>
      <c r="O278" t="s">
        <v>3367</v>
      </c>
      <c r="P278" t="s">
        <v>1838</v>
      </c>
      <c r="Q278" t="s">
        <v>2611</v>
      </c>
      <c r="R278" t="s">
        <v>4844</v>
      </c>
    </row>
    <row r="279" spans="2:18" x14ac:dyDescent="0.2">
      <c r="B279">
        <v>279</v>
      </c>
      <c r="C279" t="s">
        <v>3613</v>
      </c>
      <c r="D279" t="s">
        <v>1587</v>
      </c>
      <c r="E279" t="s">
        <v>2091</v>
      </c>
      <c r="F279" t="s">
        <v>1331</v>
      </c>
      <c r="G279" t="s">
        <v>3849</v>
      </c>
      <c r="H279" t="s">
        <v>4603</v>
      </c>
      <c r="I279" t="s">
        <v>3101</v>
      </c>
      <c r="J279" t="s">
        <v>4101</v>
      </c>
      <c r="K279" t="s">
        <v>2348</v>
      </c>
      <c r="L279" t="s">
        <v>2853</v>
      </c>
      <c r="M279" t="s">
        <v>5094</v>
      </c>
      <c r="N279" t="s">
        <v>4362</v>
      </c>
      <c r="O279" t="s">
        <v>3368</v>
      </c>
      <c r="P279" t="s">
        <v>1839</v>
      </c>
      <c r="Q279" t="s">
        <v>2612</v>
      </c>
      <c r="R279" t="s">
        <v>4845</v>
      </c>
    </row>
    <row r="280" spans="2:18" x14ac:dyDescent="0.2">
      <c r="B280">
        <v>280</v>
      </c>
      <c r="C280" t="s">
        <v>3614</v>
      </c>
      <c r="D280" t="s">
        <v>1588</v>
      </c>
      <c r="E280" t="s">
        <v>2092</v>
      </c>
      <c r="F280" t="s">
        <v>1332</v>
      </c>
      <c r="G280" t="s">
        <v>3850</v>
      </c>
      <c r="H280" t="s">
        <v>4604</v>
      </c>
      <c r="I280" t="s">
        <v>3102</v>
      </c>
      <c r="J280" t="s">
        <v>4021</v>
      </c>
      <c r="K280" t="s">
        <v>2349</v>
      </c>
      <c r="L280" t="s">
        <v>2854</v>
      </c>
      <c r="M280" t="s">
        <v>5095</v>
      </c>
      <c r="N280" t="s">
        <v>4363</v>
      </c>
      <c r="O280" t="s">
        <v>3369</v>
      </c>
      <c r="P280" t="s">
        <v>1840</v>
      </c>
      <c r="Q280" t="s">
        <v>2501</v>
      </c>
      <c r="R280" t="s">
        <v>4770</v>
      </c>
    </row>
    <row r="281" spans="2:18" x14ac:dyDescent="0.2">
      <c r="B281">
        <v>281</v>
      </c>
      <c r="C281" t="s">
        <v>956</v>
      </c>
      <c r="D281" t="s">
        <v>956</v>
      </c>
      <c r="E281" t="s">
        <v>2034</v>
      </c>
      <c r="F281" t="s">
        <v>956</v>
      </c>
      <c r="G281" t="s">
        <v>956</v>
      </c>
      <c r="H281" t="s">
        <v>951</v>
      </c>
      <c r="I281" t="s">
        <v>3103</v>
      </c>
      <c r="J281" t="s">
        <v>4102</v>
      </c>
      <c r="K281" t="s">
        <v>2350</v>
      </c>
      <c r="L281" t="s">
        <v>2707</v>
      </c>
      <c r="M281" t="s">
        <v>951</v>
      </c>
      <c r="N281" t="s">
        <v>4206</v>
      </c>
      <c r="O281" t="s">
        <v>3204</v>
      </c>
      <c r="P281" t="s">
        <v>1687</v>
      </c>
      <c r="Q281" t="s">
        <v>2457</v>
      </c>
      <c r="R281" t="s">
        <v>4797</v>
      </c>
    </row>
    <row r="282" spans="2:18" x14ac:dyDescent="0.2">
      <c r="B282">
        <v>282</v>
      </c>
      <c r="H282" t="s">
        <v>4398</v>
      </c>
    </row>
    <row r="283" spans="2:18" x14ac:dyDescent="0.2">
      <c r="B283">
        <v>283</v>
      </c>
      <c r="C283" t="s">
        <v>3615</v>
      </c>
      <c r="D283" t="s">
        <v>1424</v>
      </c>
      <c r="E283" t="s">
        <v>1933</v>
      </c>
      <c r="F283" t="s">
        <v>1333</v>
      </c>
      <c r="G283" t="s">
        <v>3707</v>
      </c>
      <c r="H283" t="s">
        <v>4605</v>
      </c>
      <c r="I283" t="s">
        <v>3104</v>
      </c>
      <c r="J283" t="s">
        <v>3943</v>
      </c>
      <c r="K283" t="s">
        <v>2351</v>
      </c>
      <c r="L283" t="s">
        <v>2703</v>
      </c>
      <c r="M283" t="s">
        <v>4941</v>
      </c>
      <c r="N283" t="s">
        <v>4364</v>
      </c>
      <c r="O283" t="s">
        <v>3199</v>
      </c>
      <c r="P283" t="s">
        <v>1798</v>
      </c>
      <c r="Q283" t="s">
        <v>2452</v>
      </c>
      <c r="R283" t="s">
        <v>4846</v>
      </c>
    </row>
    <row r="284" spans="2:18" x14ac:dyDescent="0.2">
      <c r="B284">
        <v>284</v>
      </c>
      <c r="C284" t="s">
        <v>3466</v>
      </c>
      <c r="D284" t="s">
        <v>1426</v>
      </c>
      <c r="E284" t="s">
        <v>1935</v>
      </c>
      <c r="F284" t="s">
        <v>1169</v>
      </c>
      <c r="G284" t="s">
        <v>3709</v>
      </c>
      <c r="H284" t="s">
        <v>4457</v>
      </c>
      <c r="I284" t="s">
        <v>3089</v>
      </c>
      <c r="J284" t="s">
        <v>3945</v>
      </c>
      <c r="K284" t="s">
        <v>2192</v>
      </c>
      <c r="L284" t="s">
        <v>2842</v>
      </c>
      <c r="M284" t="s">
        <v>4943</v>
      </c>
      <c r="N284" t="s">
        <v>4203</v>
      </c>
      <c r="O284" t="s">
        <v>3201</v>
      </c>
      <c r="P284" t="s">
        <v>1684</v>
      </c>
      <c r="Q284" t="s">
        <v>2454</v>
      </c>
      <c r="R284" t="s">
        <v>2454</v>
      </c>
    </row>
    <row r="285" spans="2:18" x14ac:dyDescent="0.2">
      <c r="B285">
        <v>285</v>
      </c>
      <c r="C285" t="s">
        <v>3616</v>
      </c>
      <c r="D285" t="s">
        <v>1589</v>
      </c>
      <c r="E285" t="s">
        <v>2093</v>
      </c>
      <c r="F285" t="s">
        <v>1334</v>
      </c>
      <c r="G285" t="s">
        <v>3851</v>
      </c>
      <c r="H285" t="s">
        <v>4606</v>
      </c>
      <c r="I285" t="s">
        <v>3105</v>
      </c>
      <c r="J285" t="s">
        <v>4103</v>
      </c>
      <c r="K285" t="s">
        <v>2352</v>
      </c>
      <c r="L285" t="s">
        <v>2855</v>
      </c>
      <c r="M285" t="s">
        <v>5096</v>
      </c>
      <c r="N285" t="s">
        <v>4365</v>
      </c>
      <c r="O285" t="s">
        <v>3370</v>
      </c>
      <c r="P285" t="s">
        <v>1841</v>
      </c>
      <c r="Q285" t="s">
        <v>2613</v>
      </c>
      <c r="R285" t="s">
        <v>4847</v>
      </c>
    </row>
    <row r="286" spans="2:18" x14ac:dyDescent="0.2">
      <c r="B286">
        <v>286</v>
      </c>
      <c r="C286" t="s">
        <v>3616</v>
      </c>
      <c r="D286" t="s">
        <v>1590</v>
      </c>
      <c r="E286" t="s">
        <v>950</v>
      </c>
      <c r="F286" t="s">
        <v>1229</v>
      </c>
      <c r="G286" t="s">
        <v>3711</v>
      </c>
      <c r="H286" t="s">
        <v>4607</v>
      </c>
      <c r="I286" t="s">
        <v>1590</v>
      </c>
      <c r="J286" t="s">
        <v>4104</v>
      </c>
      <c r="K286" t="s">
        <v>950</v>
      </c>
      <c r="L286" t="s">
        <v>2763</v>
      </c>
      <c r="M286" t="s">
        <v>5097</v>
      </c>
      <c r="N286" t="s">
        <v>4205</v>
      </c>
      <c r="O286" t="s">
        <v>3264</v>
      </c>
      <c r="P286" t="s">
        <v>1745</v>
      </c>
      <c r="Q286" t="s">
        <v>2456</v>
      </c>
      <c r="R286" t="s">
        <v>4848</v>
      </c>
    </row>
    <row r="287" spans="2:18" x14ac:dyDescent="0.2">
      <c r="B287">
        <v>287</v>
      </c>
      <c r="C287" t="s">
        <v>3617</v>
      </c>
      <c r="D287" t="s">
        <v>1591</v>
      </c>
      <c r="E287" t="s">
        <v>2094</v>
      </c>
      <c r="F287" t="s">
        <v>1193</v>
      </c>
      <c r="G287" t="s">
        <v>3852</v>
      </c>
      <c r="H287" t="s">
        <v>4608</v>
      </c>
      <c r="I287" t="s">
        <v>2974</v>
      </c>
      <c r="J287" t="s">
        <v>4105</v>
      </c>
      <c r="K287" t="s">
        <v>2353</v>
      </c>
      <c r="L287" t="s">
        <v>2856</v>
      </c>
      <c r="M287" t="s">
        <v>5098</v>
      </c>
      <c r="N287" t="s">
        <v>4366</v>
      </c>
      <c r="O287" t="s">
        <v>3371</v>
      </c>
      <c r="P287" t="s">
        <v>1709</v>
      </c>
      <c r="Q287" t="s">
        <v>2479</v>
      </c>
      <c r="R287" t="s">
        <v>4849</v>
      </c>
    </row>
    <row r="288" spans="2:18" x14ac:dyDescent="0.2">
      <c r="B288">
        <v>288</v>
      </c>
      <c r="C288" t="s">
        <v>3618</v>
      </c>
      <c r="D288" t="s">
        <v>1592</v>
      </c>
      <c r="E288" t="s">
        <v>2095</v>
      </c>
      <c r="F288" t="s">
        <v>1335</v>
      </c>
      <c r="G288" t="s">
        <v>3853</v>
      </c>
      <c r="H288" t="s">
        <v>4609</v>
      </c>
      <c r="I288" t="s">
        <v>3106</v>
      </c>
      <c r="J288" t="s">
        <v>4106</v>
      </c>
      <c r="K288" t="s">
        <v>2354</v>
      </c>
      <c r="L288" t="s">
        <v>2857</v>
      </c>
      <c r="M288" t="s">
        <v>5099</v>
      </c>
      <c r="N288" t="s">
        <v>4367</v>
      </c>
      <c r="O288" t="s">
        <v>3372</v>
      </c>
      <c r="P288" t="s">
        <v>1842</v>
      </c>
      <c r="Q288" t="s">
        <v>2614</v>
      </c>
      <c r="R288" t="s">
        <v>4850</v>
      </c>
    </row>
    <row r="289" spans="1:18" x14ac:dyDescent="0.2">
      <c r="B289">
        <v>289</v>
      </c>
      <c r="C289" t="s">
        <v>1336</v>
      </c>
      <c r="D289" t="s">
        <v>1593</v>
      </c>
      <c r="E289" t="s">
        <v>2096</v>
      </c>
      <c r="F289" t="s">
        <v>1336</v>
      </c>
      <c r="G289" t="s">
        <v>3854</v>
      </c>
      <c r="H289" t="s">
        <v>4610</v>
      </c>
      <c r="I289" t="s">
        <v>3107</v>
      </c>
      <c r="J289" t="s">
        <v>4107</v>
      </c>
      <c r="K289" t="s">
        <v>2355</v>
      </c>
      <c r="L289" t="s">
        <v>2858</v>
      </c>
      <c r="M289" t="s">
        <v>5100</v>
      </c>
      <c r="N289" t="s">
        <v>4368</v>
      </c>
      <c r="O289" t="s">
        <v>3373</v>
      </c>
      <c r="P289" t="s">
        <v>1843</v>
      </c>
      <c r="Q289" t="s">
        <v>2615</v>
      </c>
      <c r="R289" t="s">
        <v>4851</v>
      </c>
    </row>
    <row r="290" spans="1:18" x14ac:dyDescent="0.2">
      <c r="B290">
        <v>290</v>
      </c>
      <c r="H290" t="s">
        <v>4398</v>
      </c>
    </row>
    <row r="291" spans="1:18" x14ac:dyDescent="0.2">
      <c r="A291" t="s">
        <v>961</v>
      </c>
      <c r="B291">
        <v>291</v>
      </c>
      <c r="C291" t="s">
        <v>3619</v>
      </c>
      <c r="D291" t="s">
        <v>1594</v>
      </c>
      <c r="E291" t="s">
        <v>2097</v>
      </c>
      <c r="F291" t="s">
        <v>1337</v>
      </c>
      <c r="G291" t="s">
        <v>1594</v>
      </c>
      <c r="H291" t="s">
        <v>4482</v>
      </c>
      <c r="I291" t="s">
        <v>3108</v>
      </c>
      <c r="J291" t="s">
        <v>4108</v>
      </c>
      <c r="K291" t="s">
        <v>2356</v>
      </c>
      <c r="L291" t="s">
        <v>2859</v>
      </c>
      <c r="M291" t="s">
        <v>5101</v>
      </c>
      <c r="N291" t="s">
        <v>4375</v>
      </c>
      <c r="O291" t="s">
        <v>3374</v>
      </c>
      <c r="P291" t="s">
        <v>1844</v>
      </c>
      <c r="Q291" t="s">
        <v>2616</v>
      </c>
      <c r="R291" t="s">
        <v>4852</v>
      </c>
    </row>
    <row r="292" spans="1:18" x14ac:dyDescent="0.2">
      <c r="B292">
        <v>292</v>
      </c>
      <c r="C292" t="s">
        <v>3512</v>
      </c>
      <c r="D292" t="s">
        <v>1474</v>
      </c>
      <c r="E292" t="s">
        <v>1980</v>
      </c>
      <c r="F292" t="s">
        <v>1195</v>
      </c>
      <c r="G292" t="s">
        <v>1474</v>
      </c>
      <c r="H292" t="s">
        <v>4449</v>
      </c>
      <c r="I292" t="s">
        <v>2997</v>
      </c>
      <c r="J292" t="s">
        <v>4109</v>
      </c>
      <c r="K292" t="s">
        <v>1980</v>
      </c>
      <c r="L292" t="s">
        <v>2750</v>
      </c>
      <c r="M292" t="s">
        <v>2750</v>
      </c>
      <c r="N292" t="s">
        <v>4253</v>
      </c>
      <c r="O292" t="s">
        <v>3250</v>
      </c>
      <c r="P292" t="s">
        <v>1732</v>
      </c>
      <c r="Q292" t="s">
        <v>2503</v>
      </c>
      <c r="R292" t="s">
        <v>4748</v>
      </c>
    </row>
    <row r="293" spans="1:18" x14ac:dyDescent="0.2">
      <c r="B293">
        <v>293</v>
      </c>
      <c r="C293" t="s">
        <v>3418</v>
      </c>
      <c r="D293" t="s">
        <v>1595</v>
      </c>
      <c r="E293" t="s">
        <v>2098</v>
      </c>
      <c r="F293" t="s">
        <v>1185</v>
      </c>
      <c r="G293" t="s">
        <v>3855</v>
      </c>
      <c r="H293" t="s">
        <v>4484</v>
      </c>
      <c r="I293" t="s">
        <v>2902</v>
      </c>
      <c r="J293" t="s">
        <v>4110</v>
      </c>
      <c r="K293" t="s">
        <v>2357</v>
      </c>
      <c r="L293" t="s">
        <v>2720</v>
      </c>
      <c r="M293" t="s">
        <v>4958</v>
      </c>
      <c r="N293" t="s">
        <v>4369</v>
      </c>
      <c r="O293" t="s">
        <v>3219</v>
      </c>
      <c r="P293" t="s">
        <v>1702</v>
      </c>
      <c r="Q293" t="s">
        <v>2617</v>
      </c>
      <c r="R293" t="s">
        <v>4719</v>
      </c>
    </row>
    <row r="294" spans="1:18" x14ac:dyDescent="0.2">
      <c r="B294">
        <v>294</v>
      </c>
      <c r="C294" t="s">
        <v>3556</v>
      </c>
      <c r="D294" t="s">
        <v>1440</v>
      </c>
      <c r="E294" t="s">
        <v>2099</v>
      </c>
      <c r="F294" t="s">
        <v>1338</v>
      </c>
      <c r="G294" t="s">
        <v>3723</v>
      </c>
      <c r="H294" t="s">
        <v>4472</v>
      </c>
      <c r="I294" t="s">
        <v>3109</v>
      </c>
      <c r="J294" t="s">
        <v>4036</v>
      </c>
      <c r="K294" t="s">
        <v>2206</v>
      </c>
      <c r="L294" t="s">
        <v>2718</v>
      </c>
      <c r="M294" t="s">
        <v>4956</v>
      </c>
      <c r="N294" t="s">
        <v>4219</v>
      </c>
      <c r="O294" t="s">
        <v>3217</v>
      </c>
      <c r="P294" t="s">
        <v>1700</v>
      </c>
      <c r="Q294" t="s">
        <v>2470</v>
      </c>
      <c r="R294" t="s">
        <v>4784</v>
      </c>
    </row>
    <row r="295" spans="1:18" x14ac:dyDescent="0.2">
      <c r="B295">
        <v>295</v>
      </c>
      <c r="C295" t="s">
        <v>3413</v>
      </c>
      <c r="D295" t="s">
        <v>356</v>
      </c>
      <c r="E295" t="s">
        <v>2100</v>
      </c>
      <c r="F295" t="s">
        <v>1283</v>
      </c>
      <c r="G295" t="s">
        <v>3656</v>
      </c>
      <c r="H295" t="s">
        <v>4405</v>
      </c>
      <c r="I295" t="s">
        <v>3110</v>
      </c>
      <c r="J295" t="s">
        <v>4111</v>
      </c>
      <c r="K295" t="s">
        <v>2358</v>
      </c>
      <c r="L295" t="s">
        <v>2651</v>
      </c>
      <c r="M295" t="s">
        <v>4891</v>
      </c>
      <c r="N295" t="s">
        <v>4147</v>
      </c>
      <c r="O295" t="s">
        <v>3146</v>
      </c>
      <c r="P295" t="s">
        <v>1845</v>
      </c>
      <c r="Q295" t="s">
        <v>2398</v>
      </c>
      <c r="R295" t="s">
        <v>4651</v>
      </c>
    </row>
    <row r="296" spans="1:18" x14ac:dyDescent="0.2">
      <c r="B296">
        <v>296</v>
      </c>
      <c r="C296" t="s">
        <v>3620</v>
      </c>
      <c r="D296" t="s">
        <v>1379</v>
      </c>
      <c r="E296" t="s">
        <v>1881</v>
      </c>
      <c r="F296" t="s">
        <v>1339</v>
      </c>
      <c r="G296" t="s">
        <v>3856</v>
      </c>
      <c r="H296" t="s">
        <v>4611</v>
      </c>
      <c r="I296" t="s">
        <v>3111</v>
      </c>
      <c r="J296" t="s">
        <v>4112</v>
      </c>
      <c r="K296" t="s">
        <v>2141</v>
      </c>
      <c r="L296" t="s">
        <v>2652</v>
      </c>
      <c r="M296" t="s">
        <v>4892</v>
      </c>
      <c r="N296" t="s">
        <v>4148</v>
      </c>
      <c r="O296" t="s">
        <v>3147</v>
      </c>
      <c r="P296" t="s">
        <v>1846</v>
      </c>
      <c r="Q296" t="s">
        <v>2399</v>
      </c>
      <c r="R296" t="s">
        <v>4652</v>
      </c>
    </row>
    <row r="297" spans="1:18" x14ac:dyDescent="0.2">
      <c r="B297">
        <v>297</v>
      </c>
      <c r="C297" t="s">
        <v>3621</v>
      </c>
      <c r="D297" t="s">
        <v>1533</v>
      </c>
      <c r="E297" t="s">
        <v>2101</v>
      </c>
      <c r="F297" t="s">
        <v>1340</v>
      </c>
      <c r="G297" t="s">
        <v>3857</v>
      </c>
      <c r="H297" t="s">
        <v>4612</v>
      </c>
      <c r="I297" t="s">
        <v>3052</v>
      </c>
      <c r="J297" t="s">
        <v>4047</v>
      </c>
      <c r="K297" t="s">
        <v>2101</v>
      </c>
      <c r="L297" t="s">
        <v>2800</v>
      </c>
      <c r="M297" t="s">
        <v>5102</v>
      </c>
      <c r="N297" t="s">
        <v>4370</v>
      </c>
      <c r="O297" t="s">
        <v>3312</v>
      </c>
      <c r="P297" t="s">
        <v>1791</v>
      </c>
      <c r="Q297" t="s">
        <v>2618</v>
      </c>
      <c r="R297" t="s">
        <v>4853</v>
      </c>
    </row>
    <row r="298" spans="1:18" x14ac:dyDescent="0.2">
      <c r="A298" t="s">
        <v>962</v>
      </c>
      <c r="B298">
        <v>298</v>
      </c>
      <c r="C298" t="s">
        <v>3604</v>
      </c>
      <c r="D298" t="s">
        <v>1579</v>
      </c>
      <c r="E298" t="s">
        <v>2083</v>
      </c>
      <c r="F298" t="s">
        <v>1181</v>
      </c>
      <c r="G298" t="s">
        <v>3841</v>
      </c>
      <c r="H298" t="s">
        <v>4596</v>
      </c>
      <c r="I298" t="s">
        <v>3093</v>
      </c>
      <c r="J298" t="s">
        <v>4093</v>
      </c>
      <c r="K298" t="s">
        <v>2359</v>
      </c>
      <c r="L298" t="s">
        <v>2845</v>
      </c>
      <c r="M298" t="s">
        <v>5085</v>
      </c>
      <c r="N298" t="s">
        <v>4354</v>
      </c>
      <c r="O298" t="s">
        <v>3375</v>
      </c>
      <c r="P298" t="s">
        <v>1629</v>
      </c>
      <c r="Q298" t="s">
        <v>2604</v>
      </c>
      <c r="R298" t="s">
        <v>4837</v>
      </c>
    </row>
    <row r="299" spans="1:18" x14ac:dyDescent="0.2">
      <c r="B299">
        <v>299</v>
      </c>
      <c r="C299" t="s">
        <v>3512</v>
      </c>
      <c r="D299" t="s">
        <v>1474</v>
      </c>
      <c r="E299" t="s">
        <v>1980</v>
      </c>
      <c r="F299" t="s">
        <v>1195</v>
      </c>
      <c r="G299" t="s">
        <v>1474</v>
      </c>
      <c r="H299" t="s">
        <v>4449</v>
      </c>
      <c r="I299" t="s">
        <v>2997</v>
      </c>
      <c r="J299" t="s">
        <v>4109</v>
      </c>
      <c r="K299" t="s">
        <v>1980</v>
      </c>
      <c r="L299" t="s">
        <v>2750</v>
      </c>
      <c r="M299" t="s">
        <v>2750</v>
      </c>
      <c r="N299" t="s">
        <v>4253</v>
      </c>
      <c r="O299" t="s">
        <v>3250</v>
      </c>
      <c r="P299" t="s">
        <v>1732</v>
      </c>
      <c r="Q299" t="s">
        <v>2503</v>
      </c>
      <c r="R299" t="s">
        <v>4748</v>
      </c>
    </row>
    <row r="300" spans="1:18" x14ac:dyDescent="0.2">
      <c r="B300">
        <v>300</v>
      </c>
      <c r="C300" t="s">
        <v>3418</v>
      </c>
      <c r="D300" t="s">
        <v>1595</v>
      </c>
      <c r="E300" t="s">
        <v>2098</v>
      </c>
      <c r="F300" t="s">
        <v>1185</v>
      </c>
      <c r="G300" t="s">
        <v>3855</v>
      </c>
      <c r="H300" t="s">
        <v>4613</v>
      </c>
      <c r="I300" t="s">
        <v>2902</v>
      </c>
      <c r="J300" t="s">
        <v>4110</v>
      </c>
      <c r="K300" t="s">
        <v>2357</v>
      </c>
      <c r="L300" t="s">
        <v>2720</v>
      </c>
      <c r="M300" t="s">
        <v>4958</v>
      </c>
      <c r="N300" t="s">
        <v>4370</v>
      </c>
      <c r="O300" t="s">
        <v>3219</v>
      </c>
      <c r="P300" t="s">
        <v>1702</v>
      </c>
      <c r="Q300" t="s">
        <v>2617</v>
      </c>
      <c r="R300" t="s">
        <v>4719</v>
      </c>
    </row>
    <row r="301" spans="1:18" x14ac:dyDescent="0.2">
      <c r="B301">
        <v>301</v>
      </c>
      <c r="C301" t="s">
        <v>3556</v>
      </c>
      <c r="D301" t="s">
        <v>1440</v>
      </c>
      <c r="E301" t="s">
        <v>2099</v>
      </c>
      <c r="F301" t="s">
        <v>1338</v>
      </c>
      <c r="G301" t="s">
        <v>3723</v>
      </c>
      <c r="H301" t="s">
        <v>4472</v>
      </c>
      <c r="I301" t="s">
        <v>3109</v>
      </c>
      <c r="J301" t="s">
        <v>4036</v>
      </c>
      <c r="K301" t="s">
        <v>2206</v>
      </c>
      <c r="L301" t="s">
        <v>2718</v>
      </c>
      <c r="M301" t="s">
        <v>5103</v>
      </c>
      <c r="N301" t="s">
        <v>4219</v>
      </c>
      <c r="O301" t="s">
        <v>3217</v>
      </c>
      <c r="P301" t="s">
        <v>1700</v>
      </c>
      <c r="Q301" t="s">
        <v>2470</v>
      </c>
      <c r="R301" t="s">
        <v>4784</v>
      </c>
    </row>
    <row r="302" spans="1:18" x14ac:dyDescent="0.2">
      <c r="B302">
        <v>302</v>
      </c>
      <c r="C302" t="s">
        <v>3413</v>
      </c>
      <c r="D302" t="s">
        <v>356</v>
      </c>
      <c r="E302" t="s">
        <v>2102</v>
      </c>
      <c r="F302" t="s">
        <v>1283</v>
      </c>
      <c r="G302" t="s">
        <v>3656</v>
      </c>
      <c r="H302" t="s">
        <v>4485</v>
      </c>
      <c r="I302" t="s">
        <v>3110</v>
      </c>
      <c r="J302" t="s">
        <v>4111</v>
      </c>
      <c r="K302" t="s">
        <v>2358</v>
      </c>
      <c r="L302" t="s">
        <v>2651</v>
      </c>
      <c r="M302" t="s">
        <v>4891</v>
      </c>
      <c r="N302" t="s">
        <v>4147</v>
      </c>
      <c r="O302" t="s">
        <v>3146</v>
      </c>
      <c r="P302" t="s">
        <v>1845</v>
      </c>
      <c r="Q302" t="s">
        <v>2398</v>
      </c>
      <c r="R302" t="s">
        <v>4651</v>
      </c>
    </row>
    <row r="303" spans="1:18" x14ac:dyDescent="0.2">
      <c r="B303">
        <v>303</v>
      </c>
      <c r="C303" t="s">
        <v>3620</v>
      </c>
      <c r="D303" t="s">
        <v>1379</v>
      </c>
      <c r="E303" t="s">
        <v>1881</v>
      </c>
      <c r="F303" t="s">
        <v>1339</v>
      </c>
      <c r="G303" t="s">
        <v>3856</v>
      </c>
      <c r="H303" t="s">
        <v>4611</v>
      </c>
      <c r="I303" t="s">
        <v>3111</v>
      </c>
      <c r="J303" t="s">
        <v>4112</v>
      </c>
      <c r="K303" t="s">
        <v>2141</v>
      </c>
      <c r="L303" t="s">
        <v>2652</v>
      </c>
      <c r="M303" t="s">
        <v>4892</v>
      </c>
      <c r="N303" t="s">
        <v>4148</v>
      </c>
      <c r="O303" t="s">
        <v>3147</v>
      </c>
      <c r="P303" t="s">
        <v>1846</v>
      </c>
      <c r="Q303" t="s">
        <v>2399</v>
      </c>
      <c r="R303" t="s">
        <v>4652</v>
      </c>
    </row>
    <row r="304" spans="1:18" x14ac:dyDescent="0.2">
      <c r="B304">
        <v>304</v>
      </c>
      <c r="C304" t="s">
        <v>3622</v>
      </c>
      <c r="D304" t="s">
        <v>1596</v>
      </c>
      <c r="E304" t="s">
        <v>2103</v>
      </c>
      <c r="F304" t="s">
        <v>1341</v>
      </c>
      <c r="G304" t="s">
        <v>3722</v>
      </c>
      <c r="H304" t="s">
        <v>4614</v>
      </c>
      <c r="I304" t="s">
        <v>3112</v>
      </c>
      <c r="J304" t="s">
        <v>4113</v>
      </c>
      <c r="K304" t="s">
        <v>2205</v>
      </c>
      <c r="L304" t="s">
        <v>2717</v>
      </c>
      <c r="M304" t="s">
        <v>5104</v>
      </c>
      <c r="N304" t="s">
        <v>4218</v>
      </c>
      <c r="O304" t="s">
        <v>3376</v>
      </c>
      <c r="P304" t="s">
        <v>1847</v>
      </c>
      <c r="Q304" t="s">
        <v>2619</v>
      </c>
      <c r="R304" t="s">
        <v>4854</v>
      </c>
    </row>
    <row r="305" spans="1:18" x14ac:dyDescent="0.2">
      <c r="A305" t="s">
        <v>963</v>
      </c>
      <c r="B305">
        <v>305</v>
      </c>
      <c r="C305" t="s">
        <v>3623</v>
      </c>
      <c r="D305" t="s">
        <v>1597</v>
      </c>
      <c r="E305" t="s">
        <v>2104</v>
      </c>
      <c r="F305" t="s">
        <v>1342</v>
      </c>
      <c r="G305" t="s">
        <v>3858</v>
      </c>
      <c r="H305" t="s">
        <v>4615</v>
      </c>
      <c r="I305" t="s">
        <v>3113</v>
      </c>
      <c r="J305" t="s">
        <v>4114</v>
      </c>
      <c r="K305" t="s">
        <v>2360</v>
      </c>
      <c r="L305" t="s">
        <v>2860</v>
      </c>
      <c r="M305" t="s">
        <v>5105</v>
      </c>
      <c r="N305" t="s">
        <v>4371</v>
      </c>
      <c r="O305" t="s">
        <v>3377</v>
      </c>
      <c r="P305" t="s">
        <v>1848</v>
      </c>
      <c r="Q305" t="s">
        <v>2620</v>
      </c>
      <c r="R305" t="s">
        <v>4855</v>
      </c>
    </row>
    <row r="306" spans="1:18" x14ac:dyDescent="0.2">
      <c r="B306">
        <v>306</v>
      </c>
      <c r="H306" t="s">
        <v>4398</v>
      </c>
    </row>
    <row r="307" spans="1:18" x14ac:dyDescent="0.2">
      <c r="B307">
        <v>307</v>
      </c>
      <c r="D307" t="s">
        <v>1598</v>
      </c>
      <c r="E307" t="s">
        <v>2105</v>
      </c>
      <c r="F307" t="s">
        <v>1275</v>
      </c>
      <c r="G307" t="s">
        <v>3806</v>
      </c>
      <c r="H307" t="s">
        <v>4616</v>
      </c>
      <c r="I307" t="s">
        <v>3114</v>
      </c>
      <c r="J307" t="s">
        <v>4006</v>
      </c>
      <c r="K307" t="s">
        <v>2361</v>
      </c>
      <c r="L307" t="s">
        <v>2861</v>
      </c>
      <c r="M307" t="s">
        <v>5106</v>
      </c>
      <c r="N307" t="s">
        <v>4372</v>
      </c>
      <c r="O307" t="s">
        <v>3378</v>
      </c>
      <c r="P307" t="s">
        <v>1849</v>
      </c>
      <c r="Q307" t="s">
        <v>2621</v>
      </c>
      <c r="R307" t="s">
        <v>4856</v>
      </c>
    </row>
    <row r="308" spans="1:18" x14ac:dyDescent="0.2">
      <c r="B308">
        <v>308</v>
      </c>
      <c r="C308" t="s">
        <v>3624</v>
      </c>
      <c r="D308" t="s">
        <v>1599</v>
      </c>
      <c r="E308" t="s">
        <v>2106</v>
      </c>
      <c r="F308" t="s">
        <v>1343</v>
      </c>
      <c r="G308" t="s">
        <v>3859</v>
      </c>
      <c r="H308" t="s">
        <v>4617</v>
      </c>
      <c r="I308" t="s">
        <v>3115</v>
      </c>
      <c r="J308" t="s">
        <v>4115</v>
      </c>
      <c r="K308" t="s">
        <v>2362</v>
      </c>
      <c r="L308" t="s">
        <v>2862</v>
      </c>
      <c r="M308" t="s">
        <v>5107</v>
      </c>
      <c r="N308" t="s">
        <v>4373</v>
      </c>
      <c r="O308" t="s">
        <v>3379</v>
      </c>
      <c r="P308" t="s">
        <v>1850</v>
      </c>
      <c r="Q308" t="s">
        <v>2622</v>
      </c>
      <c r="R308" t="s">
        <v>4857</v>
      </c>
    </row>
    <row r="309" spans="1:18" x14ac:dyDescent="0.2">
      <c r="B309">
        <v>309</v>
      </c>
      <c r="C309" t="s">
        <v>3625</v>
      </c>
      <c r="D309" t="s">
        <v>1485</v>
      </c>
      <c r="E309" t="s">
        <v>1990</v>
      </c>
      <c r="F309" t="s">
        <v>1344</v>
      </c>
      <c r="G309" t="s">
        <v>3711</v>
      </c>
      <c r="H309" t="s">
        <v>4618</v>
      </c>
      <c r="I309" t="s">
        <v>3009</v>
      </c>
      <c r="J309" t="s">
        <v>3947</v>
      </c>
      <c r="K309" t="s">
        <v>2363</v>
      </c>
      <c r="L309" t="s">
        <v>2863</v>
      </c>
      <c r="M309" t="s">
        <v>4945</v>
      </c>
      <c r="N309" t="s">
        <v>4205</v>
      </c>
      <c r="O309" t="s">
        <v>3380</v>
      </c>
      <c r="P309" t="s">
        <v>1745</v>
      </c>
      <c r="Q309" t="s">
        <v>2623</v>
      </c>
      <c r="R309" t="s">
        <v>4848</v>
      </c>
    </row>
    <row r="310" spans="1:18" x14ac:dyDescent="0.2">
      <c r="B310">
        <v>310</v>
      </c>
      <c r="C310" t="s">
        <v>3460</v>
      </c>
      <c r="D310" t="s">
        <v>1421</v>
      </c>
      <c r="E310" t="s">
        <v>1928</v>
      </c>
      <c r="F310" t="s">
        <v>1163</v>
      </c>
      <c r="G310" t="s">
        <v>3704</v>
      </c>
      <c r="H310" t="s">
        <v>4619</v>
      </c>
      <c r="I310" t="s">
        <v>2946</v>
      </c>
      <c r="J310" t="s">
        <v>3938</v>
      </c>
      <c r="K310" t="s">
        <v>2187</v>
      </c>
      <c r="L310" t="s">
        <v>2864</v>
      </c>
      <c r="M310" t="s">
        <v>4937</v>
      </c>
      <c r="N310" t="s">
        <v>4374</v>
      </c>
      <c r="O310" t="s">
        <v>3194</v>
      </c>
      <c r="P310" t="s">
        <v>1678</v>
      </c>
      <c r="Q310" t="s">
        <v>2624</v>
      </c>
      <c r="R310" t="s">
        <v>4697</v>
      </c>
    </row>
    <row r="311" spans="1:18" x14ac:dyDescent="0.2">
      <c r="B311">
        <v>311</v>
      </c>
      <c r="C311" t="s">
        <v>3626</v>
      </c>
      <c r="D311" t="s">
        <v>1600</v>
      </c>
      <c r="E311" t="s">
        <v>1959</v>
      </c>
      <c r="F311" t="s">
        <v>1193</v>
      </c>
      <c r="G311" t="s">
        <v>3732</v>
      </c>
      <c r="H311" t="s">
        <v>4620</v>
      </c>
      <c r="I311" t="s">
        <v>3116</v>
      </c>
      <c r="J311" t="s">
        <v>4116</v>
      </c>
      <c r="K311" t="s">
        <v>2364</v>
      </c>
      <c r="L311" t="s">
        <v>2865</v>
      </c>
      <c r="M311" t="s">
        <v>5108</v>
      </c>
      <c r="N311" t="s">
        <v>4228</v>
      </c>
      <c r="O311" t="s">
        <v>3381</v>
      </c>
      <c r="P311" t="s">
        <v>1709</v>
      </c>
      <c r="Q311" t="s">
        <v>2479</v>
      </c>
      <c r="R311" t="s">
        <v>4858</v>
      </c>
    </row>
    <row r="312" spans="1:18" x14ac:dyDescent="0.2">
      <c r="B312">
        <v>312</v>
      </c>
      <c r="H312" t="s">
        <v>4398</v>
      </c>
    </row>
    <row r="313" spans="1:18" x14ac:dyDescent="0.2">
      <c r="B313">
        <v>313</v>
      </c>
      <c r="H313" t="s">
        <v>4398</v>
      </c>
    </row>
    <row r="314" spans="1:18" x14ac:dyDescent="0.2">
      <c r="A314" t="s">
        <v>964</v>
      </c>
      <c r="B314">
        <v>314</v>
      </c>
      <c r="C314" t="s">
        <v>3559</v>
      </c>
      <c r="D314" t="s">
        <v>1601</v>
      </c>
      <c r="E314" t="s">
        <v>2107</v>
      </c>
      <c r="F314" t="s">
        <v>1345</v>
      </c>
      <c r="G314" t="s">
        <v>3860</v>
      </c>
      <c r="H314" t="s">
        <v>4621</v>
      </c>
      <c r="I314" t="s">
        <v>3117</v>
      </c>
      <c r="J314" t="s">
        <v>4117</v>
      </c>
      <c r="K314" t="s">
        <v>2365</v>
      </c>
      <c r="L314" t="s">
        <v>2866</v>
      </c>
      <c r="M314" t="s">
        <v>5109</v>
      </c>
      <c r="N314" t="s">
        <v>4375</v>
      </c>
      <c r="O314" t="s">
        <v>3382</v>
      </c>
      <c r="P314" t="s">
        <v>1851</v>
      </c>
      <c r="Q314" t="s">
        <v>2625</v>
      </c>
      <c r="R314" t="s">
        <v>4859</v>
      </c>
    </row>
    <row r="315" spans="1:18" x14ac:dyDescent="0.2">
      <c r="B315">
        <v>315</v>
      </c>
      <c r="H315" t="s">
        <v>4398</v>
      </c>
    </row>
    <row r="316" spans="1:18" x14ac:dyDescent="0.2">
      <c r="B316">
        <v>316</v>
      </c>
      <c r="C316" t="s">
        <v>3558</v>
      </c>
      <c r="D316" t="s">
        <v>1522</v>
      </c>
      <c r="E316" t="s">
        <v>2023</v>
      </c>
      <c r="F316" t="s">
        <v>1346</v>
      </c>
      <c r="G316" t="s">
        <v>3798</v>
      </c>
      <c r="H316" t="s">
        <v>4587</v>
      </c>
      <c r="I316" t="s">
        <v>3042</v>
      </c>
      <c r="J316" t="s">
        <v>4037</v>
      </c>
      <c r="K316" t="s">
        <v>2286</v>
      </c>
      <c r="L316" t="s">
        <v>2867</v>
      </c>
      <c r="M316" t="s">
        <v>5032</v>
      </c>
      <c r="N316" t="s">
        <v>4300</v>
      </c>
      <c r="O316" t="s">
        <v>3383</v>
      </c>
      <c r="P316" t="s">
        <v>1782</v>
      </c>
      <c r="Q316" t="s">
        <v>2547</v>
      </c>
      <c r="R316" t="s">
        <v>4860</v>
      </c>
    </row>
    <row r="317" spans="1:18" x14ac:dyDescent="0.2">
      <c r="B317">
        <v>317</v>
      </c>
      <c r="C317" t="s">
        <v>3627</v>
      </c>
      <c r="D317" t="s">
        <v>1602</v>
      </c>
      <c r="E317" t="s">
        <v>2108</v>
      </c>
      <c r="F317" t="s">
        <v>1317</v>
      </c>
      <c r="G317" t="s">
        <v>3861</v>
      </c>
      <c r="H317" t="s">
        <v>4622</v>
      </c>
      <c r="I317" t="s">
        <v>3118</v>
      </c>
      <c r="J317" t="s">
        <v>4118</v>
      </c>
      <c r="K317" t="s">
        <v>2366</v>
      </c>
      <c r="L317" t="s">
        <v>2868</v>
      </c>
      <c r="M317" t="s">
        <v>5008</v>
      </c>
      <c r="N317" t="s">
        <v>4376</v>
      </c>
      <c r="O317" t="s">
        <v>3384</v>
      </c>
      <c r="P317" t="s">
        <v>1852</v>
      </c>
      <c r="Q317" t="s">
        <v>2525</v>
      </c>
      <c r="R317" t="s">
        <v>4861</v>
      </c>
    </row>
    <row r="318" spans="1:18" x14ac:dyDescent="0.2">
      <c r="B318">
        <v>318</v>
      </c>
      <c r="C318" t="s">
        <v>3559</v>
      </c>
      <c r="D318" t="s">
        <v>1523</v>
      </c>
      <c r="E318" t="s">
        <v>2109</v>
      </c>
      <c r="F318" t="s">
        <v>1267</v>
      </c>
      <c r="G318" t="s">
        <v>3862</v>
      </c>
      <c r="H318" t="s">
        <v>4482</v>
      </c>
      <c r="I318" t="s">
        <v>3061</v>
      </c>
      <c r="J318" t="s">
        <v>4108</v>
      </c>
      <c r="K318" t="s">
        <v>2287</v>
      </c>
      <c r="L318" t="s">
        <v>2792</v>
      </c>
      <c r="M318" t="s">
        <v>5033</v>
      </c>
      <c r="N318" t="s">
        <v>4375</v>
      </c>
      <c r="O318" t="s">
        <v>3385</v>
      </c>
      <c r="P318" t="s">
        <v>1783</v>
      </c>
      <c r="Q318" t="s">
        <v>2626</v>
      </c>
      <c r="R318" t="s">
        <v>4786</v>
      </c>
    </row>
    <row r="319" spans="1:18" x14ac:dyDescent="0.2">
      <c r="B319">
        <v>319</v>
      </c>
      <c r="C319" t="s">
        <v>3466</v>
      </c>
      <c r="D319" t="s">
        <v>1426</v>
      </c>
      <c r="E319" t="s">
        <v>1935</v>
      </c>
      <c r="F319" t="s">
        <v>1169</v>
      </c>
      <c r="G319" t="s">
        <v>3709</v>
      </c>
      <c r="H319" t="s">
        <v>4457</v>
      </c>
      <c r="I319" t="s">
        <v>3089</v>
      </c>
      <c r="J319" t="s">
        <v>3945</v>
      </c>
      <c r="K319" t="s">
        <v>1935</v>
      </c>
      <c r="L319" t="s">
        <v>2869</v>
      </c>
      <c r="M319" t="s">
        <v>4943</v>
      </c>
      <c r="N319" t="s">
        <v>4203</v>
      </c>
      <c r="O319" t="s">
        <v>3201</v>
      </c>
      <c r="P319" t="s">
        <v>1684</v>
      </c>
      <c r="Q319" t="s">
        <v>2454</v>
      </c>
      <c r="R319" t="s">
        <v>2454</v>
      </c>
    </row>
    <row r="320" spans="1:18" x14ac:dyDescent="0.2">
      <c r="B320">
        <v>320</v>
      </c>
      <c r="C320" t="s">
        <v>3597</v>
      </c>
      <c r="D320" t="s">
        <v>1572</v>
      </c>
      <c r="E320" t="s">
        <v>2110</v>
      </c>
      <c r="F320" t="s">
        <v>1347</v>
      </c>
      <c r="G320" t="s">
        <v>3833</v>
      </c>
      <c r="H320" t="s">
        <v>4623</v>
      </c>
      <c r="I320" t="s">
        <v>3119</v>
      </c>
      <c r="J320" t="s">
        <v>4086</v>
      </c>
      <c r="K320" t="s">
        <v>2334</v>
      </c>
      <c r="L320" t="s">
        <v>2837</v>
      </c>
      <c r="M320" t="s">
        <v>5110</v>
      </c>
      <c r="N320" t="s">
        <v>4377</v>
      </c>
      <c r="O320" t="s">
        <v>3353</v>
      </c>
      <c r="P320" t="s">
        <v>1826</v>
      </c>
      <c r="Q320" t="s">
        <v>2627</v>
      </c>
      <c r="R320" t="s">
        <v>4862</v>
      </c>
    </row>
    <row r="321" spans="1:18" x14ac:dyDescent="0.2">
      <c r="B321">
        <v>321</v>
      </c>
      <c r="C321" t="s">
        <v>3627</v>
      </c>
      <c r="D321" t="s">
        <v>427</v>
      </c>
      <c r="E321" t="s">
        <v>2108</v>
      </c>
      <c r="F321" t="s">
        <v>1317</v>
      </c>
      <c r="G321" t="s">
        <v>3861</v>
      </c>
      <c r="H321" t="s">
        <v>4398</v>
      </c>
      <c r="I321" t="s">
        <v>3120</v>
      </c>
      <c r="J321" t="s">
        <v>4119</v>
      </c>
      <c r="K321" t="s">
        <v>2367</v>
      </c>
      <c r="L321" t="s">
        <v>2868</v>
      </c>
      <c r="M321" t="s">
        <v>5008</v>
      </c>
      <c r="N321" t="s">
        <v>4376</v>
      </c>
      <c r="O321" t="s">
        <v>3384</v>
      </c>
      <c r="P321" t="s">
        <v>427</v>
      </c>
      <c r="Q321" t="s">
        <v>2525</v>
      </c>
      <c r="R321" t="s">
        <v>4861</v>
      </c>
    </row>
    <row r="322" spans="1:18" x14ac:dyDescent="0.2">
      <c r="B322">
        <v>322</v>
      </c>
      <c r="C322" t="s">
        <v>3628</v>
      </c>
      <c r="D322" t="s">
        <v>1603</v>
      </c>
      <c r="E322" t="s">
        <v>2111</v>
      </c>
      <c r="F322" t="s">
        <v>1348</v>
      </c>
      <c r="G322" t="s">
        <v>3863</v>
      </c>
      <c r="H322" t="s">
        <v>4624</v>
      </c>
      <c r="I322" t="s">
        <v>3121</v>
      </c>
      <c r="J322" t="s">
        <v>4120</v>
      </c>
      <c r="K322" t="s">
        <v>2368</v>
      </c>
      <c r="L322" t="s">
        <v>2793</v>
      </c>
      <c r="M322" t="s">
        <v>5111</v>
      </c>
      <c r="N322" t="s">
        <v>4378</v>
      </c>
      <c r="O322" t="s">
        <v>3326</v>
      </c>
      <c r="P322" t="s">
        <v>1853</v>
      </c>
      <c r="Q322" t="s">
        <v>2549</v>
      </c>
      <c r="R322" t="s">
        <v>4863</v>
      </c>
    </row>
    <row r="323" spans="1:18" x14ac:dyDescent="0.2">
      <c r="B323">
        <v>323</v>
      </c>
      <c r="C323" t="s">
        <v>3629</v>
      </c>
      <c r="D323" t="s">
        <v>1604</v>
      </c>
      <c r="E323" t="s">
        <v>1349</v>
      </c>
      <c r="F323" t="s">
        <v>1349</v>
      </c>
      <c r="G323" t="s">
        <v>1604</v>
      </c>
      <c r="H323" t="s">
        <v>4625</v>
      </c>
      <c r="I323" t="s">
        <v>524</v>
      </c>
      <c r="J323" t="s">
        <v>1604</v>
      </c>
      <c r="K323" t="s">
        <v>2369</v>
      </c>
      <c r="L323" t="s">
        <v>2870</v>
      </c>
      <c r="M323" t="s">
        <v>5112</v>
      </c>
      <c r="N323" t="s">
        <v>4306</v>
      </c>
      <c r="O323" t="s">
        <v>3386</v>
      </c>
      <c r="P323" t="s">
        <v>1854</v>
      </c>
      <c r="Q323" t="s">
        <v>2554</v>
      </c>
      <c r="R323" t="s">
        <v>4792</v>
      </c>
    </row>
    <row r="324" spans="1:18" x14ac:dyDescent="0.2">
      <c r="B324">
        <v>324</v>
      </c>
      <c r="C324" t="s">
        <v>3630</v>
      </c>
      <c r="D324" t="s">
        <v>1605</v>
      </c>
      <c r="E324" t="s">
        <v>2112</v>
      </c>
      <c r="F324" t="s">
        <v>1350</v>
      </c>
      <c r="G324" t="s">
        <v>3864</v>
      </c>
      <c r="H324" t="s">
        <v>4626</v>
      </c>
      <c r="I324" t="s">
        <v>3122</v>
      </c>
      <c r="J324" t="s">
        <v>4121</v>
      </c>
      <c r="K324" t="s">
        <v>2370</v>
      </c>
      <c r="L324" t="s">
        <v>2871</v>
      </c>
      <c r="M324" t="s">
        <v>5113</v>
      </c>
      <c r="N324" t="s">
        <v>4379</v>
      </c>
      <c r="O324" t="s">
        <v>3387</v>
      </c>
      <c r="P324" t="s">
        <v>1855</v>
      </c>
      <c r="Q324" t="s">
        <v>2628</v>
      </c>
      <c r="R324" t="s">
        <v>4864</v>
      </c>
    </row>
    <row r="325" spans="1:18" x14ac:dyDescent="0.2">
      <c r="B325">
        <v>325</v>
      </c>
      <c r="H325" t="s">
        <v>4398</v>
      </c>
    </row>
    <row r="326" spans="1:18" x14ac:dyDescent="0.2">
      <c r="A326" t="s">
        <v>965</v>
      </c>
      <c r="B326">
        <v>326</v>
      </c>
      <c r="C326" t="s">
        <v>3631</v>
      </c>
      <c r="D326" t="s">
        <v>1606</v>
      </c>
      <c r="E326" t="s">
        <v>2113</v>
      </c>
      <c r="F326" t="s">
        <v>1351</v>
      </c>
      <c r="G326" t="s">
        <v>3865</v>
      </c>
      <c r="H326" t="s">
        <v>4627</v>
      </c>
      <c r="I326" t="s">
        <v>3123</v>
      </c>
      <c r="J326" t="s">
        <v>4122</v>
      </c>
      <c r="K326" t="s">
        <v>2371</v>
      </c>
      <c r="L326" t="s">
        <v>2872</v>
      </c>
      <c r="M326" t="s">
        <v>5114</v>
      </c>
      <c r="N326" t="s">
        <v>4380</v>
      </c>
      <c r="O326" t="s">
        <v>3388</v>
      </c>
      <c r="P326" t="s">
        <v>1856</v>
      </c>
      <c r="Q326" t="s">
        <v>2629</v>
      </c>
      <c r="R326" t="s">
        <v>4865</v>
      </c>
    </row>
    <row r="327" spans="1:18" x14ac:dyDescent="0.2">
      <c r="B327">
        <v>327</v>
      </c>
      <c r="H327" t="s">
        <v>4398</v>
      </c>
    </row>
    <row r="328" spans="1:18" x14ac:dyDescent="0.2">
      <c r="B328">
        <v>328</v>
      </c>
      <c r="C328" t="s">
        <v>3632</v>
      </c>
      <c r="D328" t="s">
        <v>1607</v>
      </c>
      <c r="E328" t="s">
        <v>2114</v>
      </c>
      <c r="F328" t="s">
        <v>1352</v>
      </c>
      <c r="G328" t="s">
        <v>3866</v>
      </c>
      <c r="H328" t="s">
        <v>4628</v>
      </c>
      <c r="I328" t="s">
        <v>3046</v>
      </c>
      <c r="J328" t="s">
        <v>4123</v>
      </c>
      <c r="K328" t="s">
        <v>2372</v>
      </c>
      <c r="L328" t="s">
        <v>2873</v>
      </c>
      <c r="M328" t="s">
        <v>5115</v>
      </c>
      <c r="N328" t="s">
        <v>4381</v>
      </c>
      <c r="O328" t="s">
        <v>3389</v>
      </c>
      <c r="P328" t="s">
        <v>1857</v>
      </c>
      <c r="Q328" t="s">
        <v>2630</v>
      </c>
      <c r="R328" t="s">
        <v>4866</v>
      </c>
    </row>
    <row r="329" spans="1:18" x14ac:dyDescent="0.2">
      <c r="B329">
        <v>329</v>
      </c>
      <c r="C329" t="s">
        <v>3633</v>
      </c>
      <c r="D329" t="s">
        <v>1608</v>
      </c>
      <c r="E329" t="s">
        <v>2115</v>
      </c>
      <c r="F329" t="s">
        <v>1353</v>
      </c>
      <c r="G329" t="s">
        <v>3867</v>
      </c>
      <c r="H329" t="s">
        <v>4629</v>
      </c>
      <c r="I329" t="s">
        <v>3124</v>
      </c>
      <c r="J329" t="s">
        <v>4124</v>
      </c>
      <c r="K329" t="s">
        <v>2373</v>
      </c>
      <c r="L329" t="s">
        <v>2874</v>
      </c>
      <c r="M329" t="s">
        <v>5116</v>
      </c>
      <c r="N329" t="s">
        <v>4382</v>
      </c>
      <c r="O329" t="s">
        <v>3390</v>
      </c>
      <c r="P329" t="s">
        <v>1858</v>
      </c>
      <c r="Q329" t="s">
        <v>2631</v>
      </c>
      <c r="R329" t="s">
        <v>4867</v>
      </c>
    </row>
    <row r="330" spans="1:18" x14ac:dyDescent="0.2">
      <c r="B330">
        <v>330</v>
      </c>
      <c r="C330" t="s">
        <v>3634</v>
      </c>
      <c r="D330" t="s">
        <v>1609</v>
      </c>
      <c r="E330" t="s">
        <v>2116</v>
      </c>
      <c r="F330" t="s">
        <v>1354</v>
      </c>
      <c r="G330" t="s">
        <v>3868</v>
      </c>
      <c r="H330" t="s">
        <v>4630</v>
      </c>
      <c r="I330" t="s">
        <v>3125</v>
      </c>
      <c r="J330" t="s">
        <v>4125</v>
      </c>
      <c r="K330" t="s">
        <v>2374</v>
      </c>
      <c r="L330" t="s">
        <v>2875</v>
      </c>
      <c r="M330" t="s">
        <v>5117</v>
      </c>
      <c r="N330" t="s">
        <v>4383</v>
      </c>
      <c r="O330" t="s">
        <v>3391</v>
      </c>
      <c r="P330" t="s">
        <v>1859</v>
      </c>
      <c r="Q330" t="s">
        <v>2632</v>
      </c>
      <c r="R330" t="s">
        <v>4868</v>
      </c>
    </row>
    <row r="331" spans="1:18" x14ac:dyDescent="0.2">
      <c r="B331">
        <v>331</v>
      </c>
      <c r="H331" t="s">
        <v>4398</v>
      </c>
    </row>
    <row r="332" spans="1:18" x14ac:dyDescent="0.2">
      <c r="A332" t="s">
        <v>966</v>
      </c>
      <c r="B332">
        <v>332</v>
      </c>
      <c r="C332" t="s">
        <v>3635</v>
      </c>
      <c r="D332" t="s">
        <v>1610</v>
      </c>
      <c r="E332" t="s">
        <v>2117</v>
      </c>
      <c r="F332" t="s">
        <v>1355</v>
      </c>
      <c r="G332" t="s">
        <v>3869</v>
      </c>
      <c r="H332" t="s">
        <v>4625</v>
      </c>
      <c r="I332" t="s">
        <v>3126</v>
      </c>
      <c r="J332" t="s">
        <v>4126</v>
      </c>
      <c r="K332" t="s">
        <v>2375</v>
      </c>
      <c r="L332" t="s">
        <v>2668</v>
      </c>
      <c r="M332" t="s">
        <v>5039</v>
      </c>
      <c r="N332" t="s">
        <v>4384</v>
      </c>
      <c r="O332" t="s">
        <v>3392</v>
      </c>
      <c r="P332" t="s">
        <v>1854</v>
      </c>
      <c r="Q332" t="s">
        <v>2554</v>
      </c>
      <c r="R332" t="s">
        <v>4681</v>
      </c>
    </row>
    <row r="333" spans="1:18" x14ac:dyDescent="0.2">
      <c r="B333">
        <v>333</v>
      </c>
      <c r="H333" t="s">
        <v>4398</v>
      </c>
    </row>
    <row r="334" spans="1:18" x14ac:dyDescent="0.2">
      <c r="B334">
        <v>334</v>
      </c>
      <c r="C334" t="s">
        <v>3636</v>
      </c>
      <c r="D334" t="s">
        <v>1611</v>
      </c>
      <c r="E334" t="s">
        <v>2118</v>
      </c>
      <c r="F334" t="s">
        <v>1356</v>
      </c>
      <c r="G334" t="s">
        <v>3870</v>
      </c>
      <c r="H334" t="s">
        <v>4631</v>
      </c>
      <c r="I334" t="s">
        <v>3127</v>
      </c>
      <c r="J334" t="s">
        <v>4127</v>
      </c>
      <c r="L334" t="s">
        <v>2876</v>
      </c>
      <c r="M334" t="s">
        <v>5118</v>
      </c>
      <c r="N334" t="s">
        <v>4385</v>
      </c>
      <c r="O334" t="s">
        <v>3393</v>
      </c>
      <c r="P334" t="s">
        <v>1860</v>
      </c>
      <c r="Q334" t="s">
        <v>2633</v>
      </c>
      <c r="R334" t="s">
        <v>4869</v>
      </c>
    </row>
    <row r="335" spans="1:18" x14ac:dyDescent="0.2">
      <c r="B335">
        <v>335</v>
      </c>
      <c r="C335" t="s">
        <v>3637</v>
      </c>
      <c r="D335" t="s">
        <v>967</v>
      </c>
      <c r="E335" t="s">
        <v>2119</v>
      </c>
      <c r="F335" t="s">
        <v>967</v>
      </c>
      <c r="G335" t="s">
        <v>3871</v>
      </c>
      <c r="H335" t="s">
        <v>4632</v>
      </c>
      <c r="I335" t="s">
        <v>967</v>
      </c>
      <c r="J335" t="s">
        <v>4128</v>
      </c>
      <c r="K335" t="s">
        <v>2376</v>
      </c>
      <c r="L335" t="s">
        <v>2877</v>
      </c>
      <c r="M335" t="s">
        <v>5119</v>
      </c>
      <c r="N335" t="s">
        <v>4386</v>
      </c>
      <c r="O335" t="s">
        <v>3394</v>
      </c>
      <c r="P335" t="s">
        <v>1861</v>
      </c>
      <c r="Q335" t="s">
        <v>2634</v>
      </c>
      <c r="R335" t="s">
        <v>4870</v>
      </c>
    </row>
    <row r="336" spans="1:18" x14ac:dyDescent="0.2">
      <c r="A336" t="s">
        <v>968</v>
      </c>
      <c r="B336">
        <v>336</v>
      </c>
      <c r="C336" t="s">
        <v>3638</v>
      </c>
      <c r="D336" t="s">
        <v>1395</v>
      </c>
      <c r="E336" t="s">
        <v>2120</v>
      </c>
      <c r="F336" t="s">
        <v>1216</v>
      </c>
      <c r="G336" t="s">
        <v>3674</v>
      </c>
      <c r="H336" t="s">
        <v>4422</v>
      </c>
      <c r="I336" t="s">
        <v>3128</v>
      </c>
      <c r="J336" t="s">
        <v>4129</v>
      </c>
      <c r="K336" t="s">
        <v>2377</v>
      </c>
      <c r="L336" t="s">
        <v>2878</v>
      </c>
      <c r="M336" t="s">
        <v>5120</v>
      </c>
      <c r="N336" t="s">
        <v>4387</v>
      </c>
      <c r="O336" t="s">
        <v>3164</v>
      </c>
      <c r="P336" t="s">
        <v>1862</v>
      </c>
      <c r="Q336" t="s">
        <v>2635</v>
      </c>
      <c r="R336" t="s">
        <v>4871</v>
      </c>
    </row>
    <row r="337" spans="1:18" x14ac:dyDescent="0.2">
      <c r="B337">
        <v>337</v>
      </c>
      <c r="H337" t="s">
        <v>4398</v>
      </c>
      <c r="K337" t="s">
        <v>2157</v>
      </c>
    </row>
    <row r="338" spans="1:18" x14ac:dyDescent="0.2">
      <c r="B338">
        <v>338</v>
      </c>
      <c r="C338" t="s">
        <v>3639</v>
      </c>
      <c r="D338" t="s">
        <v>1530</v>
      </c>
      <c r="E338" t="s">
        <v>2031</v>
      </c>
      <c r="F338" t="s">
        <v>1357</v>
      </c>
      <c r="G338" t="s">
        <v>3872</v>
      </c>
      <c r="H338" t="s">
        <v>4633</v>
      </c>
      <c r="I338" t="s">
        <v>3049</v>
      </c>
      <c r="J338" t="s">
        <v>4130</v>
      </c>
      <c r="K338" t="s">
        <v>2378</v>
      </c>
      <c r="L338" t="s">
        <v>2879</v>
      </c>
      <c r="M338" t="s">
        <v>5121</v>
      </c>
      <c r="N338" t="s">
        <v>4388</v>
      </c>
      <c r="O338" t="s">
        <v>3395</v>
      </c>
      <c r="P338" t="s">
        <v>1530</v>
      </c>
      <c r="Q338" t="s">
        <v>2555</v>
      </c>
      <c r="R338" t="s">
        <v>4872</v>
      </c>
    </row>
    <row r="339" spans="1:18" x14ac:dyDescent="0.2">
      <c r="A339" t="s">
        <v>969</v>
      </c>
      <c r="B339">
        <v>339</v>
      </c>
      <c r="C339" t="s">
        <v>3640</v>
      </c>
      <c r="D339" t="s">
        <v>1612</v>
      </c>
      <c r="E339" t="s">
        <v>2121</v>
      </c>
      <c r="F339" t="s">
        <v>1358</v>
      </c>
      <c r="G339" t="s">
        <v>3873</v>
      </c>
      <c r="H339" t="s">
        <v>4634</v>
      </c>
      <c r="I339" t="s">
        <v>3129</v>
      </c>
      <c r="J339" t="s">
        <v>4131</v>
      </c>
      <c r="K339" t="s">
        <v>2379</v>
      </c>
      <c r="L339" t="s">
        <v>2880</v>
      </c>
      <c r="M339" t="s">
        <v>5122</v>
      </c>
      <c r="N339" t="s">
        <v>4389</v>
      </c>
      <c r="O339" t="s">
        <v>3396</v>
      </c>
      <c r="P339" t="s">
        <v>1863</v>
      </c>
      <c r="Q339" t="s">
        <v>2636</v>
      </c>
      <c r="R339" t="s">
        <v>4873</v>
      </c>
    </row>
    <row r="340" spans="1:18" x14ac:dyDescent="0.2">
      <c r="B340">
        <v>340</v>
      </c>
      <c r="H340" t="s">
        <v>4398</v>
      </c>
    </row>
    <row r="341" spans="1:18" x14ac:dyDescent="0.2">
      <c r="B341">
        <v>341</v>
      </c>
      <c r="C341" t="s">
        <v>3641</v>
      </c>
      <c r="D341" t="s">
        <v>1613</v>
      </c>
      <c r="E341" t="s">
        <v>2122</v>
      </c>
      <c r="F341" t="s">
        <v>1359</v>
      </c>
      <c r="G341" t="s">
        <v>3874</v>
      </c>
      <c r="H341" t="s">
        <v>4635</v>
      </c>
      <c r="I341" t="s">
        <v>3130</v>
      </c>
      <c r="J341" t="s">
        <v>4132</v>
      </c>
      <c r="K341" t="s">
        <v>2380</v>
      </c>
      <c r="L341" t="s">
        <v>2881</v>
      </c>
      <c r="M341" t="s">
        <v>5123</v>
      </c>
      <c r="N341" t="s">
        <v>4390</v>
      </c>
      <c r="O341" t="s">
        <v>3397</v>
      </c>
      <c r="P341" t="s">
        <v>1864</v>
      </c>
      <c r="Q341" t="s">
        <v>2637</v>
      </c>
      <c r="R341" t="s">
        <v>4874</v>
      </c>
    </row>
    <row r="342" spans="1:18" x14ac:dyDescent="0.2">
      <c r="A342" t="s">
        <v>970</v>
      </c>
      <c r="B342">
        <v>342</v>
      </c>
      <c r="C342" t="s">
        <v>3642</v>
      </c>
      <c r="D342" t="s">
        <v>1614</v>
      </c>
      <c r="E342" t="s">
        <v>2123</v>
      </c>
      <c r="F342" t="s">
        <v>1360</v>
      </c>
      <c r="G342" t="s">
        <v>3875</v>
      </c>
      <c r="H342" t="s">
        <v>4636</v>
      </c>
      <c r="I342" t="s">
        <v>3131</v>
      </c>
      <c r="J342" t="s">
        <v>4133</v>
      </c>
      <c r="K342" t="s">
        <v>2381</v>
      </c>
      <c r="L342" t="s">
        <v>2882</v>
      </c>
      <c r="M342" t="s">
        <v>5124</v>
      </c>
      <c r="N342" t="s">
        <v>4391</v>
      </c>
      <c r="O342" t="s">
        <v>3398</v>
      </c>
      <c r="P342" t="s">
        <v>1865</v>
      </c>
      <c r="Q342" t="s">
        <v>2419</v>
      </c>
      <c r="R342" t="s">
        <v>4875</v>
      </c>
    </row>
    <row r="343" spans="1:18" x14ac:dyDescent="0.2">
      <c r="B343">
        <v>343</v>
      </c>
      <c r="H343" t="s">
        <v>4398</v>
      </c>
    </row>
    <row r="344" spans="1:18" x14ac:dyDescent="0.2">
      <c r="B344">
        <v>344</v>
      </c>
      <c r="C344" t="s">
        <v>3643</v>
      </c>
      <c r="D344" t="s">
        <v>1615</v>
      </c>
      <c r="E344" t="s">
        <v>2124</v>
      </c>
      <c r="F344" t="s">
        <v>1361</v>
      </c>
      <c r="G344" t="s">
        <v>3876</v>
      </c>
      <c r="H344" t="s">
        <v>4637</v>
      </c>
      <c r="I344" t="s">
        <v>3132</v>
      </c>
      <c r="J344" t="s">
        <v>4134</v>
      </c>
      <c r="K344" t="s">
        <v>2382</v>
      </c>
      <c r="L344" t="s">
        <v>2883</v>
      </c>
      <c r="M344" t="s">
        <v>5125</v>
      </c>
      <c r="N344" t="s">
        <v>4392</v>
      </c>
      <c r="O344" t="s">
        <v>3399</v>
      </c>
      <c r="P344" t="s">
        <v>1866</v>
      </c>
      <c r="Q344" t="s">
        <v>2638</v>
      </c>
      <c r="R344" t="s">
        <v>4876</v>
      </c>
    </row>
    <row r="345" spans="1:18" x14ac:dyDescent="0.2">
      <c r="A345" t="s">
        <v>971</v>
      </c>
      <c r="B345">
        <v>345</v>
      </c>
      <c r="C345" t="s">
        <v>3644</v>
      </c>
      <c r="D345" t="s">
        <v>1616</v>
      </c>
      <c r="E345" t="s">
        <v>2125</v>
      </c>
      <c r="F345" t="s">
        <v>1362</v>
      </c>
      <c r="G345" t="s">
        <v>3877</v>
      </c>
      <c r="H345" t="s">
        <v>4638</v>
      </c>
      <c r="I345" t="s">
        <v>3133</v>
      </c>
      <c r="J345" t="s">
        <v>4135</v>
      </c>
      <c r="K345" t="s">
        <v>2383</v>
      </c>
      <c r="L345" t="s">
        <v>2884</v>
      </c>
      <c r="M345" t="s">
        <v>5126</v>
      </c>
      <c r="N345" t="s">
        <v>4171</v>
      </c>
      <c r="O345" t="s">
        <v>3400</v>
      </c>
      <c r="P345" t="s">
        <v>1867</v>
      </c>
      <c r="Q345" t="s">
        <v>2639</v>
      </c>
      <c r="R345" t="s">
        <v>4877</v>
      </c>
    </row>
    <row r="346" spans="1:18" x14ac:dyDescent="0.2">
      <c r="B346">
        <v>346</v>
      </c>
      <c r="D346" t="s">
        <v>427</v>
      </c>
      <c r="E346" t="s">
        <v>2126</v>
      </c>
      <c r="F346" t="s">
        <v>1317</v>
      </c>
      <c r="G346" t="s">
        <v>3861</v>
      </c>
      <c r="H346" t="s">
        <v>4398</v>
      </c>
      <c r="I346" t="s">
        <v>3134</v>
      </c>
      <c r="J346" t="s">
        <v>4118</v>
      </c>
      <c r="K346" t="s">
        <v>2384</v>
      </c>
      <c r="L346" t="s">
        <v>2868</v>
      </c>
      <c r="M346" t="s">
        <v>5008</v>
      </c>
      <c r="N346" t="s">
        <v>4376</v>
      </c>
      <c r="O346" t="s">
        <v>3384</v>
      </c>
      <c r="P346" t="s">
        <v>427</v>
      </c>
      <c r="Q346" t="s">
        <v>2525</v>
      </c>
      <c r="R346" t="s">
        <v>4878</v>
      </c>
    </row>
    <row r="347" spans="1:18" x14ac:dyDescent="0.2">
      <c r="B347">
        <v>347</v>
      </c>
      <c r="C347" t="s">
        <v>3645</v>
      </c>
      <c r="D347" t="s">
        <v>1617</v>
      </c>
      <c r="E347" t="s">
        <v>2127</v>
      </c>
      <c r="F347" t="s">
        <v>1363</v>
      </c>
      <c r="G347" t="s">
        <v>3878</v>
      </c>
      <c r="H347" t="s">
        <v>4564</v>
      </c>
      <c r="I347" t="s">
        <v>3135</v>
      </c>
      <c r="J347" t="s">
        <v>4136</v>
      </c>
      <c r="K347" t="s">
        <v>2385</v>
      </c>
      <c r="L347" t="s">
        <v>2885</v>
      </c>
      <c r="M347" t="s">
        <v>5127</v>
      </c>
      <c r="N347" t="s">
        <v>4393</v>
      </c>
      <c r="O347" t="s">
        <v>3401</v>
      </c>
      <c r="P347" t="s">
        <v>1868</v>
      </c>
      <c r="Q347" t="s">
        <v>2640</v>
      </c>
      <c r="R347" t="s">
        <v>4879</v>
      </c>
    </row>
    <row r="348" spans="1:18" x14ac:dyDescent="0.2">
      <c r="B348">
        <v>348</v>
      </c>
      <c r="C348" t="s">
        <v>3629</v>
      </c>
      <c r="D348" t="s">
        <v>1604</v>
      </c>
      <c r="E348" t="s">
        <v>1349</v>
      </c>
      <c r="F348" t="s">
        <v>1364</v>
      </c>
      <c r="G348" t="s">
        <v>1604</v>
      </c>
      <c r="H348" t="s">
        <v>4639</v>
      </c>
      <c r="I348" t="s">
        <v>524</v>
      </c>
      <c r="J348" t="s">
        <v>1604</v>
      </c>
      <c r="K348" t="s">
        <v>2386</v>
      </c>
      <c r="L348" t="s">
        <v>2668</v>
      </c>
      <c r="M348" t="s">
        <v>5039</v>
      </c>
      <c r="N348" t="s">
        <v>4306</v>
      </c>
      <c r="O348" t="s">
        <v>3386</v>
      </c>
      <c r="P348" t="s">
        <v>1854</v>
      </c>
      <c r="Q348" t="s">
        <v>2554</v>
      </c>
      <c r="R348" t="s">
        <v>4792</v>
      </c>
    </row>
    <row r="349" spans="1:18" x14ac:dyDescent="0.2">
      <c r="B349">
        <v>349</v>
      </c>
      <c r="C349" t="s">
        <v>3646</v>
      </c>
      <c r="D349" t="s">
        <v>1618</v>
      </c>
      <c r="E349" t="s">
        <v>2128</v>
      </c>
      <c r="F349" t="s">
        <v>1365</v>
      </c>
      <c r="G349" t="s">
        <v>3879</v>
      </c>
      <c r="H349" t="s">
        <v>4640</v>
      </c>
      <c r="I349" t="s">
        <v>3136</v>
      </c>
      <c r="J349" t="s">
        <v>4137</v>
      </c>
      <c r="K349" t="s">
        <v>2387</v>
      </c>
      <c r="L349" t="s">
        <v>2886</v>
      </c>
      <c r="M349" t="s">
        <v>5128</v>
      </c>
      <c r="N349" t="s">
        <v>4394</v>
      </c>
      <c r="O349" t="s">
        <v>3402</v>
      </c>
      <c r="P349" t="s">
        <v>1869</v>
      </c>
      <c r="Q349" t="s">
        <v>2641</v>
      </c>
      <c r="R349" t="s">
        <v>4880</v>
      </c>
    </row>
    <row r="350" spans="1:18" x14ac:dyDescent="0.2">
      <c r="B350">
        <v>350</v>
      </c>
      <c r="C350" t="s">
        <v>3647</v>
      </c>
      <c r="D350" t="s">
        <v>1619</v>
      </c>
      <c r="E350" t="s">
        <v>2129</v>
      </c>
      <c r="F350" t="s">
        <v>1366</v>
      </c>
      <c r="G350" t="s">
        <v>3880</v>
      </c>
      <c r="H350" t="s">
        <v>4641</v>
      </c>
      <c r="I350" t="s">
        <v>3137</v>
      </c>
      <c r="J350" t="s">
        <v>4138</v>
      </c>
      <c r="K350" t="s">
        <v>2388</v>
      </c>
      <c r="L350" t="s">
        <v>2887</v>
      </c>
      <c r="M350" t="s">
        <v>5129</v>
      </c>
      <c r="N350" t="s">
        <v>4395</v>
      </c>
      <c r="O350" t="s">
        <v>3403</v>
      </c>
      <c r="P350" t="s">
        <v>1870</v>
      </c>
      <c r="Q350" t="s">
        <v>2642</v>
      </c>
      <c r="R350" t="s">
        <v>4881</v>
      </c>
    </row>
    <row r="351" spans="1:18" x14ac:dyDescent="0.2">
      <c r="B351">
        <v>351</v>
      </c>
      <c r="C351" t="s">
        <v>3515</v>
      </c>
      <c r="D351" t="s">
        <v>0</v>
      </c>
      <c r="E351" t="s">
        <v>2130</v>
      </c>
      <c r="F351" t="s">
        <v>1367</v>
      </c>
      <c r="G351" t="s">
        <v>3756</v>
      </c>
      <c r="H351" t="s">
        <v>4642</v>
      </c>
      <c r="I351" t="s">
        <v>0</v>
      </c>
      <c r="J351" t="s">
        <v>3996</v>
      </c>
      <c r="K351" t="s">
        <v>2389</v>
      </c>
      <c r="L351" t="s">
        <v>2888</v>
      </c>
      <c r="M351" t="s">
        <v>5130</v>
      </c>
      <c r="N351" t="s">
        <v>4256</v>
      </c>
      <c r="O351" t="s">
        <v>3404</v>
      </c>
      <c r="P351" t="s">
        <v>1735</v>
      </c>
      <c r="Q351" t="s">
        <v>2449</v>
      </c>
      <c r="R351" t="s">
        <v>4722</v>
      </c>
    </row>
    <row r="352" spans="1:18" x14ac:dyDescent="0.2">
      <c r="A352" t="s">
        <v>5131</v>
      </c>
      <c r="B352">
        <v>352</v>
      </c>
      <c r="D352" t="s">
        <v>5131</v>
      </c>
      <c r="F352" t="s">
        <v>5132</v>
      </c>
    </row>
    <row r="353" spans="1:18" x14ac:dyDescent="0.2">
      <c r="B353">
        <v>353</v>
      </c>
    </row>
    <row r="354" spans="1:18" x14ac:dyDescent="0.2">
      <c r="A354" t="s">
        <v>982</v>
      </c>
      <c r="B354">
        <v>354</v>
      </c>
      <c r="C354" s="46" t="s">
        <v>5263</v>
      </c>
      <c r="D354" s="46" t="s">
        <v>5264</v>
      </c>
      <c r="E354" s="46" t="s">
        <v>5265</v>
      </c>
      <c r="F354" s="46" t="s">
        <v>5266</v>
      </c>
      <c r="G354" s="46" t="s">
        <v>5267</v>
      </c>
      <c r="H354" s="46" t="s">
        <v>5268</v>
      </c>
      <c r="I354" s="46" t="s">
        <v>5269</v>
      </c>
      <c r="J354" s="46" t="s">
        <v>5270</v>
      </c>
      <c r="K354" s="46" t="s">
        <v>5271</v>
      </c>
      <c r="L354" s="46" t="s">
        <v>5272</v>
      </c>
      <c r="M354" s="46" t="s">
        <v>5273</v>
      </c>
      <c r="N354" s="46" t="s">
        <v>5215</v>
      </c>
      <c r="O354" s="46" t="s">
        <v>5274</v>
      </c>
      <c r="P354" s="46" t="s">
        <v>5275</v>
      </c>
      <c r="Q354" s="46" t="s">
        <v>5276</v>
      </c>
      <c r="R354" s="46" t="s">
        <v>5277</v>
      </c>
    </row>
    <row r="355" spans="1:18" x14ac:dyDescent="0.2">
      <c r="B355">
        <v>355</v>
      </c>
      <c r="C355" s="46" t="s">
        <v>5149</v>
      </c>
      <c r="D355" s="46" t="s">
        <v>5147</v>
      </c>
      <c r="E355" s="46" t="s">
        <v>5148</v>
      </c>
      <c r="F355" s="46" t="s">
        <v>5278</v>
      </c>
      <c r="G355" s="46" t="s">
        <v>5150</v>
      </c>
      <c r="H355" s="46" t="s">
        <v>5151</v>
      </c>
      <c r="I355" s="46" t="s">
        <v>5159</v>
      </c>
      <c r="J355" s="46" t="s">
        <v>5160</v>
      </c>
      <c r="K355" s="46" t="s">
        <v>5152</v>
      </c>
      <c r="L355" s="46" t="s">
        <v>5153</v>
      </c>
      <c r="M355" s="46" t="s">
        <v>5161</v>
      </c>
      <c r="N355" s="46" t="s">
        <v>5154</v>
      </c>
      <c r="O355" s="46" t="s">
        <v>5156</v>
      </c>
      <c r="P355" s="46" t="s">
        <v>5155</v>
      </c>
      <c r="Q355" s="46" t="s">
        <v>5157</v>
      </c>
      <c r="R355" s="46" t="s">
        <v>5158</v>
      </c>
    </row>
    <row r="356" spans="1:18" x14ac:dyDescent="0.2">
      <c r="B356" s="46" t="s">
        <v>5185</v>
      </c>
      <c r="C356" t="s">
        <v>5168</v>
      </c>
      <c r="D356" t="s">
        <v>5169</v>
      </c>
      <c r="E356" t="s">
        <v>5170</v>
      </c>
      <c r="F356" t="s">
        <v>5163</v>
      </c>
      <c r="G356" t="s">
        <v>5171</v>
      </c>
      <c r="H356" t="s">
        <v>5172</v>
      </c>
      <c r="I356" t="s">
        <v>5173</v>
      </c>
      <c r="J356" t="s">
        <v>5174</v>
      </c>
      <c r="K356" t="s">
        <v>5175</v>
      </c>
      <c r="L356" t="s">
        <v>5176</v>
      </c>
      <c r="M356" t="s">
        <v>5177</v>
      </c>
      <c r="N356" t="s">
        <v>5178</v>
      </c>
      <c r="O356" t="s">
        <v>5179</v>
      </c>
      <c r="P356" t="s">
        <v>5180</v>
      </c>
      <c r="Q356" t="s">
        <v>5181</v>
      </c>
      <c r="R356" t="s">
        <v>5182</v>
      </c>
    </row>
    <row r="357" spans="1:18" ht="14.25" x14ac:dyDescent="0.2">
      <c r="B357" s="46" t="s">
        <v>547</v>
      </c>
      <c r="C357" s="46" t="s">
        <v>5164</v>
      </c>
      <c r="D357" s="46" t="s">
        <v>5165</v>
      </c>
      <c r="E357" s="46" t="s">
        <v>5165</v>
      </c>
      <c r="F357" s="46" t="s">
        <v>5164</v>
      </c>
      <c r="I357" s="46" t="s">
        <v>5165</v>
      </c>
      <c r="Q357" s="304" t="s">
        <v>2439</v>
      </c>
    </row>
    <row r="358" spans="1:18" ht="14.25" x14ac:dyDescent="0.2">
      <c r="B358" s="46" t="s">
        <v>5184</v>
      </c>
      <c r="C358" s="46" t="s">
        <v>5166</v>
      </c>
      <c r="D358" s="46" t="s">
        <v>5166</v>
      </c>
      <c r="E358" s="46" t="s">
        <v>5166</v>
      </c>
      <c r="F358" s="46" t="s">
        <v>5166</v>
      </c>
      <c r="I358" s="46" t="s">
        <v>5166</v>
      </c>
      <c r="Q358" s="304" t="s">
        <v>2438</v>
      </c>
    </row>
    <row r="359" spans="1:18" ht="14.25" x14ac:dyDescent="0.2">
      <c r="B359" s="46" t="s">
        <v>546</v>
      </c>
      <c r="C359" s="46" t="s">
        <v>3544</v>
      </c>
      <c r="D359" s="46" t="s">
        <v>5183</v>
      </c>
      <c r="E359" s="46" t="s">
        <v>5167</v>
      </c>
      <c r="F359" s="46" t="s">
        <v>5167</v>
      </c>
      <c r="I359" s="46" t="s">
        <v>3544</v>
      </c>
      <c r="Q359" s="304" t="s">
        <v>2437</v>
      </c>
    </row>
    <row r="361" spans="1:18" x14ac:dyDescent="0.2">
      <c r="A361" t="s">
        <v>5229</v>
      </c>
      <c r="B361" t="s">
        <v>5230</v>
      </c>
      <c r="C361" t="s">
        <v>5231</v>
      </c>
      <c r="D361" t="s">
        <v>5232</v>
      </c>
      <c r="E361" t="s">
        <v>5233</v>
      </c>
      <c r="F361" t="s">
        <v>27</v>
      </c>
      <c r="G361" t="s">
        <v>5234</v>
      </c>
      <c r="H361" t="s">
        <v>5235</v>
      </c>
      <c r="I361" t="s">
        <v>5236</v>
      </c>
      <c r="J361" t="s">
        <v>5237</v>
      </c>
      <c r="K361" t="s">
        <v>5238</v>
      </c>
      <c r="L361" t="s">
        <v>5239</v>
      </c>
      <c r="M361" t="s">
        <v>5240</v>
      </c>
      <c r="N361" t="s">
        <v>5241</v>
      </c>
      <c r="O361" t="s">
        <v>5242</v>
      </c>
      <c r="P361" t="s">
        <v>5243</v>
      </c>
      <c r="Q361" t="s">
        <v>5244</v>
      </c>
      <c r="R361" t="s">
        <v>5245</v>
      </c>
    </row>
    <row r="362" spans="1:18" ht="12" customHeight="1" x14ac:dyDescent="0.2">
      <c r="B362" t="s">
        <v>5246</v>
      </c>
      <c r="C362" t="s">
        <v>5251</v>
      </c>
      <c r="D362" t="s">
        <v>5228</v>
      </c>
      <c r="E362" t="s">
        <v>5252</v>
      </c>
      <c r="F362" t="s">
        <v>5253</v>
      </c>
      <c r="G362" t="s">
        <v>5254</v>
      </c>
      <c r="H362" t="s">
        <v>5255</v>
      </c>
      <c r="I362" t="s">
        <v>5256</v>
      </c>
      <c r="J362" t="s">
        <v>5257</v>
      </c>
      <c r="K362" t="s">
        <v>5258</v>
      </c>
      <c r="L362" t="s">
        <v>5259</v>
      </c>
      <c r="M362" t="s">
        <v>5260</v>
      </c>
      <c r="N362" t="s">
        <v>5261</v>
      </c>
      <c r="O362" t="s">
        <v>5247</v>
      </c>
      <c r="P362" t="s">
        <v>5248</v>
      </c>
      <c r="Q362" t="s">
        <v>5249</v>
      </c>
      <c r="R362" t="s">
        <v>5250</v>
      </c>
    </row>
    <row r="363" spans="1:18" x14ac:dyDescent="0.2">
      <c r="B363">
        <v>1</v>
      </c>
      <c r="C363" t="s">
        <v>5279</v>
      </c>
      <c r="D363" t="s">
        <v>5280</v>
      </c>
      <c r="E363" t="s">
        <v>5281</v>
      </c>
      <c r="F363" t="s">
        <v>5282</v>
      </c>
      <c r="G363" t="s">
        <v>5283</v>
      </c>
      <c r="H363" t="s">
        <v>5284</v>
      </c>
      <c r="I363" t="s">
        <v>5280</v>
      </c>
      <c r="J363" t="s">
        <v>5285</v>
      </c>
      <c r="K363" t="s">
        <v>5281</v>
      </c>
      <c r="L363" t="s">
        <v>5286</v>
      </c>
      <c r="M363" t="s">
        <v>5287</v>
      </c>
      <c r="N363" t="s">
        <v>5288</v>
      </c>
      <c r="O363" t="s">
        <v>5289</v>
      </c>
      <c r="P363" t="s">
        <v>5290</v>
      </c>
      <c r="Q363" t="s">
        <v>5291</v>
      </c>
      <c r="R363" t="s">
        <v>5292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08">
    <tabColor theme="0"/>
  </sheetPr>
  <dimension ref="A4:BF215"/>
  <sheetViews>
    <sheetView zoomScale="85" zoomScaleNormal="85" workbookViewId="0">
      <selection activeCell="S7" sqref="S7"/>
    </sheetView>
  </sheetViews>
  <sheetFormatPr defaultColWidth="9.140625" defaultRowHeight="12.75" x14ac:dyDescent="0.2"/>
  <cols>
    <col min="1" max="1" width="9.28515625" style="191" bestFit="1" customWidth="1"/>
    <col min="2" max="18" width="9.42578125" style="191" bestFit="1" customWidth="1"/>
    <col min="19" max="19" width="10.85546875" style="191" bestFit="1" customWidth="1"/>
    <col min="20" max="26" width="9.42578125" style="191" bestFit="1" customWidth="1"/>
    <col min="27" max="27" width="9.7109375" style="191" bestFit="1" customWidth="1"/>
    <col min="28" max="46" width="9.28515625" style="191" bestFit="1" customWidth="1"/>
    <col min="47" max="47" width="12.28515625" style="191" bestFit="1" customWidth="1"/>
    <col min="48" max="50" width="9.28515625" style="191" bestFit="1" customWidth="1"/>
    <col min="51" max="51" width="9.140625" style="191"/>
    <col min="52" max="53" width="9.28515625" style="191" bestFit="1" customWidth="1"/>
    <col min="54" max="54" width="9.140625" style="191"/>
    <col min="55" max="55" width="9.7109375" style="191" bestFit="1" customWidth="1"/>
    <col min="56" max="57" width="10.7109375" style="191" bestFit="1" customWidth="1"/>
    <col min="58" max="58" width="9.7109375" style="191" bestFit="1" customWidth="1"/>
    <col min="59" max="16384" width="9.140625" style="191"/>
  </cols>
  <sheetData>
    <row r="4" spans="1:58" s="415" customFormat="1" ht="51" x14ac:dyDescent="0.2">
      <c r="B4" s="415" t="str">
        <f>Language!B258</f>
        <v>Liveability</v>
      </c>
      <c r="C4" s="415" t="str">
        <f>Language!B259</f>
        <v>Weekly mortality %</v>
      </c>
      <c r="D4" s="415" t="str">
        <f>Language!B260</f>
        <v>Laying %</v>
      </c>
      <c r="E4" s="415" t="str">
        <f>Language!B261</f>
        <v>Laying rate std.</v>
      </c>
      <c r="F4" s="415" t="str">
        <f>Language!B262</f>
        <v>Egg Weight</v>
      </c>
      <c r="G4" s="415" t="str">
        <f>Language!B263</f>
        <v>Egg weight std.</v>
      </c>
      <c r="H4" s="415" t="str">
        <f>Language!B264</f>
        <v>Body weight</v>
      </c>
      <c r="J4" s="415" t="str">
        <f>Language!B265</f>
        <v>Laying body weight std.</v>
      </c>
      <c r="K4" s="415" t="str">
        <f>Language!B266</f>
        <v>Cons</v>
      </c>
      <c r="L4" s="415" t="str">
        <f>Language!B267</f>
        <v>Egg mass</v>
      </c>
      <c r="M4" s="415" t="str">
        <f>Language!B268</f>
        <v>Daily egg mass std.</v>
      </c>
      <c r="N4" s="415" t="str">
        <f>Language!B269</f>
        <v>Rearing</v>
      </c>
      <c r="O4" s="415" t="str">
        <f>Language!B273</f>
        <v>Cum.</v>
      </c>
      <c r="P4" s="415" t="str">
        <f>Language!B271</f>
        <v>Seconds farm</v>
      </c>
      <c r="Q4" s="415" t="str">
        <f>Language!B272</f>
        <v>Packing station</v>
      </c>
      <c r="R4" s="415" t="str">
        <f>Language!B182</f>
        <v>Weekly</v>
      </c>
      <c r="S4" s="415" t="str">
        <f>Language!B274</f>
        <v>Day hen</v>
      </c>
      <c r="T4" s="415" t="str">
        <f>Language!B275</f>
        <v>Cum. feed/bird /day</v>
      </c>
      <c r="U4" s="415" t="str">
        <f>Language!B276</f>
        <v>Wk FCR</v>
      </c>
      <c r="V4" s="415" t="str">
        <f>Language!B277</f>
        <v>Cum. FCR</v>
      </c>
      <c r="W4" s="415" t="str">
        <f>Language!B278</f>
        <v>Wk FCR/egg</v>
      </c>
      <c r="X4" s="415" t="str">
        <f>Language!B279</f>
        <v>Cum FCR/egg</v>
      </c>
      <c r="Y4" s="415" t="str">
        <f>Language!B280</f>
        <v>Cumulative egg number</v>
      </c>
      <c r="Z4" s="415" t="str">
        <f>Language!B281</f>
        <v>Std.</v>
      </c>
      <c r="AD4" s="415" t="s">
        <v>976</v>
      </c>
      <c r="AF4" s="415" t="s">
        <v>644</v>
      </c>
      <c r="AM4" s="415" t="s">
        <v>644</v>
      </c>
    </row>
    <row r="5" spans="1:58" s="415" customFormat="1" ht="25.5" x14ac:dyDescent="0.2">
      <c r="B5" s="415" t="s">
        <v>1</v>
      </c>
      <c r="C5" s="415" t="s">
        <v>1</v>
      </c>
      <c r="D5" s="415" t="s">
        <v>1</v>
      </c>
      <c r="F5" s="415" t="s">
        <v>1</v>
      </c>
      <c r="H5" s="415" t="s">
        <v>556</v>
      </c>
      <c r="K5" s="415" t="s">
        <v>550</v>
      </c>
      <c r="L5" s="415" t="s">
        <v>1</v>
      </c>
      <c r="AE5" s="415" t="s">
        <v>3</v>
      </c>
      <c r="AF5" s="415" t="s">
        <v>4</v>
      </c>
      <c r="AG5" s="415" t="s">
        <v>5</v>
      </c>
      <c r="AH5" s="415" t="s">
        <v>6</v>
      </c>
      <c r="AI5" s="415" t="s">
        <v>7</v>
      </c>
      <c r="AJ5" s="415" t="s">
        <v>8</v>
      </c>
      <c r="AK5" s="415" t="s">
        <v>9</v>
      </c>
      <c r="AL5" s="415" t="s">
        <v>10</v>
      </c>
      <c r="AM5" s="415" t="s">
        <v>11</v>
      </c>
      <c r="AN5" s="415" t="s">
        <v>12</v>
      </c>
      <c r="AO5" s="415" t="s">
        <v>13</v>
      </c>
      <c r="AP5" s="415" t="s">
        <v>14</v>
      </c>
      <c r="AQ5" s="415" t="s">
        <v>15</v>
      </c>
      <c r="AR5" s="415" t="s">
        <v>16</v>
      </c>
      <c r="AS5" s="415" t="s">
        <v>17</v>
      </c>
      <c r="AT5" s="415" t="s">
        <v>1038</v>
      </c>
      <c r="AU5" s="415" t="s">
        <v>1039</v>
      </c>
      <c r="AV5" s="415" t="s">
        <v>0</v>
      </c>
      <c r="AW5" s="415" t="s">
        <v>1041</v>
      </c>
      <c r="AX5" s="415" t="s">
        <v>1040</v>
      </c>
      <c r="BA5" s="415" t="s">
        <v>357</v>
      </c>
      <c r="BC5" s="415" t="s">
        <v>358</v>
      </c>
      <c r="BD5" s="415" t="s">
        <v>359</v>
      </c>
      <c r="BE5" s="415" t="s">
        <v>360</v>
      </c>
      <c r="BF5" s="415" t="s">
        <v>361</v>
      </c>
    </row>
    <row r="6" spans="1:58" x14ac:dyDescent="0.2">
      <c r="A6" s="194">
        <v>16</v>
      </c>
      <c r="B6" s="191" t="e">
        <v>#N/A</v>
      </c>
      <c r="C6" s="191" t="e">
        <v>#N/A</v>
      </c>
      <c r="D6" s="191" t="e">
        <v>#N/A</v>
      </c>
      <c r="E6" s="191" t="e">
        <v>#N/A</v>
      </c>
      <c r="F6" s="193" t="e">
        <v>#N/A</v>
      </c>
      <c r="G6" s="193" t="e">
        <v>#N/A</v>
      </c>
      <c r="H6" s="191" t="e">
        <v>#N/A</v>
      </c>
      <c r="I6" s="191" t="e">
        <v>#N/A</v>
      </c>
      <c r="J6" s="191" t="e">
        <v>#N/A</v>
      </c>
      <c r="K6" s="191" t="e">
        <v>#N/A</v>
      </c>
      <c r="L6" s="191" t="e">
        <v>#N/A</v>
      </c>
      <c r="M6" s="191" t="e">
        <v>#N/A</v>
      </c>
      <c r="O6" s="191" t="e">
        <v>#N/A</v>
      </c>
      <c r="P6" s="191" t="e">
        <v>#N/A</v>
      </c>
      <c r="Q6" s="191" t="e">
        <v>#N/A</v>
      </c>
      <c r="R6" s="191" t="e">
        <v>#N/A</v>
      </c>
      <c r="T6" s="191" t="e">
        <v>#N/A</v>
      </c>
      <c r="U6" s="191" t="e">
        <v>#N/A</v>
      </c>
      <c r="V6" s="191" t="e">
        <v>#N/A</v>
      </c>
      <c r="W6" s="191" t="e">
        <v>#N/A</v>
      </c>
      <c r="X6" s="191" t="e">
        <v>#N/A</v>
      </c>
      <c r="Y6" s="191" t="e">
        <v>#N/A</v>
      </c>
      <c r="Z6" s="191" t="e">
        <v>#N/A</v>
      </c>
      <c r="BA6" s="191" t="str">
        <f>IF('Egg grading'!C10="",IF('Egg grading'!B10="","",'Egg grading'!B10),'Egg grading'!C10)</f>
        <v/>
      </c>
      <c r="BC6" s="191" t="str">
        <f>'Egg grading'!K10</f>
        <v/>
      </c>
      <c r="BD6" s="191" t="str">
        <f>'Egg grading'!L10</f>
        <v/>
      </c>
      <c r="BE6" s="191" t="str">
        <f>'Egg grading'!M10</f>
        <v/>
      </c>
      <c r="BF6" s="191" t="str">
        <f>'Egg grading'!N10</f>
        <v/>
      </c>
    </row>
    <row r="7" spans="1:58" x14ac:dyDescent="0.2">
      <c r="A7" s="194">
        <f>'Production data'!B14</f>
        <v>17</v>
      </c>
      <c r="B7" s="191" t="e">
        <f>IF('Production data'!C14="",#N/A,'Production data'!C14)</f>
        <v>#N/A</v>
      </c>
      <c r="C7" s="191" t="e">
        <f>IF(OR('Input Laying'!E15=0),#N/A,'Input Laying'!E15/'Input Laying'!$G$6*100*25)</f>
        <v>#N/A</v>
      </c>
      <c r="D7" s="191">
        <f>IF(OR('Production data'!D14="",'Production data'!D14=0),0,'Production data'!D14)</f>
        <v>0</v>
      </c>
      <c r="E7" s="191">
        <f>IF(OR(Std!B20="",Std!B20=0),0,Std!B20)</f>
        <v>0</v>
      </c>
      <c r="F7" s="193">
        <f>IF('Production data'!H14="",0,'Production data'!H14)</f>
        <v>0</v>
      </c>
      <c r="G7" s="193">
        <f>IF(OR(Std!C20="",Std!C20=0),0,Std!C20)</f>
        <v>0</v>
      </c>
      <c r="H7" s="191" t="e">
        <f t="shared" ref="H7:H22" si="0">IF(I7&lt;0,#N/A,I7)</f>
        <v>#N/A</v>
      </c>
      <c r="I7" s="191">
        <f>('Input Laying'!AH15-1000)/25</f>
        <v>-40</v>
      </c>
      <c r="J7" s="191">
        <f>IF((Std!D20-1000)/25&lt;15,#N/A,(Std!D20-1000)/25)</f>
        <v>17.579999999999998</v>
      </c>
      <c r="K7" s="191" t="e">
        <f>IF('Production data'!P14="",#N/A,'Production data'!P14)</f>
        <v>#N/A</v>
      </c>
      <c r="L7" s="191" t="e">
        <f>IF('Production data'!L14="",#N/A,'Production data'!L14)</f>
        <v>#N/A</v>
      </c>
      <c r="M7" s="191">
        <f>IF(Std!E20=0,0,Std!E20)</f>
        <v>0</v>
      </c>
      <c r="O7" s="191" t="e">
        <f>IF('Input Laying'!V15=0,NA(),IF('Input Laying'!V15="",NA(),'Input Laying'!W15/'Input Laying'!O15*100))</f>
        <v>#N/A</v>
      </c>
      <c r="P7" s="191" t="e">
        <f>IF('Input Laying'!T15="",#N/A,'Input Laying'!T15/'Input Laying'!N15*100)</f>
        <v>#N/A</v>
      </c>
      <c r="Q7" s="191" t="e">
        <f>IF('Input Laying'!U15="",#N/A,'Input Laying'!U15/'Input Laying'!N15*100)</f>
        <v>#N/A</v>
      </c>
      <c r="R7" s="191" t="str">
        <f>IF('Input Laying'!V15="",#N/A,'Production data'!W14)</f>
        <v/>
      </c>
      <c r="S7" s="191">
        <f>'Input Laying'!D15*7</f>
        <v>0</v>
      </c>
      <c r="T7" s="191" t="str">
        <f>IF(OR('Input Laying'!AF15="",'Input Laying'!D15=0,'Input Laying'!O15=0),"#N/A",'Input Laying'!AF15/'Input Laying'!D15/(AD7*7)*1000)</f>
        <v>#N/A</v>
      </c>
      <c r="U7" s="191" t="e">
        <f>IF('Production data'!U14="",#N/A,'Production data'!U14)</f>
        <v>#N/A</v>
      </c>
      <c r="V7" s="191" t="e">
        <f>IF('Production data'!V14="",#N/A,'Production data'!V14)</f>
        <v>#N/A</v>
      </c>
      <c r="W7" s="191" t="e">
        <f>IF('Production data'!S14="",#N/A,'Production data'!S14)</f>
        <v>#N/A</v>
      </c>
      <c r="X7" s="191" t="e">
        <f>IF('Production data'!T14="",#N/A,'Production data'!T14)</f>
        <v>#N/A</v>
      </c>
      <c r="Y7" s="191" t="e">
        <f>IF('Input Laying'!E15="",#N/A,'Production data'!F14)</f>
        <v>#N/A</v>
      </c>
      <c r="Z7" s="191" t="e">
        <f>IF('Production data'!G14="",#N/A,'Production data'!G14)</f>
        <v>#N/A</v>
      </c>
      <c r="AD7" s="191">
        <f>IF('Input Laying'!AF15=0,0,(IF('Input Laying'!N15&gt;0,1,IF('Input Laying'!O15&gt;0,0,1))))</f>
        <v>0</v>
      </c>
      <c r="AM7" s="191">
        <f t="shared" ref="AM7:AM38" si="1">G7</f>
        <v>0</v>
      </c>
      <c r="AT7" s="191">
        <f t="shared" ref="AT7:AT38" si="2">E7*7/100</f>
        <v>0</v>
      </c>
      <c r="AU7" s="191">
        <f>AT7+AU6</f>
        <v>0</v>
      </c>
      <c r="AW7" s="191">
        <f>(G7*E7/100)*7</f>
        <v>0</v>
      </c>
      <c r="AX7" s="191">
        <f>AX6+(AW7/1000)</f>
        <v>0</v>
      </c>
      <c r="AZ7" s="191">
        <v>17</v>
      </c>
      <c r="BA7" s="191" t="str">
        <f>IF('Egg grading'!C11="",IF('Egg grading'!B11="","",'Egg grading'!B11),'Egg grading'!C11)</f>
        <v/>
      </c>
      <c r="BC7" s="191" t="str">
        <f>IF(BC6="",'Egg grading'!K11,BC6+'Egg grading'!K11)</f>
        <v/>
      </c>
      <c r="BD7" s="191" t="str">
        <f>IF(BD6="",'Egg grading'!L11,BD6+'Egg grading'!L11)</f>
        <v/>
      </c>
      <c r="BE7" s="191" t="str">
        <f>IF(BE6="",'Egg grading'!M11,BE6+'Egg grading'!M11)</f>
        <v/>
      </c>
      <c r="BF7" s="191" t="str">
        <f>IF(BF6="",'Egg grading'!N11,BF6+'Egg grading'!N11)</f>
        <v/>
      </c>
    </row>
    <row r="8" spans="1:58" x14ac:dyDescent="0.2">
      <c r="A8" s="194">
        <f>'Production data'!B15</f>
        <v>18</v>
      </c>
      <c r="B8" s="191" t="e">
        <f>IF('Production data'!C15="",#N/A,'Production data'!C15)</f>
        <v>#N/A</v>
      </c>
      <c r="C8" s="191" t="e">
        <f>IF(OR('Input Laying'!E16=0,'Input Laying'!D15=0),#N/A,'Input Laying'!E16/'Input Laying'!D15*100*25)</f>
        <v>#N/A</v>
      </c>
      <c r="D8" s="191">
        <f>IF(OR('Production data'!D15="",'Production data'!D15=0),0,'Production data'!D15)</f>
        <v>0</v>
      </c>
      <c r="E8" s="191">
        <f>IF(OR(Std!B21="",Std!B21=0),0,Std!B21)</f>
        <v>3</v>
      </c>
      <c r="F8" s="193">
        <f>IF('Production data'!H15="",0,'Production data'!H15)</f>
        <v>0</v>
      </c>
      <c r="G8" s="193">
        <f>IF(OR(Std!C21="",Std!C21=0),0,Std!C21)</f>
        <v>42.492229512069038</v>
      </c>
      <c r="H8" s="191" t="e">
        <f t="shared" si="0"/>
        <v>#N/A</v>
      </c>
      <c r="I8" s="191">
        <f>('Input Laying'!AH16-1000)/25</f>
        <v>-40</v>
      </c>
      <c r="J8" s="191">
        <f>IF((Std!D21-1000)/25&lt;15,#N/A,(Std!D21-1000)/25)</f>
        <v>20</v>
      </c>
      <c r="K8" s="191" t="e">
        <f>IF('Production data'!P15="",#N/A,'Production data'!P15)</f>
        <v>#N/A</v>
      </c>
      <c r="L8" s="191" t="e">
        <f>IF('Production data'!L15="",#N/A,'Production data'!L15)</f>
        <v>#N/A</v>
      </c>
      <c r="M8" s="191">
        <f>IF(Std!E21=0,#N/A,Std!E21)</f>
        <v>1.2747668853620713</v>
      </c>
      <c r="O8" s="191" t="e">
        <f>IF('Input Laying'!V16=0,NA(),IF('Input Laying'!V16="",NA(),'Input Laying'!W16/'Input Laying'!O16*100))</f>
        <v>#N/A</v>
      </c>
      <c r="P8" s="191" t="e">
        <f>IF('Input Laying'!T16="",#N/A,'Input Laying'!T16/'Input Laying'!N16*100)</f>
        <v>#N/A</v>
      </c>
      <c r="Q8" s="191" t="e">
        <f>IF('Input Laying'!U16="",#N/A,'Input Laying'!U16/'Input Laying'!N16*100)</f>
        <v>#N/A</v>
      </c>
      <c r="R8" s="191" t="str">
        <f>IF('Input Laying'!V16="",#N/A,'Production data'!W15)</f>
        <v/>
      </c>
      <c r="S8" s="191">
        <f>'Input Laying'!D16*7+'Graph values'!S7</f>
        <v>0</v>
      </c>
      <c r="T8" s="191" t="str">
        <f>IF(OR('Input Laying'!AF16="",'Input Laying'!D16=0,'Input Laying'!O16=0),"#N/A",'Input Laying'!AF16/'Input Laying'!D16/(AD8*7)*1000)</f>
        <v>#N/A</v>
      </c>
      <c r="U8" s="191" t="e">
        <f>IF('Production data'!U15="",#N/A,'Production data'!U15)</f>
        <v>#N/A</v>
      </c>
      <c r="V8" s="191" t="e">
        <f>IF('Production data'!V15="",#N/A,'Production data'!V15)</f>
        <v>#N/A</v>
      </c>
      <c r="W8" s="191" t="e">
        <f>IF('Production data'!S15="",#N/A,'Production data'!S15)</f>
        <v>#N/A</v>
      </c>
      <c r="X8" s="191" t="e">
        <f>IF('Production data'!T15="",#N/A,'Production data'!T15)</f>
        <v>#N/A</v>
      </c>
      <c r="Y8" s="191" t="e">
        <f>IF('Input Laying'!E16="",#N/A,'Production data'!F15)</f>
        <v>#N/A</v>
      </c>
      <c r="Z8" s="191">
        <f>IF('Production data'!G15="",#N/A,'Production data'!G15)</f>
        <v>0.2097984</v>
      </c>
      <c r="AD8" s="191">
        <f>IF('Input Laying'!AF16=0,0,(IF('Input Laying'!N16&gt;0,1,IF('Input Laying'!O16&gt;0,0,1))))+AD7</f>
        <v>0</v>
      </c>
      <c r="AE8" s="191">
        <v>18</v>
      </c>
      <c r="AF8" s="191">
        <f>IF(E8&lt;1,#N/A,E8)</f>
        <v>3</v>
      </c>
      <c r="AG8" s="191">
        <f t="shared" ref="AG8:AL12" si="3">AF8-1.5</f>
        <v>1.5</v>
      </c>
      <c r="AH8" s="191">
        <f t="shared" si="3"/>
        <v>0</v>
      </c>
      <c r="AI8" s="191">
        <f>AH8-1.5</f>
        <v>-1.5</v>
      </c>
      <c r="AJ8" s="191">
        <f t="shared" si="3"/>
        <v>-3</v>
      </c>
      <c r="AK8" s="191">
        <f t="shared" si="3"/>
        <v>-4.5</v>
      </c>
      <c r="AL8" s="191">
        <f t="shared" si="3"/>
        <v>-6</v>
      </c>
      <c r="AM8" s="191">
        <f t="shared" si="1"/>
        <v>42.492229512069038</v>
      </c>
      <c r="AN8" s="191">
        <f t="shared" ref="AN8:AS23" si="4">AM8-0.3</f>
        <v>42.192229512069041</v>
      </c>
      <c r="AO8" s="191">
        <f t="shared" si="4"/>
        <v>41.892229512069044</v>
      </c>
      <c r="AP8" s="191">
        <f t="shared" si="4"/>
        <v>41.592229512069046</v>
      </c>
      <c r="AQ8" s="191">
        <f t="shared" si="4"/>
        <v>41.292229512069049</v>
      </c>
      <c r="AR8" s="191">
        <f t="shared" si="4"/>
        <v>40.992229512069052</v>
      </c>
      <c r="AS8" s="191">
        <f t="shared" si="4"/>
        <v>40.692229512069055</v>
      </c>
      <c r="AT8" s="191">
        <f>E8*7/100</f>
        <v>0.21</v>
      </c>
      <c r="AU8" s="191">
        <f t="shared" ref="AU8:AU71" si="5">AT8+AU7</f>
        <v>0.21</v>
      </c>
      <c r="AV8" s="191">
        <v>18</v>
      </c>
      <c r="AW8" s="191">
        <f>(G8*E8/100)*7</f>
        <v>8.9233681975344989</v>
      </c>
      <c r="AX8" s="191">
        <f>AX7+(AW8/1000)</f>
        <v>8.9233681975344984E-3</v>
      </c>
      <c r="AZ8" s="191">
        <v>18</v>
      </c>
      <c r="BA8" s="191">
        <f>IF('Egg grading'!C12="",IF('Egg grading'!B12="","",'Egg grading'!B12),'Egg grading'!C12)</f>
        <v>42.492229512069038</v>
      </c>
      <c r="BC8" s="191" t="str">
        <f>IF(BC7="",'Egg grading'!K12,BC7+'Egg grading'!K12)</f>
        <v/>
      </c>
      <c r="BD8" s="191" t="str">
        <f>IF(BD7="",'Egg grading'!L12,BD7+'Egg grading'!L12)</f>
        <v/>
      </c>
      <c r="BE8" s="191" t="str">
        <f>IF(BE7="",'Egg grading'!M12,BE7+'Egg grading'!M12)</f>
        <v/>
      </c>
      <c r="BF8" s="191" t="str">
        <f>IF(BF7="",'Egg grading'!N12,BF7+'Egg grading'!N12)</f>
        <v/>
      </c>
    </row>
    <row r="9" spans="1:58" x14ac:dyDescent="0.2">
      <c r="A9" s="194">
        <f>'Production data'!B16</f>
        <v>19</v>
      </c>
      <c r="B9" s="191" t="e">
        <f>IF('Production data'!C16="",#N/A,'Production data'!C16)</f>
        <v>#N/A</v>
      </c>
      <c r="C9" s="191" t="e">
        <f>IF(OR('Input Laying'!E17=0,'Input Laying'!D16=0),#N/A,'Input Laying'!E17/'Input Laying'!D16*100*25)</f>
        <v>#N/A</v>
      </c>
      <c r="D9" s="191">
        <f>IF(OR('Production data'!D16="",'Production data'!D16=0),0,'Production data'!D16)</f>
        <v>0</v>
      </c>
      <c r="E9" s="191">
        <f>IF(OR(Std!B22="",Std!B22=0),0,Std!B22)</f>
        <v>10.981494841287715</v>
      </c>
      <c r="F9" s="193">
        <f>IF('Production data'!H16="",0,'Production data'!H16)</f>
        <v>0</v>
      </c>
      <c r="G9" s="193">
        <f>IF(OR(Std!C22="",Std!C22=0),#N/A,Std!C22)</f>
        <v>46.165713667956219</v>
      </c>
      <c r="H9" s="191" t="e">
        <f t="shared" si="0"/>
        <v>#N/A</v>
      </c>
      <c r="I9" s="191">
        <f>('Input Laying'!AH17-1000)/25</f>
        <v>-40</v>
      </c>
      <c r="J9" s="191">
        <f>IF((Std!D22-1000)/25&lt;15,#N/A,(Std!D22-1000)/25)</f>
        <v>22.345926114742834</v>
      </c>
      <c r="K9" s="191" t="e">
        <f>IF('Production data'!P16="",#N/A,'Production data'!P16)</f>
        <v>#N/A</v>
      </c>
      <c r="L9" s="191" t="e">
        <f>IF('Production data'!L16="",#N/A,'Production data'!L16)</f>
        <v>#N/A</v>
      </c>
      <c r="M9" s="191">
        <f>IF(Std!E22=0,#N/A,Std!E22)</f>
        <v>5.0696854648902692</v>
      </c>
      <c r="O9" s="191" t="e">
        <f>IF('Input Laying'!V17=0,NA(),IF('Input Laying'!V17="",NA(),'Input Laying'!W17/'Input Laying'!O17*100))</f>
        <v>#N/A</v>
      </c>
      <c r="P9" s="191" t="e">
        <f>IF('Input Laying'!T17="",#N/A,'Input Laying'!T17/'Input Laying'!N17*100)</f>
        <v>#N/A</v>
      </c>
      <c r="Q9" s="191" t="e">
        <f>IF('Input Laying'!U17="",#N/A,'Input Laying'!U17/'Input Laying'!N17*100)</f>
        <v>#N/A</v>
      </c>
      <c r="R9" s="191" t="str">
        <f>IF('Input Laying'!V17="",#N/A,'Production data'!W16)</f>
        <v/>
      </c>
      <c r="S9" s="191">
        <f>'Input Laying'!D17*7+'Graph values'!S8</f>
        <v>0</v>
      </c>
      <c r="T9" s="191" t="str">
        <f>IF(OR('Input Laying'!AF17="",'Input Laying'!D17=0,'Input Laying'!O17=0),"#N/A",'Input Laying'!AF17/'Input Laying'!D17/(AD9*7)*1000)</f>
        <v>#N/A</v>
      </c>
      <c r="U9" s="191" t="e">
        <f>IF('Production data'!U16="",#N/A,'Production data'!U16)</f>
        <v>#N/A</v>
      </c>
      <c r="V9" s="191" t="e">
        <f>IF('Production data'!V16="",#N/A,'Production data'!V16)</f>
        <v>#N/A</v>
      </c>
      <c r="W9" s="191" t="e">
        <f>IF('Production data'!S16="",#N/A,'Production data'!S16)</f>
        <v>#N/A</v>
      </c>
      <c r="X9" s="191" t="e">
        <f>IF('Production data'!T16="",#N/A,'Production data'!T16)</f>
        <v>#N/A</v>
      </c>
      <c r="Y9" s="191" t="e">
        <f>IF('Input Laying'!E17="",#N/A,'Production data'!F16)</f>
        <v>#N/A</v>
      </c>
      <c r="Z9" s="191">
        <f>IF('Production data'!G16="",#N/A,'Production data'!G16)</f>
        <v>0.97702712598347086</v>
      </c>
      <c r="AD9" s="191">
        <f>IF('Input Laying'!AF17=0,0,(IF('Input Laying'!N17&gt;0,1,IF('Input Laying'!O17&gt;0,0,1))))+AD8</f>
        <v>0</v>
      </c>
      <c r="AE9" s="191">
        <v>19</v>
      </c>
      <c r="AF9" s="191">
        <f>IF(E9&lt;1,#N/A,E9)</f>
        <v>10.981494841287715</v>
      </c>
      <c r="AG9" s="191">
        <f t="shared" ref="AG9:AL9" si="6">IF(AF9-1.5&lt;1,#N/A,AF9-1.5)</f>
        <v>9.4814948412877147</v>
      </c>
      <c r="AH9" s="191">
        <f t="shared" si="6"/>
        <v>7.9814948412877147</v>
      </c>
      <c r="AI9" s="191">
        <f t="shared" si="6"/>
        <v>6.4814948412877147</v>
      </c>
      <c r="AJ9" s="191">
        <f t="shared" si="6"/>
        <v>4.9814948412877147</v>
      </c>
      <c r="AK9" s="191">
        <f t="shared" si="6"/>
        <v>3.4814948412877147</v>
      </c>
      <c r="AL9" s="191">
        <f t="shared" si="6"/>
        <v>1.9814948412877147</v>
      </c>
      <c r="AM9" s="191">
        <f t="shared" si="1"/>
        <v>46.165713667956219</v>
      </c>
      <c r="AN9" s="191">
        <f t="shared" si="4"/>
        <v>45.865713667956221</v>
      </c>
      <c r="AO9" s="191">
        <f t="shared" si="4"/>
        <v>45.565713667956224</v>
      </c>
      <c r="AP9" s="191">
        <f t="shared" si="4"/>
        <v>45.265713667956227</v>
      </c>
      <c r="AQ9" s="191">
        <f t="shared" si="4"/>
        <v>44.96571366795623</v>
      </c>
      <c r="AR9" s="191">
        <f t="shared" si="4"/>
        <v>44.665713667956233</v>
      </c>
      <c r="AS9" s="191">
        <f t="shared" si="4"/>
        <v>44.365713667956236</v>
      </c>
      <c r="AT9" s="191">
        <f>E9*7/100</f>
        <v>0.76870463889014007</v>
      </c>
      <c r="AU9" s="191">
        <f>AT9+AU8</f>
        <v>0.97870463889014003</v>
      </c>
      <c r="AV9" s="191">
        <v>19</v>
      </c>
      <c r="AW9" s="191">
        <f>IFERROR((G9*E9/100)*7,0)</f>
        <v>35.487798254231883</v>
      </c>
      <c r="AX9" s="191">
        <f>AX8+(AW9/1000)</f>
        <v>4.4411166451766383E-2</v>
      </c>
      <c r="AZ9" s="191">
        <v>19</v>
      </c>
      <c r="BA9" s="191">
        <f>IF('Egg grading'!C13="",IF('Egg grading'!B13="","",'Egg grading'!B13),'Egg grading'!C13)</f>
        <v>46.165713667956219</v>
      </c>
      <c r="BC9" s="191" t="str">
        <f>IF(BC8="",'Egg grading'!K13,BC8+'Egg grading'!K13)</f>
        <v/>
      </c>
      <c r="BD9" s="191" t="str">
        <f>IF(BD8="",'Egg grading'!L13,BD8+'Egg grading'!L13)</f>
        <v/>
      </c>
      <c r="BE9" s="191" t="str">
        <f>IF(BE8="",'Egg grading'!M13,BE8+'Egg grading'!M13)</f>
        <v/>
      </c>
      <c r="BF9" s="191" t="str">
        <f>IF(BF8="",'Egg grading'!N13,BF8+'Egg grading'!N13)</f>
        <v/>
      </c>
    </row>
    <row r="10" spans="1:58" x14ac:dyDescent="0.2">
      <c r="A10" s="194">
        <f>'Production data'!B17</f>
        <v>20</v>
      </c>
      <c r="B10" s="191" t="e">
        <f>IF('Production data'!C17="",#N/A,'Production data'!C17)</f>
        <v>#N/A</v>
      </c>
      <c r="C10" s="191" t="e">
        <f>IF(OR('Input Laying'!E18=0,'Input Laying'!D17=0),#N/A,'Input Laying'!E18/'Input Laying'!D17*100*25)</f>
        <v>#N/A</v>
      </c>
      <c r="D10" s="191">
        <f>IF(OR('Production data'!D17="",'Production data'!D17=0),0,'Production data'!D17)</f>
        <v>0</v>
      </c>
      <c r="E10" s="191">
        <f>IF(OR(Std!B23="",Std!B23=0),0,Std!B23)</f>
        <v>31.090325793650802</v>
      </c>
      <c r="F10" s="193" t="e">
        <f>IF('Production data'!H17="",#N/A,'Production data'!H17)</f>
        <v>#N/A</v>
      </c>
      <c r="G10" s="193">
        <f>IF(OR(Std!C23="",Std!C23=0),#N/A,Std!C23)</f>
        <v>49.278198677597565</v>
      </c>
      <c r="H10" s="191" t="e">
        <f>IF(I10&lt;0,#N/A,I10)</f>
        <v>#N/A</v>
      </c>
      <c r="I10" s="191">
        <f>('Input Laying'!AH18-1000)/25</f>
        <v>-40</v>
      </c>
      <c r="J10" s="191">
        <f>IF((Std!D23-1000)/25&lt;15,#N/A,(Std!D23-1000)/25)</f>
        <v>24.860649025009479</v>
      </c>
      <c r="K10" s="191" t="e">
        <f>IF('Production data'!P17="",#N/A,'Production data'!P17)</f>
        <v>#N/A</v>
      </c>
      <c r="L10" s="191" t="e">
        <f>IF('Production data'!L17="",#N/A,'Production data'!L17)</f>
        <v>#N/A</v>
      </c>
      <c r="M10" s="191">
        <f>IF(Std!E23=0,#N/A,Std!E23)</f>
        <v>15.320752514107605</v>
      </c>
      <c r="O10" s="191" t="e">
        <f>IF('Input Laying'!V18=0,NA(),IF('Input Laying'!V18="",NA(),'Input Laying'!W18/'Input Laying'!O18*100))</f>
        <v>#N/A</v>
      </c>
      <c r="P10" s="191" t="e">
        <f>IF('Input Laying'!T18="",#N/A,'Input Laying'!T18/'Input Laying'!N18*100)</f>
        <v>#N/A</v>
      </c>
      <c r="Q10" s="191" t="e">
        <f>IF('Input Laying'!U18="",#N/A,'Input Laying'!U18/'Input Laying'!N18*100)</f>
        <v>#N/A</v>
      </c>
      <c r="R10" s="191" t="str">
        <f>IF('Input Laying'!V18="",#N/A,'Production data'!W17)</f>
        <v/>
      </c>
      <c r="S10" s="191">
        <f>'Input Laying'!D18*7+'Graph values'!S9</f>
        <v>0</v>
      </c>
      <c r="T10" s="191" t="str">
        <f>IF(OR('Input Laying'!AF18="",'Input Laying'!D18=0,'Input Laying'!O18=0),"#N/A",'Input Laying'!AF18/'Input Laying'!D18/(AD10*7)*1000)</f>
        <v>#N/A</v>
      </c>
      <c r="U10" s="191" t="e">
        <f>IF('Production data'!U17="",#N/A,'Production data'!U17)</f>
        <v>#N/A</v>
      </c>
      <c r="V10" s="191" t="e">
        <f>IF('Production data'!V17="",#N/A,'Production data'!V17)</f>
        <v>#N/A</v>
      </c>
      <c r="W10" s="191" t="e">
        <f>IF('Production data'!S17="",#N/A,'Production data'!S17)</f>
        <v>#N/A</v>
      </c>
      <c r="X10" s="191" t="e">
        <f>IF('Production data'!T17="",#N/A,'Production data'!T17)</f>
        <v>#N/A</v>
      </c>
      <c r="Y10" s="191" t="e">
        <f>IF('Input Laying'!E18="",#N/A,'Production data'!F17)</f>
        <v>#N/A</v>
      </c>
      <c r="Z10" s="191">
        <f>IF('Production data'!G17="",#N/A,'Production data'!G17)</f>
        <v>3.1470821218590266</v>
      </c>
      <c r="AD10" s="191">
        <f>IF('Input Laying'!AF18=0,0,(IF('Input Laying'!N18&gt;0,1,IF('Input Laying'!O18&gt;0,0,1))))+AD9</f>
        <v>0</v>
      </c>
      <c r="AE10" s="191">
        <v>20</v>
      </c>
      <c r="AF10" s="191">
        <f t="shared" ref="AF10:AF39" si="7">IF(E10&lt;10,#N/A,E10)</f>
        <v>31.090325793650802</v>
      </c>
      <c r="AG10" s="191">
        <f t="shared" ref="AG10:AL10" si="8">IF(AF10-1.5&lt;10,#N/A,AF10-1.5)</f>
        <v>29.590325793650802</v>
      </c>
      <c r="AH10" s="191">
        <f t="shared" si="8"/>
        <v>28.090325793650802</v>
      </c>
      <c r="AI10" s="191">
        <f t="shared" si="8"/>
        <v>26.590325793650802</v>
      </c>
      <c r="AJ10" s="191">
        <f t="shared" si="8"/>
        <v>25.090325793650802</v>
      </c>
      <c r="AK10" s="191">
        <f t="shared" si="8"/>
        <v>23.590325793650802</v>
      </c>
      <c r="AL10" s="191">
        <f t="shared" si="8"/>
        <v>22.090325793650802</v>
      </c>
      <c r="AM10" s="191">
        <f t="shared" si="1"/>
        <v>49.278198677597565</v>
      </c>
      <c r="AN10" s="191">
        <f t="shared" si="4"/>
        <v>48.978198677597568</v>
      </c>
      <c r="AO10" s="191">
        <f t="shared" si="4"/>
        <v>48.678198677597571</v>
      </c>
      <c r="AP10" s="191">
        <f t="shared" si="4"/>
        <v>48.378198677597574</v>
      </c>
      <c r="AQ10" s="191">
        <f t="shared" si="4"/>
        <v>48.078198677597577</v>
      </c>
      <c r="AR10" s="191">
        <f t="shared" si="4"/>
        <v>47.77819867759758</v>
      </c>
      <c r="AS10" s="191">
        <f t="shared" si="4"/>
        <v>47.478198677597582</v>
      </c>
      <c r="AT10" s="191">
        <f t="shared" si="2"/>
        <v>2.1763228055555559</v>
      </c>
      <c r="AU10" s="191">
        <f t="shared" si="5"/>
        <v>3.1550274444456958</v>
      </c>
      <c r="AV10" s="191">
        <v>20</v>
      </c>
      <c r="AW10" s="191">
        <f t="shared" ref="AW10:AW71" si="9">(G10*E10/100)*7</f>
        <v>107.24526759875323</v>
      </c>
      <c r="AX10" s="191">
        <f t="shared" ref="AX10:AX72" si="10">AX9+(AW10/1000)</f>
        <v>0.15165643405051962</v>
      </c>
      <c r="AZ10" s="191">
        <v>20</v>
      </c>
      <c r="BA10" s="191">
        <f>IF('Egg grading'!C14="",IF('Egg grading'!B14="","",'Egg grading'!B14),'Egg grading'!C14)</f>
        <v>49.278198677597565</v>
      </c>
      <c r="BC10" s="191" t="str">
        <f>IF(BC9="",'Egg grading'!K14,BC9+'Egg grading'!K14)</f>
        <v/>
      </c>
      <c r="BD10" s="191" t="str">
        <f>IF(BD9="",'Egg grading'!L14,BD9+'Egg grading'!L14)</f>
        <v/>
      </c>
      <c r="BE10" s="191" t="str">
        <f>IF(BE9="",'Egg grading'!M14,BE9+'Egg grading'!M14)</f>
        <v/>
      </c>
      <c r="BF10" s="191" t="str">
        <f>IF(BF9="",'Egg grading'!N14,BF9+'Egg grading'!N14)</f>
        <v/>
      </c>
    </row>
    <row r="11" spans="1:58" x14ac:dyDescent="0.2">
      <c r="A11" s="194">
        <f>'Production data'!B18</f>
        <v>21</v>
      </c>
      <c r="B11" s="191" t="e">
        <f>IF('Production data'!C18="",#N/A,'Production data'!C18)</f>
        <v>#N/A</v>
      </c>
      <c r="C11" s="191" t="e">
        <f>IF(OR('Input Laying'!E19=0,'Input Laying'!D18=0),#N/A,'Input Laying'!E19/'Input Laying'!D18*100*25)</f>
        <v>#N/A</v>
      </c>
      <c r="D11" s="191">
        <f>IF(OR('Production data'!D18="",'Production data'!D18=0),0,'Production data'!D18)</f>
        <v>0</v>
      </c>
      <c r="E11" s="191">
        <f>IF(OR(Std!B24="",Std!B24=0),0,Std!B24)</f>
        <v>49.193548412693254</v>
      </c>
      <c r="F11" s="193" t="e">
        <f>IF('Production data'!H18="",#N/A,'Production data'!H18)</f>
        <v>#N/A</v>
      </c>
      <c r="G11" s="193">
        <f>IF(OR(Std!C24="",Std!C24=0),#N/A,Std!C24)</f>
        <v>51.892660224258563</v>
      </c>
      <c r="H11" s="191" t="e">
        <f t="shared" si="0"/>
        <v>#N/A</v>
      </c>
      <c r="I11" s="191">
        <f>('Input Laying'!AH19-1000)/25</f>
        <v>-40</v>
      </c>
      <c r="J11" s="191">
        <f>IF((Std!D24-1000)/25&lt;15,#N/A,(Std!D24-1000)/25)</f>
        <v>27.375371935276135</v>
      </c>
      <c r="K11" s="191" t="e">
        <f>IF('Production data'!P18="",#N/A,'Production data'!P18)</f>
        <v>#N/A</v>
      </c>
      <c r="L11" s="191" t="e">
        <f>IF('Production data'!L18="",#N/A,'Production data'!L18)</f>
        <v>#N/A</v>
      </c>
      <c r="M11" s="191">
        <f>IF(Std!E24=0,#N/A,Std!E24)</f>
        <v>25.527840930055053</v>
      </c>
      <c r="O11" s="191" t="e">
        <f>IF('Input Laying'!V19=0,NA(),IF('Input Laying'!V19="",NA(),'Input Laying'!W19/'Input Laying'!O19*100))</f>
        <v>#N/A</v>
      </c>
      <c r="P11" s="191" t="e">
        <f>IF('Input Laying'!T19="",#N/A,'Input Laying'!T19/'Input Laying'!N19*100)</f>
        <v>#N/A</v>
      </c>
      <c r="Q11" s="191" t="e">
        <f>IF('Input Laying'!U19="",#N/A,'Input Laying'!U19/'Input Laying'!N19*100)</f>
        <v>#N/A</v>
      </c>
      <c r="R11" s="191" t="str">
        <f>IF('Input Laying'!V19="",#N/A,'Production data'!W18)</f>
        <v/>
      </c>
      <c r="S11" s="191">
        <f>'Input Laying'!D19*7+'Graph values'!S10</f>
        <v>0</v>
      </c>
      <c r="T11" s="191" t="str">
        <f>IF(OR('Input Laying'!AF19="",'Input Laying'!D19=0,'Input Laying'!O19=0),"#N/A",'Input Laying'!AF19/'Input Laying'!D19/(AD11*7)*1000)</f>
        <v>#N/A</v>
      </c>
      <c r="U11" s="191" t="e">
        <f>IF('Production data'!U18="",#N/A,'Production data'!U18)</f>
        <v>#N/A</v>
      </c>
      <c r="V11" s="191" t="e">
        <f>IF('Production data'!V18="",#N/A,'Production data'!V18)</f>
        <v>#N/A</v>
      </c>
      <c r="W11" s="191" t="e">
        <f>IF('Production data'!S18="",#N/A,'Production data'!S18)</f>
        <v>#N/A</v>
      </c>
      <c r="X11" s="191" t="e">
        <f>IF('Production data'!T18="",#N/A,'Production data'!T18)</f>
        <v>#N/A</v>
      </c>
      <c r="Y11" s="191" t="e">
        <f>IF('Input Laying'!E19="",#N/A,'Production data'!F18)</f>
        <v>#N/A</v>
      </c>
      <c r="Z11" s="191">
        <f>IF('Production data'!G18="",#N/A,'Production data'!G18)</f>
        <v>6.577407284934222</v>
      </c>
      <c r="AD11" s="191">
        <f>IF('Input Laying'!AF19=0,0,(IF('Input Laying'!N19&gt;0,1,IF('Input Laying'!O19&gt;0,0,1))))+AD10</f>
        <v>0</v>
      </c>
      <c r="AE11" s="191">
        <v>21</v>
      </c>
      <c r="AF11" s="191">
        <f t="shared" si="7"/>
        <v>49.193548412693254</v>
      </c>
      <c r="AG11" s="191">
        <f t="shared" si="3"/>
        <v>47.693548412693254</v>
      </c>
      <c r="AH11" s="191">
        <f t="shared" si="3"/>
        <v>46.193548412693254</v>
      </c>
      <c r="AI11" s="191">
        <f t="shared" ref="AI11:AI72" si="11">AH11-1.5</f>
        <v>44.693548412693254</v>
      </c>
      <c r="AJ11" s="191">
        <f t="shared" si="3"/>
        <v>43.193548412693254</v>
      </c>
      <c r="AK11" s="191">
        <f t="shared" si="3"/>
        <v>41.693548412693254</v>
      </c>
      <c r="AL11" s="191">
        <f t="shared" si="3"/>
        <v>40.193548412693254</v>
      </c>
      <c r="AM11" s="191">
        <f t="shared" si="1"/>
        <v>51.892660224258563</v>
      </c>
      <c r="AN11" s="191">
        <f t="shared" si="4"/>
        <v>51.592660224258566</v>
      </c>
      <c r="AO11" s="191">
        <f t="shared" si="4"/>
        <v>51.292660224258569</v>
      </c>
      <c r="AP11" s="191">
        <f t="shared" si="4"/>
        <v>50.992660224258572</v>
      </c>
      <c r="AQ11" s="191">
        <f t="shared" si="4"/>
        <v>50.692660224258574</v>
      </c>
      <c r="AR11" s="191">
        <f t="shared" si="4"/>
        <v>50.392660224258577</v>
      </c>
      <c r="AS11" s="191">
        <f t="shared" si="4"/>
        <v>50.09266022425858</v>
      </c>
      <c r="AT11" s="191">
        <f t="shared" si="2"/>
        <v>3.4435483888885279</v>
      </c>
      <c r="AU11" s="191">
        <f t="shared" si="5"/>
        <v>6.5985758333342233</v>
      </c>
      <c r="AV11" s="191">
        <v>21</v>
      </c>
      <c r="AW11" s="191">
        <f t="shared" si="9"/>
        <v>178.69488651038537</v>
      </c>
      <c r="AX11" s="191">
        <f t="shared" si="10"/>
        <v>0.33035132056090499</v>
      </c>
      <c r="AZ11" s="191">
        <v>21</v>
      </c>
      <c r="BA11" s="191">
        <f>IF('Egg grading'!C15="",IF('Egg grading'!B15="","",'Egg grading'!B15),'Egg grading'!C15)</f>
        <v>51.892660224258563</v>
      </c>
      <c r="BC11" s="191" t="str">
        <f>IF(BC10="",'Egg grading'!K15,BC10+'Egg grading'!K15)</f>
        <v/>
      </c>
      <c r="BD11" s="191" t="str">
        <f>IF(BD10="",'Egg grading'!L15,BD10+'Egg grading'!L15)</f>
        <v/>
      </c>
      <c r="BE11" s="191" t="str">
        <f>IF(BE10="",'Egg grading'!M15,BE10+'Egg grading'!M15)</f>
        <v/>
      </c>
      <c r="BF11" s="191" t="str">
        <f>IF(BF10="",'Egg grading'!N15,BF10+'Egg grading'!N15)</f>
        <v/>
      </c>
    </row>
    <row r="12" spans="1:58" x14ac:dyDescent="0.2">
      <c r="A12" s="194">
        <f>'Production data'!B19</f>
        <v>22</v>
      </c>
      <c r="B12" s="191" t="e">
        <f>IF('Production data'!C19="",#N/A,'Production data'!C19)</f>
        <v>#N/A</v>
      </c>
      <c r="C12" s="191" t="e">
        <f>IF(OR('Input Laying'!E20=0,'Input Laying'!D19=0),#N/A,'Input Laying'!E20/'Input Laying'!D19*100*25)</f>
        <v>#N/A</v>
      </c>
      <c r="D12" s="191">
        <f>IF(OR('Production data'!D19="",'Production data'!D19=0),0,'Production data'!D19)</f>
        <v>0</v>
      </c>
      <c r="E12" s="191">
        <f>IF(OR(Std!B25="",Std!B25=0),0,Std!B25)</f>
        <v>66.812851587314796</v>
      </c>
      <c r="F12" s="193" t="e">
        <f>IF('Production data'!H19="",#N/A,'Production data'!H19)</f>
        <v>#N/A</v>
      </c>
      <c r="G12" s="193">
        <f>IF(OR(Std!C25="",Std!C25=0),#N/A,Std!C25)</f>
        <v>54.068332197003436</v>
      </c>
      <c r="H12" s="191" t="e">
        <f t="shared" si="0"/>
        <v>#N/A</v>
      </c>
      <c r="I12" s="191">
        <f>('Input Laying'!AH20-1000)/25</f>
        <v>-40</v>
      </c>
      <c r="J12" s="191">
        <f>IF((Std!D25-1000)/25&lt;15,#N/A,(Std!D25-1000)/25)</f>
        <v>28.913523079564783</v>
      </c>
      <c r="K12" s="191" t="e">
        <f>IF('Production data'!P19="",#N/A,'Production data'!P19)</f>
        <v>#N/A</v>
      </c>
      <c r="L12" s="191" t="e">
        <f>IF('Production data'!L19="",#N/A,'Production data'!L19)</f>
        <v>#N/A</v>
      </c>
      <c r="M12" s="191">
        <f>IF(Std!E25=0,#N/A,Std!E25)</f>
        <v>36.12459454652025</v>
      </c>
      <c r="O12" s="191" t="e">
        <f>IF('Input Laying'!V20=0,NA(),IF('Input Laying'!V20="",NA(),'Input Laying'!W20/'Input Laying'!O20*100))</f>
        <v>#N/A</v>
      </c>
      <c r="P12" s="191" t="e">
        <f>IF('Input Laying'!T20="",#N/A,'Input Laying'!T20/'Input Laying'!N20*100)</f>
        <v>#N/A</v>
      </c>
      <c r="Q12" s="191" t="e">
        <f>IF('Input Laying'!U20="",#N/A,'Input Laying'!U20/'Input Laying'!N20*100)</f>
        <v>#N/A</v>
      </c>
      <c r="R12" s="191" t="str">
        <f>IF('Input Laying'!V20="",#N/A,'Production data'!W19)</f>
        <v/>
      </c>
      <c r="S12" s="191">
        <f>'Input Laying'!D20*7+'Graph values'!S11</f>
        <v>0</v>
      </c>
      <c r="T12" s="191" t="str">
        <f>IF(OR('Input Laying'!AF20="",'Input Laying'!D20=0,'Input Laying'!O20=0),"#N/A",'Input Laying'!AF20/'Input Laying'!D20/(AD12*7)*1000)</f>
        <v>#N/A</v>
      </c>
      <c r="U12" s="191" t="e">
        <f>IF('Production data'!U19="",#N/A,'Production data'!U19)</f>
        <v>#N/A</v>
      </c>
      <c r="V12" s="191" t="e">
        <f>IF('Production data'!V19="",#N/A,'Production data'!V19)</f>
        <v>#N/A</v>
      </c>
      <c r="W12" s="191" t="e">
        <f>IF('Production data'!S19="",#N/A,'Production data'!S19)</f>
        <v>#N/A</v>
      </c>
      <c r="X12" s="191" t="e">
        <f>IF('Production data'!T19="",#N/A,'Production data'!T19)</f>
        <v>#N/A</v>
      </c>
      <c r="Y12" s="191" t="e">
        <f>IF('Input Laying'!E20="",#N/A,'Production data'!F19)</f>
        <v>#N/A</v>
      </c>
      <c r="Z12" s="191">
        <f>IF('Production data'!G19="",#N/A,'Production data'!G19)</f>
        <v>11.23185777791292</v>
      </c>
      <c r="AD12" s="191">
        <f>IF('Input Laying'!AF20=0,0,(IF('Input Laying'!N20&gt;0,1,IF('Input Laying'!O20&gt;0,0,1))))+AD11</f>
        <v>0</v>
      </c>
      <c r="AE12" s="191">
        <v>22</v>
      </c>
      <c r="AF12" s="191">
        <f t="shared" si="7"/>
        <v>66.812851587314796</v>
      </c>
      <c r="AG12" s="191">
        <f t="shared" si="3"/>
        <v>65.312851587314796</v>
      </c>
      <c r="AH12" s="191">
        <f t="shared" si="3"/>
        <v>63.812851587314796</v>
      </c>
      <c r="AI12" s="191">
        <f t="shared" si="11"/>
        <v>62.312851587314796</v>
      </c>
      <c r="AJ12" s="191">
        <f t="shared" si="3"/>
        <v>60.812851587314796</v>
      </c>
      <c r="AK12" s="191">
        <f t="shared" si="3"/>
        <v>59.312851587314796</v>
      </c>
      <c r="AL12" s="191">
        <f t="shared" si="3"/>
        <v>57.812851587314796</v>
      </c>
      <c r="AM12" s="191">
        <f t="shared" si="1"/>
        <v>54.068332197003436</v>
      </c>
      <c r="AN12" s="191">
        <f t="shared" si="4"/>
        <v>53.768332197003438</v>
      </c>
      <c r="AO12" s="191">
        <f t="shared" si="4"/>
        <v>53.468332197003441</v>
      </c>
      <c r="AP12" s="191">
        <f t="shared" si="4"/>
        <v>53.168332197003444</v>
      </c>
      <c r="AQ12" s="191">
        <f t="shared" si="4"/>
        <v>52.868332197003447</v>
      </c>
      <c r="AR12" s="191">
        <f t="shared" si="4"/>
        <v>52.56833219700345</v>
      </c>
      <c r="AS12" s="191">
        <f t="shared" si="4"/>
        <v>52.268332197003453</v>
      </c>
      <c r="AT12" s="191">
        <f t="shared" si="2"/>
        <v>4.6768996111120353</v>
      </c>
      <c r="AU12" s="191">
        <f t="shared" si="5"/>
        <v>11.275475444446258</v>
      </c>
      <c r="AV12" s="191">
        <v>22</v>
      </c>
      <c r="AW12" s="191">
        <f t="shared" si="9"/>
        <v>252.87216182564174</v>
      </c>
      <c r="AX12" s="191">
        <f t="shared" si="10"/>
        <v>0.58322348238654675</v>
      </c>
      <c r="AZ12" s="191">
        <v>22</v>
      </c>
      <c r="BA12" s="191">
        <f>IF('Egg grading'!C16="",IF('Egg grading'!B16="","",'Egg grading'!B16),'Egg grading'!C16)</f>
        <v>54.068332197003436</v>
      </c>
      <c r="BC12" s="191" t="str">
        <f>IF(BC11="",'Egg grading'!K16,BC11+'Egg grading'!K16)</f>
        <v/>
      </c>
      <c r="BD12" s="191" t="str">
        <f>IF(BD11="",'Egg grading'!L16,BD11+'Egg grading'!L16)</f>
        <v/>
      </c>
      <c r="BE12" s="191" t="str">
        <f>IF(BE11="",'Egg grading'!M16,BE11+'Egg grading'!M16)</f>
        <v/>
      </c>
      <c r="BF12" s="191" t="str">
        <f>IF(BF11="",'Egg grading'!N16,BF11+'Egg grading'!N16)</f>
        <v/>
      </c>
    </row>
    <row r="13" spans="1:58" x14ac:dyDescent="0.2">
      <c r="A13" s="194">
        <f>'Production data'!B20</f>
        <v>23</v>
      </c>
      <c r="B13" s="191" t="e">
        <f>IF('Production data'!C20="",#N/A,'Production data'!C20)</f>
        <v>#N/A</v>
      </c>
      <c r="C13" s="191" t="e">
        <f>IF(OR('Input Laying'!E21=0,'Input Laying'!D20=0),#N/A,'Input Laying'!E21/'Input Laying'!D20*100*25)</f>
        <v>#N/A</v>
      </c>
      <c r="D13" s="191">
        <f>IF(OR('Production data'!D20="",'Production data'!D20=0),0,'Production data'!D20)</f>
        <v>0</v>
      </c>
      <c r="E13" s="191">
        <f>IF(OR(Std!B26="",Std!B26=0),0,Std!B26)</f>
        <v>82.19717420633819</v>
      </c>
      <c r="F13" s="193" t="e">
        <f>IF('Production data'!H20="",#N/A,'Production data'!H20)</f>
        <v>#N/A</v>
      </c>
      <c r="G13" s="193">
        <f>IF(OR(Std!C26="",Std!C26=0),#N/A,Std!C26)</f>
        <v>55.86070669069413</v>
      </c>
      <c r="H13" s="191" t="e">
        <f t="shared" si="0"/>
        <v>#N/A</v>
      </c>
      <c r="I13" s="191">
        <f>('Input Laying'!AH21-1000)/25</f>
        <v>-40</v>
      </c>
      <c r="J13" s="191">
        <f>IF((Std!D26-1000)/25&lt;15,#N/A,(Std!D26-1000)/25)</f>
        <v>30.013505742510489</v>
      </c>
      <c r="K13" s="191" t="e">
        <f>IF('Production data'!P20="",#N/A,'Production data'!P20)</f>
        <v>#N/A</v>
      </c>
      <c r="L13" s="191" t="e">
        <f>IF('Production data'!L20="",#N/A,'Production data'!L20)</f>
        <v>#N/A</v>
      </c>
      <c r="M13" s="191">
        <f>IF(Std!E26=0,#N/A,Std!E26)</f>
        <v>45.915922391441462</v>
      </c>
      <c r="O13" s="191" t="e">
        <f>IF('Input Laying'!V21=0,NA(),IF('Input Laying'!V21="",NA(),'Input Laying'!W21/'Input Laying'!O21*100))</f>
        <v>#N/A</v>
      </c>
      <c r="P13" s="191" t="e">
        <f>IF('Input Laying'!T21="",#N/A,'Input Laying'!T21/'Input Laying'!N21*100)</f>
        <v>#N/A</v>
      </c>
      <c r="Q13" s="191" t="e">
        <f>IF('Input Laying'!U21="",#N/A,'Input Laying'!U21/'Input Laying'!N21*100)</f>
        <v>#N/A</v>
      </c>
      <c r="R13" s="191" t="str">
        <f>IF('Input Laying'!V21="",#N/A,'Production data'!W20)</f>
        <v/>
      </c>
      <c r="S13" s="191">
        <f>'Input Laying'!D21*7+'Graph values'!S12</f>
        <v>0</v>
      </c>
      <c r="T13" s="191" t="str">
        <f>IF(OR('Input Laying'!AF21="",'Input Laying'!D21=0,'Input Laying'!O21=0),"#N/A",'Input Laying'!AF21/'Input Laying'!D21/(AD13*7)*1000)</f>
        <v>#N/A</v>
      </c>
      <c r="U13" s="191" t="e">
        <f>IF('Production data'!U20="",#N/A,'Production data'!U20)</f>
        <v>#N/A</v>
      </c>
      <c r="V13" s="191" t="e">
        <f>IF('Production data'!V20="",#N/A,'Production data'!V20)</f>
        <v>#N/A</v>
      </c>
      <c r="W13" s="191" t="e">
        <f>IF('Production data'!S20="",#N/A,'Production data'!S20)</f>
        <v>#N/A</v>
      </c>
      <c r="X13" s="191" t="e">
        <f>IF('Production data'!T20="",#N/A,'Production data'!T20)</f>
        <v>#N/A</v>
      </c>
      <c r="Y13" s="191" t="e">
        <f>IF('Input Laying'!E21="",#N/A,'Production data'!F20)</f>
        <v>#N/A</v>
      </c>
      <c r="Z13" s="191">
        <f>IF('Production data'!G20="",#N/A,'Production data'!G20)</f>
        <v>16.952518071716597</v>
      </c>
      <c r="AD13" s="191">
        <f>IF('Input Laying'!AF21=0,0,(IF('Input Laying'!N21&gt;0,1,IF('Input Laying'!O21&gt;0,0,1))))+AD12</f>
        <v>0</v>
      </c>
      <c r="AE13" s="191">
        <v>23</v>
      </c>
      <c r="AF13" s="191">
        <f t="shared" si="7"/>
        <v>82.19717420633819</v>
      </c>
      <c r="AG13" s="191">
        <f t="shared" ref="AG13:AL13" si="12">AF13-0.9</f>
        <v>81.297174206338184</v>
      </c>
      <c r="AH13" s="191">
        <f t="shared" si="12"/>
        <v>80.397174206338178</v>
      </c>
      <c r="AI13" s="191">
        <f t="shared" si="11"/>
        <v>78.897174206338178</v>
      </c>
      <c r="AJ13" s="191">
        <f t="shared" si="12"/>
        <v>77.997174206338173</v>
      </c>
      <c r="AK13" s="191">
        <f t="shared" si="12"/>
        <v>77.097174206338167</v>
      </c>
      <c r="AL13" s="191">
        <f t="shared" si="12"/>
        <v>76.197174206338161</v>
      </c>
      <c r="AM13" s="191">
        <f t="shared" si="1"/>
        <v>55.86070669069413</v>
      </c>
      <c r="AN13" s="191">
        <f t="shared" si="4"/>
        <v>55.560706690694133</v>
      </c>
      <c r="AO13" s="191">
        <f t="shared" si="4"/>
        <v>55.260706690694136</v>
      </c>
      <c r="AP13" s="191">
        <f t="shared" si="4"/>
        <v>54.960706690694138</v>
      </c>
      <c r="AQ13" s="191">
        <f t="shared" si="4"/>
        <v>54.660706690694141</v>
      </c>
      <c r="AR13" s="191">
        <f t="shared" si="4"/>
        <v>54.360706690694144</v>
      </c>
      <c r="AS13" s="191">
        <f t="shared" si="4"/>
        <v>54.060706690694147</v>
      </c>
      <c r="AT13" s="191">
        <f t="shared" si="2"/>
        <v>5.753802194443673</v>
      </c>
      <c r="AU13" s="191">
        <f t="shared" si="5"/>
        <v>17.02927763888993</v>
      </c>
      <c r="AV13" s="191">
        <v>23</v>
      </c>
      <c r="AW13" s="191">
        <f t="shared" si="9"/>
        <v>321.41145674009022</v>
      </c>
      <c r="AX13" s="191">
        <f t="shared" si="10"/>
        <v>0.90463493912663695</v>
      </c>
      <c r="AZ13" s="191">
        <v>23</v>
      </c>
      <c r="BA13" s="191">
        <f>IF('Egg grading'!C17="",IF('Egg grading'!B17="","",'Egg grading'!B17),'Egg grading'!C17)</f>
        <v>55.86070669069413</v>
      </c>
      <c r="BC13" s="191" t="str">
        <f>IF(BC12="",'Egg grading'!K17,BC12+'Egg grading'!K17)</f>
        <v/>
      </c>
      <c r="BD13" s="191" t="str">
        <f>IF(BD12="",'Egg grading'!L17,BD12+'Egg grading'!L17)</f>
        <v/>
      </c>
      <c r="BE13" s="191" t="str">
        <f>IF(BE12="",'Egg grading'!M17,BE12+'Egg grading'!M17)</f>
        <v/>
      </c>
      <c r="BF13" s="191" t="str">
        <f>IF(BF12="",'Egg grading'!N17,BF12+'Egg grading'!N17)</f>
        <v/>
      </c>
    </row>
    <row r="14" spans="1:58" x14ac:dyDescent="0.2">
      <c r="A14" s="194">
        <f>'Production data'!B21</f>
        <v>24</v>
      </c>
      <c r="B14" s="191" t="e">
        <f>IF('Production data'!C21="",#N/A,'Production data'!C21)</f>
        <v>#N/A</v>
      </c>
      <c r="C14" s="191" t="e">
        <f>IF(OR('Input Laying'!E22=0,'Input Laying'!D21=0),#N/A,'Input Laying'!E22/'Input Laying'!D21*100*25)</f>
        <v>#N/A</v>
      </c>
      <c r="D14" s="191">
        <f>IF(OR('Production data'!D21="",'Production data'!D21=0),0,'Production data'!D21)</f>
        <v>0</v>
      </c>
      <c r="E14" s="191">
        <f>IF(OR(Std!B27="",Std!B27=0),0,Std!B27)</f>
        <v>90.322705158758438</v>
      </c>
      <c r="F14" s="193" t="e">
        <f>IF('Production data'!H21="",#N/A,'Production data'!H21)</f>
        <v>#N/A</v>
      </c>
      <c r="G14" s="193">
        <f>IF(OR(Std!C27="",Std!C27=0),#N/A,Std!C27)</f>
        <v>57.32153400599077</v>
      </c>
      <c r="H14" s="191" t="e">
        <f t="shared" si="0"/>
        <v>#N/A</v>
      </c>
      <c r="I14" s="191">
        <f>('Input Laying'!AH22-1000)/25</f>
        <v>-40</v>
      </c>
      <c r="J14" s="191">
        <f>IF((Std!D27-1000)/25&lt;15,#N/A,(Std!D27-1000)/25)</f>
        <v>30.777682696381227</v>
      </c>
      <c r="K14" s="191" t="e">
        <f>IF('Production data'!P21="",#N/A,'Production data'!P21)</f>
        <v>#N/A</v>
      </c>
      <c r="L14" s="191" t="e">
        <f>IF('Production data'!L21="",#N/A,'Production data'!L21)</f>
        <v>#N/A</v>
      </c>
      <c r="M14" s="191">
        <f>IF(Std!E27=0,#N/A,Std!E27)</f>
        <v>51.774360152708496</v>
      </c>
      <c r="O14" s="191" t="e">
        <f>IF('Input Laying'!V22=0,NA(),IF('Input Laying'!V22="",NA(),'Input Laying'!W22/'Input Laying'!O22*100))</f>
        <v>#N/A</v>
      </c>
      <c r="P14" s="191" t="e">
        <f>IF('Input Laying'!T22="",#N/A,'Input Laying'!T22/'Input Laying'!N22*100)</f>
        <v>#N/A</v>
      </c>
      <c r="Q14" s="191" t="e">
        <f>IF('Input Laying'!U22="",#N/A,'Input Laying'!U22/'Input Laying'!N22*100)</f>
        <v>#N/A</v>
      </c>
      <c r="R14" s="191" t="str">
        <f>IF('Input Laying'!V22="",#N/A,'Production data'!W21)</f>
        <v/>
      </c>
      <c r="S14" s="191">
        <f>'Input Laying'!D22*7+'Graph values'!S13</f>
        <v>0</v>
      </c>
      <c r="T14" s="191" t="str">
        <f>IF(OR('Input Laying'!AF22="",'Input Laying'!D22=0,'Input Laying'!O22=0),"#N/A",'Input Laying'!AF22/'Input Laying'!D22/(AD14*7)*1000)</f>
        <v>#N/A</v>
      </c>
      <c r="U14" s="191" t="e">
        <f>IF('Production data'!U21="",#N/A,'Production data'!U21)</f>
        <v>#N/A</v>
      </c>
      <c r="V14" s="191" t="e">
        <f>IF('Production data'!V21="",#N/A,'Production data'!V21)</f>
        <v>#N/A</v>
      </c>
      <c r="W14" s="191" t="e">
        <f>IF('Production data'!S21="",#N/A,'Production data'!S21)</f>
        <v>#N/A</v>
      </c>
      <c r="X14" s="191" t="e">
        <f>IF('Production data'!T21="",#N/A,'Production data'!T21)</f>
        <v>#N/A</v>
      </c>
      <c r="Y14" s="191" t="e">
        <f>IF('Input Laying'!E22="",#N/A,'Production data'!F21)</f>
        <v>#N/A</v>
      </c>
      <c r="Z14" s="191">
        <f>IF('Production data'!G21="",#N/A,'Production data'!G21)</f>
        <v>23.232619632323008</v>
      </c>
      <c r="AD14" s="191">
        <f>IF('Input Laying'!AF22=0,0,(IF('Input Laying'!N22&gt;0,1,IF('Input Laying'!O22&gt;0,0,1))))+AD13</f>
        <v>0</v>
      </c>
      <c r="AE14" s="191">
        <v>24</v>
      </c>
      <c r="AF14" s="191">
        <f t="shared" si="7"/>
        <v>90.322705158758438</v>
      </c>
      <c r="AG14" s="191">
        <f t="shared" ref="AG14:AL29" si="13">AF14-0.45</f>
        <v>89.872705158758436</v>
      </c>
      <c r="AH14" s="191">
        <f t="shared" si="13"/>
        <v>89.422705158758433</v>
      </c>
      <c r="AI14" s="191">
        <f t="shared" si="11"/>
        <v>87.922705158758433</v>
      </c>
      <c r="AJ14" s="191">
        <f t="shared" si="13"/>
        <v>87.47270515875843</v>
      </c>
      <c r="AK14" s="191">
        <f t="shared" si="13"/>
        <v>87.022705158758427</v>
      </c>
      <c r="AL14" s="191">
        <f t="shared" si="13"/>
        <v>86.572705158758424</v>
      </c>
      <c r="AM14" s="191">
        <f t="shared" si="1"/>
        <v>57.32153400599077</v>
      </c>
      <c r="AN14" s="191">
        <f t="shared" si="4"/>
        <v>57.021534005990773</v>
      </c>
      <c r="AO14" s="191">
        <f t="shared" si="4"/>
        <v>56.721534005990776</v>
      </c>
      <c r="AP14" s="191">
        <f t="shared" si="4"/>
        <v>56.421534005990779</v>
      </c>
      <c r="AQ14" s="191">
        <f t="shared" si="4"/>
        <v>56.121534005990782</v>
      </c>
      <c r="AR14" s="191">
        <f t="shared" si="4"/>
        <v>55.821534005990785</v>
      </c>
      <c r="AS14" s="191">
        <f t="shared" si="4"/>
        <v>55.521534005990787</v>
      </c>
      <c r="AT14" s="191">
        <f t="shared" si="2"/>
        <v>6.3225893611130903</v>
      </c>
      <c r="AU14" s="191">
        <f t="shared" si="5"/>
        <v>23.351867000003018</v>
      </c>
      <c r="AV14" s="191">
        <v>24</v>
      </c>
      <c r="AW14" s="191">
        <f t="shared" si="9"/>
        <v>362.42052106895949</v>
      </c>
      <c r="AX14" s="191">
        <f t="shared" si="10"/>
        <v>1.2670554601955963</v>
      </c>
      <c r="AZ14" s="191">
        <v>24</v>
      </c>
      <c r="BA14" s="191">
        <f>IF('Egg grading'!C18="",IF('Egg grading'!B18="","",'Egg grading'!B18),'Egg grading'!C18)</f>
        <v>57.32153400599077</v>
      </c>
      <c r="BC14" s="191" t="str">
        <f>IF(BC13="",'Egg grading'!K18,BC13+'Egg grading'!K18)</f>
        <v/>
      </c>
      <c r="BD14" s="191" t="str">
        <f>IF(BD13="",'Egg grading'!L18,BD13+'Egg grading'!L18)</f>
        <v/>
      </c>
      <c r="BE14" s="191" t="str">
        <f>IF(BE13="",'Egg grading'!M18,BE13+'Egg grading'!M18)</f>
        <v/>
      </c>
      <c r="BF14" s="191" t="str">
        <f>IF(BF13="",'Egg grading'!N18,BF13+'Egg grading'!N18)</f>
        <v/>
      </c>
    </row>
    <row r="15" spans="1:58" x14ac:dyDescent="0.2">
      <c r="A15" s="194">
        <f>'Production data'!B22</f>
        <v>25</v>
      </c>
      <c r="B15" s="191" t="e">
        <f>IF('Production data'!C22="",#N/A,'Production data'!C22)</f>
        <v>#N/A</v>
      </c>
      <c r="C15" s="191" t="e">
        <f>IF(OR('Input Laying'!E23=0,'Input Laying'!D22=0),#N/A,'Input Laying'!E23/'Input Laying'!D22*100*25)</f>
        <v>#N/A</v>
      </c>
      <c r="D15" s="191">
        <f>IF(OR('Production data'!D22="",'Production data'!D22=0),0,'Production data'!D22)</f>
        <v>0</v>
      </c>
      <c r="E15" s="191">
        <f>IF(OR(Std!B28="",Std!B28=0),0,Std!B28)</f>
        <v>92.969803679609498</v>
      </c>
      <c r="F15" s="193" t="e">
        <f>IF('Production data'!H22="",#N/A,'Production data'!H22)</f>
        <v>#N/A</v>
      </c>
      <c r="G15" s="193">
        <f>IF(OR(Std!C28="",Std!C28=0),#N/A,Std!C28)</f>
        <v>58.498822649351531</v>
      </c>
      <c r="H15" s="191" t="e">
        <f t="shared" si="0"/>
        <v>#N/A</v>
      </c>
      <c r="I15" s="191">
        <f>('Input Laying'!AH23-1000)/25</f>
        <v>-40</v>
      </c>
      <c r="J15" s="191">
        <f>IF((Std!D28-1000)/25&lt;15,#N/A,(Std!D28-1000)/25)</f>
        <v>31.296531343506167</v>
      </c>
      <c r="K15" s="191" t="e">
        <f>IF('Production data'!P22="",#N/A,'Production data'!P22)</f>
        <v>#N/A</v>
      </c>
      <c r="L15" s="191" t="e">
        <f>IF('Production data'!L22="",#N/A,'Production data'!L22)</f>
        <v>#N/A</v>
      </c>
      <c r="M15" s="191">
        <f>IF(Std!E28=0,#N/A,Std!E28)</f>
        <v>54.386240571985056</v>
      </c>
      <c r="O15" s="191" t="e">
        <f>IF('Input Laying'!V23=0,NA(),IF('Input Laying'!V23="",NA(),'Input Laying'!W23/'Input Laying'!O23*100))</f>
        <v>#N/A</v>
      </c>
      <c r="P15" s="191" t="e">
        <f>IF('Input Laying'!T23="",#N/A,'Input Laying'!T23/'Input Laying'!N23*100)</f>
        <v>#N/A</v>
      </c>
      <c r="Q15" s="191" t="e">
        <f>IF('Input Laying'!U23="",#N/A,'Input Laying'!U23/'Input Laying'!N23*100)</f>
        <v>#N/A</v>
      </c>
      <c r="R15" s="191" t="str">
        <f>IF('Input Laying'!V23="",#N/A,'Production data'!W22)</f>
        <v/>
      </c>
      <c r="S15" s="191">
        <f>'Input Laying'!D23*7+'Graph values'!S14</f>
        <v>0</v>
      </c>
      <c r="T15" s="191" t="str">
        <f>IF(OR('Input Laying'!AF23="",'Input Laying'!D23=0,'Input Laying'!O23=0),"#N/A",'Input Laying'!AF23/'Input Laying'!D23/(AD15*7)*1000)</f>
        <v>#N/A</v>
      </c>
      <c r="U15" s="191" t="e">
        <f>IF('Production data'!U22="",#N/A,'Production data'!U22)</f>
        <v>#N/A</v>
      </c>
      <c r="V15" s="191" t="e">
        <f>IF('Production data'!V22="",#N/A,'Production data'!V22)</f>
        <v>#N/A</v>
      </c>
      <c r="W15" s="191" t="e">
        <f>IF('Production data'!S22="",#N/A,'Production data'!S22)</f>
        <v>#N/A</v>
      </c>
      <c r="X15" s="191" t="e">
        <f>IF('Production data'!T22="",#N/A,'Production data'!T22)</f>
        <v>#N/A</v>
      </c>
      <c r="Y15" s="191" t="e">
        <f>IF('Input Laying'!E23="",#N/A,'Production data'!F22)</f>
        <v>#N/A</v>
      </c>
      <c r="Z15" s="191">
        <f>IF('Production data'!G22="",#N/A,'Production data'!G22)</f>
        <v>29.690525323437512</v>
      </c>
      <c r="AD15" s="191">
        <f>IF('Input Laying'!AF23=0,0,(IF('Input Laying'!N23&gt;0,1,IF('Input Laying'!O23&gt;0,0,1))))+AD14</f>
        <v>0</v>
      </c>
      <c r="AE15" s="191">
        <v>25</v>
      </c>
      <c r="AF15" s="191">
        <f t="shared" si="7"/>
        <v>92.969803679609498</v>
      </c>
      <c r="AG15" s="191">
        <f t="shared" si="13"/>
        <v>92.519803679609495</v>
      </c>
      <c r="AH15" s="191">
        <f t="shared" si="13"/>
        <v>92.069803679609493</v>
      </c>
      <c r="AI15" s="191">
        <f t="shared" si="11"/>
        <v>90.569803679609493</v>
      </c>
      <c r="AJ15" s="191">
        <f t="shared" si="13"/>
        <v>90.11980367960949</v>
      </c>
      <c r="AK15" s="191">
        <f t="shared" si="13"/>
        <v>89.669803679609487</v>
      </c>
      <c r="AL15" s="191">
        <f t="shared" si="13"/>
        <v>89.219803679609484</v>
      </c>
      <c r="AM15" s="191">
        <f t="shared" si="1"/>
        <v>58.498822649351531</v>
      </c>
      <c r="AN15" s="191">
        <f t="shared" si="4"/>
        <v>58.198822649351534</v>
      </c>
      <c r="AO15" s="191">
        <f t="shared" si="4"/>
        <v>57.898822649351537</v>
      </c>
      <c r="AP15" s="191">
        <f t="shared" si="4"/>
        <v>57.59882264935154</v>
      </c>
      <c r="AQ15" s="191">
        <f t="shared" si="4"/>
        <v>57.298822649351543</v>
      </c>
      <c r="AR15" s="191">
        <f t="shared" si="4"/>
        <v>56.998822649351546</v>
      </c>
      <c r="AS15" s="191">
        <f t="shared" si="4"/>
        <v>56.698822649351548</v>
      </c>
      <c r="AT15" s="191">
        <f t="shared" si="2"/>
        <v>6.5078862575726646</v>
      </c>
      <c r="AU15" s="191">
        <f t="shared" si="5"/>
        <v>29.859753257575683</v>
      </c>
      <c r="AV15" s="191">
        <v>25</v>
      </c>
      <c r="AW15" s="191">
        <f t="shared" si="9"/>
        <v>380.70368400389538</v>
      </c>
      <c r="AX15" s="191">
        <f t="shared" si="10"/>
        <v>1.6477591441994917</v>
      </c>
      <c r="AZ15" s="191">
        <v>25</v>
      </c>
      <c r="BA15" s="191">
        <f>IF('Egg grading'!C19="",IF('Egg grading'!B19="","",'Egg grading'!B19),'Egg grading'!C19)</f>
        <v>58.498822649351531</v>
      </c>
      <c r="BC15" s="191" t="str">
        <f>IF(BC14="",'Egg grading'!K19,BC14+'Egg grading'!K19)</f>
        <v/>
      </c>
      <c r="BD15" s="191" t="str">
        <f>IF(BD14="",'Egg grading'!L19,BD14+'Egg grading'!L19)</f>
        <v/>
      </c>
      <c r="BE15" s="191" t="str">
        <f>IF(BE14="",'Egg grading'!M19,BE14+'Egg grading'!M19)</f>
        <v/>
      </c>
      <c r="BF15" s="191" t="str">
        <f>IF(BF14="",'Egg grading'!N19,BF14+'Egg grading'!N19)</f>
        <v/>
      </c>
    </row>
    <row r="16" spans="1:58" x14ac:dyDescent="0.2">
      <c r="A16" s="194">
        <f>'Production data'!B23</f>
        <v>26</v>
      </c>
      <c r="B16" s="191" t="e">
        <f>IF('Production data'!C23="",#N/A,'Production data'!C23)</f>
        <v>#N/A</v>
      </c>
      <c r="C16" s="191" t="e">
        <f>IF(OR('Input Laying'!E24=0,'Input Laying'!D23=0),#N/A,'Input Laying'!E24/'Input Laying'!D23*100*25)</f>
        <v>#N/A</v>
      </c>
      <c r="D16" s="191">
        <f>IF(OR('Production data'!D23="",'Production data'!D23=0),0,'Production data'!D23)</f>
        <v>0</v>
      </c>
      <c r="E16" s="191">
        <f>IF(OR(Std!B29="",Std!B29=0),0,Std!B29)</f>
        <v>94.027253820241981</v>
      </c>
      <c r="F16" s="193" t="e">
        <f>IF('Production data'!H23="",#N/A,'Production data'!H23)</f>
        <v>#N/A</v>
      </c>
      <c r="G16" s="193">
        <f>IF(OR(Std!C29="",Std!C29=0),#N/A,Std!C29)</f>
        <v>59.436839333032999</v>
      </c>
      <c r="H16" s="191" t="e">
        <f t="shared" si="0"/>
        <v>#N/A</v>
      </c>
      <c r="I16" s="191">
        <f>('Input Laying'!AH24-1000)/25</f>
        <v>-40</v>
      </c>
      <c r="J16" s="191">
        <f>IF((Std!D29-1000)/25&lt;15,#N/A,(Std!D29-1000)/25)</f>
        <v>31.6486437162763</v>
      </c>
      <c r="K16" s="191" t="e">
        <f>IF('Production data'!P23="",#N/A,'Production data'!P23)</f>
        <v>#N/A</v>
      </c>
      <c r="L16" s="191" t="e">
        <f>IF('Production data'!L23="",#N/A,'Production data'!L23)</f>
        <v>#N/A</v>
      </c>
      <c r="M16" s="191">
        <f>IF(Std!E29=0,#N/A,Std!E29)</f>
        <v>55.88682778240036</v>
      </c>
      <c r="O16" s="191" t="e">
        <f>IF('Input Laying'!V24=0,NA(),IF('Input Laying'!V24="",NA(),'Input Laying'!W24/'Input Laying'!O24*100))</f>
        <v>#N/A</v>
      </c>
      <c r="P16" s="191" t="e">
        <f>IF('Input Laying'!T24="",#N/A,'Input Laying'!T24/'Input Laying'!N24*100)</f>
        <v>#N/A</v>
      </c>
      <c r="Q16" s="191" t="e">
        <f>IF('Input Laying'!U24="",#N/A,'Input Laying'!U24/'Input Laying'!N24*100)</f>
        <v>#N/A</v>
      </c>
      <c r="R16" s="191" t="str">
        <f>IF('Input Laying'!V24="",#N/A,'Production data'!W23)</f>
        <v/>
      </c>
      <c r="S16" s="191">
        <f>'Input Laying'!D24*7+'Graph values'!S15</f>
        <v>0</v>
      </c>
      <c r="T16" s="191" t="str">
        <f>IF(OR('Input Laying'!AF24="",'Input Laying'!D24=0,'Input Laying'!O24=0),"#N/A",'Input Laying'!AF24/'Input Laying'!D24/(AD16*7)*1000)</f>
        <v>#N/A</v>
      </c>
      <c r="U16" s="191" t="e">
        <f>IF('Production data'!U23="",#N/A,'Production data'!U23)</f>
        <v>#N/A</v>
      </c>
      <c r="V16" s="191" t="e">
        <f>IF('Production data'!V23="",#N/A,'Production data'!V23)</f>
        <v>#N/A</v>
      </c>
      <c r="W16" s="191" t="e">
        <f>IF('Production data'!S23="",#N/A,'Production data'!S23)</f>
        <v>#N/A</v>
      </c>
      <c r="X16" s="191" t="e">
        <f>IF('Production data'!T23="",#N/A,'Production data'!T23)</f>
        <v>#N/A</v>
      </c>
      <c r="Y16" s="191" t="e">
        <f>IF('Input Laying'!E24="",#N/A,'Production data'!F23)</f>
        <v>#N/A</v>
      </c>
      <c r="Z16" s="191">
        <f>IF('Production data'!G23="",#N/A,'Production data'!G23)</f>
        <v>36.215565407743966</v>
      </c>
      <c r="AD16" s="191">
        <f>IF('Input Laying'!AF24=0,0,(IF('Input Laying'!N24&gt;0,1,IF('Input Laying'!O24&gt;0,0,1))))+AD15</f>
        <v>0</v>
      </c>
      <c r="AE16" s="191">
        <v>26</v>
      </c>
      <c r="AF16" s="191">
        <f t="shared" si="7"/>
        <v>94.027253820241981</v>
      </c>
      <c r="AG16" s="191">
        <f t="shared" si="13"/>
        <v>93.577253820241978</v>
      </c>
      <c r="AH16" s="191">
        <f t="shared" si="13"/>
        <v>93.127253820241975</v>
      </c>
      <c r="AI16" s="191">
        <f t="shared" si="11"/>
        <v>91.627253820241975</v>
      </c>
      <c r="AJ16" s="191">
        <f t="shared" si="13"/>
        <v>91.177253820241972</v>
      </c>
      <c r="AK16" s="191">
        <f t="shared" si="13"/>
        <v>90.72725382024197</v>
      </c>
      <c r="AL16" s="191">
        <f t="shared" si="13"/>
        <v>90.277253820241967</v>
      </c>
      <c r="AM16" s="191">
        <f t="shared" si="1"/>
        <v>59.436839333032999</v>
      </c>
      <c r="AN16" s="191">
        <f t="shared" si="4"/>
        <v>59.136839333033002</v>
      </c>
      <c r="AO16" s="191">
        <f t="shared" si="4"/>
        <v>58.836839333033005</v>
      </c>
      <c r="AP16" s="191">
        <f t="shared" si="4"/>
        <v>58.536839333033008</v>
      </c>
      <c r="AQ16" s="191">
        <f t="shared" si="4"/>
        <v>58.236839333033011</v>
      </c>
      <c r="AR16" s="191">
        <f t="shared" si="4"/>
        <v>57.936839333033014</v>
      </c>
      <c r="AS16" s="191">
        <f t="shared" si="4"/>
        <v>57.636839333033016</v>
      </c>
      <c r="AT16" s="191">
        <f t="shared" si="2"/>
        <v>6.5819077674169391</v>
      </c>
      <c r="AU16" s="191">
        <f t="shared" si="5"/>
        <v>36.441661024992619</v>
      </c>
      <c r="AV16" s="191">
        <v>26</v>
      </c>
      <c r="AW16" s="191">
        <f t="shared" si="9"/>
        <v>391.20779447680252</v>
      </c>
      <c r="AX16" s="191">
        <f t="shared" si="10"/>
        <v>2.0389669386762943</v>
      </c>
      <c r="AZ16" s="191">
        <v>26</v>
      </c>
      <c r="BA16" s="191">
        <f>IF('Egg grading'!C20="",IF('Egg grading'!B20="","",'Egg grading'!B20),'Egg grading'!C20)</f>
        <v>59.436839333032999</v>
      </c>
      <c r="BC16" s="191" t="str">
        <f>IF(BC15="",'Egg grading'!K20,BC15+'Egg grading'!K20)</f>
        <v/>
      </c>
      <c r="BD16" s="191" t="str">
        <f>IF(BD15="",'Egg grading'!L20,BD15+'Egg grading'!L20)</f>
        <v/>
      </c>
      <c r="BE16" s="191" t="str">
        <f>IF(BE15="",'Egg grading'!M20,BE15+'Egg grading'!M20)</f>
        <v/>
      </c>
      <c r="BF16" s="191" t="str">
        <f>IF(BF15="",'Egg grading'!N20,BF15+'Egg grading'!N20)</f>
        <v/>
      </c>
    </row>
    <row r="17" spans="1:58" x14ac:dyDescent="0.2">
      <c r="A17" s="194">
        <f>'Production data'!B24</f>
        <v>27</v>
      </c>
      <c r="B17" s="191" t="e">
        <f>IF('Production data'!C24="",#N/A,'Production data'!C24)</f>
        <v>#N/A</v>
      </c>
      <c r="C17" s="191" t="e">
        <f>IF(OR('Input Laying'!E25=0,'Input Laying'!D24=0),#N/A,'Input Laying'!E25/'Input Laying'!D24*100*25)</f>
        <v>#N/A</v>
      </c>
      <c r="D17" s="191">
        <f>IF(OR('Production data'!D24="",'Production data'!D24=0),0,'Production data'!D24)</f>
        <v>0</v>
      </c>
      <c r="E17" s="191">
        <f>IF(OR(Std!B30="",Std!B30=0),0,Std!B30)</f>
        <v>94.815695421183847</v>
      </c>
      <c r="F17" s="193" t="e">
        <f>IF('Production data'!H24="",#N/A,'Production data'!H24)</f>
        <v>#N/A</v>
      </c>
      <c r="G17" s="193">
        <f>IF(OR(Std!C30="",Std!C30=0),#N/A,Std!C30)</f>
        <v>60.176108975089896</v>
      </c>
      <c r="H17" s="191" t="e">
        <f t="shared" si="0"/>
        <v>#N/A</v>
      </c>
      <c r="I17" s="191">
        <f>('Input Laying'!AH25-1000)/25</f>
        <v>-40</v>
      </c>
      <c r="J17" s="191">
        <f>IF((Std!D30-1000)/25&lt;15,#N/A,(Std!D30-1000)/25)</f>
        <v>31.900726477144826</v>
      </c>
      <c r="K17" s="191" t="e">
        <f>IF('Production data'!P24="",#N/A,'Production data'!P24)</f>
        <v>#N/A</v>
      </c>
      <c r="L17" s="191" t="e">
        <f>IF('Production data'!L24="",#N/A,'Production data'!L24)</f>
        <v>#N/A</v>
      </c>
      <c r="M17" s="191">
        <f>IF(Std!E30=0,#N/A,Std!E30)</f>
        <v>57.056396202140917</v>
      </c>
      <c r="O17" s="191" t="e">
        <f>IF('Input Laying'!V25=0,NA(),IF('Input Laying'!V25="",NA(),'Input Laying'!W25/'Input Laying'!O25*100))</f>
        <v>#N/A</v>
      </c>
      <c r="P17" s="191" t="e">
        <f>IF('Input Laying'!T25="",#N/A,'Input Laying'!T25/'Input Laying'!N25*100)</f>
        <v>#N/A</v>
      </c>
      <c r="Q17" s="191" t="e">
        <f>IF('Input Laying'!U25="",#N/A,'Input Laying'!U25/'Input Laying'!N25*100)</f>
        <v>#N/A</v>
      </c>
      <c r="R17" s="191" t="str">
        <f>IF('Input Laying'!V25="",#N/A,'Production data'!W24)</f>
        <v/>
      </c>
      <c r="S17" s="191">
        <f>'Input Laying'!D25*7+'Graph values'!S16</f>
        <v>0</v>
      </c>
      <c r="T17" s="191" t="str">
        <f>IF(OR('Input Laying'!AF25="",'Input Laying'!D25=0,'Input Laying'!O25=0),"#N/A",'Input Laying'!AF25/'Input Laying'!D25/(AD17*7)*1000)</f>
        <v>#N/A</v>
      </c>
      <c r="U17" s="191" t="e">
        <f>IF('Production data'!U24="",#N/A,'Production data'!U24)</f>
        <v>#N/A</v>
      </c>
      <c r="V17" s="191" t="e">
        <f>IF('Production data'!V24="",#N/A,'Production data'!V24)</f>
        <v>#N/A</v>
      </c>
      <c r="W17" s="191" t="e">
        <f>IF('Production data'!S24="",#N/A,'Production data'!S24)</f>
        <v>#N/A</v>
      </c>
      <c r="X17" s="191" t="e">
        <f>IF('Production data'!T24="",#N/A,'Production data'!T24)</f>
        <v>#N/A</v>
      </c>
      <c r="Y17" s="191" t="e">
        <f>IF('Input Laying'!E25="",#N/A,'Production data'!F24)</f>
        <v>#N/A</v>
      </c>
      <c r="Z17" s="191">
        <f>IF('Production data'!G24="",#N/A,'Production data'!G24)</f>
        <v>42.7889479399038</v>
      </c>
      <c r="AD17" s="191">
        <f>IF('Input Laying'!AF25=0,0,(IF('Input Laying'!N25&gt;0,1,IF('Input Laying'!O25&gt;0,0,1))))+AD16</f>
        <v>0</v>
      </c>
      <c r="AE17" s="191">
        <v>27</v>
      </c>
      <c r="AF17" s="191">
        <f t="shared" si="7"/>
        <v>94.815695421183847</v>
      </c>
      <c r="AG17" s="191">
        <f t="shared" si="13"/>
        <v>94.365695421183844</v>
      </c>
      <c r="AH17" s="191">
        <f t="shared" si="13"/>
        <v>93.915695421183841</v>
      </c>
      <c r="AI17" s="191">
        <f t="shared" si="11"/>
        <v>92.415695421183841</v>
      </c>
      <c r="AJ17" s="191">
        <f t="shared" si="13"/>
        <v>91.965695421183838</v>
      </c>
      <c r="AK17" s="191">
        <f t="shared" si="13"/>
        <v>91.515695421183835</v>
      </c>
      <c r="AL17" s="191">
        <f t="shared" si="13"/>
        <v>91.065695421183833</v>
      </c>
      <c r="AM17" s="191">
        <f t="shared" si="1"/>
        <v>60.176108975089896</v>
      </c>
      <c r="AN17" s="191">
        <f t="shared" si="4"/>
        <v>59.876108975089899</v>
      </c>
      <c r="AO17" s="191">
        <f t="shared" si="4"/>
        <v>59.576108975089902</v>
      </c>
      <c r="AP17" s="191">
        <f t="shared" si="4"/>
        <v>59.276108975089905</v>
      </c>
      <c r="AQ17" s="191">
        <f t="shared" si="4"/>
        <v>58.976108975089907</v>
      </c>
      <c r="AR17" s="191">
        <f t="shared" si="4"/>
        <v>58.67610897508991</v>
      </c>
      <c r="AS17" s="191">
        <f t="shared" si="4"/>
        <v>58.376108975089913</v>
      </c>
      <c r="AT17" s="191">
        <f t="shared" si="2"/>
        <v>6.6370986794828699</v>
      </c>
      <c r="AU17" s="191">
        <f t="shared" si="5"/>
        <v>43.078759704475488</v>
      </c>
      <c r="AV17" s="191">
        <v>27</v>
      </c>
      <c r="AW17" s="191">
        <f t="shared" si="9"/>
        <v>399.39477341498639</v>
      </c>
      <c r="AX17" s="191">
        <f t="shared" si="10"/>
        <v>2.4383617120912806</v>
      </c>
      <c r="AZ17" s="191">
        <v>27</v>
      </c>
      <c r="BA17" s="191">
        <f>IF('Egg grading'!C21="",IF('Egg grading'!B21="","",'Egg grading'!B21),'Egg grading'!C21)</f>
        <v>60.176108975089896</v>
      </c>
      <c r="BC17" s="191" t="str">
        <f>IF(BC16="",'Egg grading'!K21,BC16+'Egg grading'!K21)</f>
        <v/>
      </c>
      <c r="BD17" s="191" t="str">
        <f>IF(BD16="",'Egg grading'!L21,BD16+'Egg grading'!L21)</f>
        <v/>
      </c>
      <c r="BE17" s="191" t="str">
        <f>IF(BE16="",'Egg grading'!M21,BE16+'Egg grading'!M21)</f>
        <v/>
      </c>
      <c r="BF17" s="191" t="str">
        <f>IF(BF16="",'Egg grading'!N21,BF16+'Egg grading'!N21)</f>
        <v/>
      </c>
    </row>
    <row r="18" spans="1:58" x14ac:dyDescent="0.2">
      <c r="A18" s="194">
        <f>'Production data'!B25</f>
        <v>28</v>
      </c>
      <c r="B18" s="191" t="e">
        <f>IF('Production data'!C25="",#N/A,'Production data'!C25)</f>
        <v>#N/A</v>
      </c>
      <c r="C18" s="191" t="e">
        <f>IF(OR('Input Laying'!E26=0,'Input Laying'!D25=0),#N/A,'Input Laying'!E26/'Input Laying'!D25*100*25)</f>
        <v>#N/A</v>
      </c>
      <c r="D18" s="191">
        <f>IF(OR('Production data'!D25="",'Production data'!D25=0),0,'Production data'!D25)</f>
        <v>0</v>
      </c>
      <c r="E18" s="191">
        <f>IF(OR(Std!B31="",Std!B31=0),0,Std!B31)</f>
        <v>95.375174273736476</v>
      </c>
      <c r="F18" s="193" t="e">
        <f>IF('Production data'!H25="",#N/A,'Production data'!H25)</f>
        <v>#N/A</v>
      </c>
      <c r="G18" s="193">
        <f>IF(OR(Std!C31="",Std!C31=0),#N/A,Std!C31)</f>
        <v>60.753414699374538</v>
      </c>
      <c r="H18" s="191" t="e">
        <f t="shared" si="0"/>
        <v>#N/A</v>
      </c>
      <c r="I18" s="191">
        <f>('Input Laying'!AH26-1000)/25</f>
        <v>-40</v>
      </c>
      <c r="J18" s="191">
        <f>IF((Std!D31-1000)/25&lt;15,#N/A,(Std!D31-1000)/25)</f>
        <v>32.24</v>
      </c>
      <c r="K18" s="191" t="e">
        <f>IF('Production data'!P25="",#N/A,'Production data'!P25)</f>
        <v>#N/A</v>
      </c>
      <c r="L18" s="191" t="e">
        <f>IF('Production data'!L25="",#N/A,'Production data'!L25)</f>
        <v>#N/A</v>
      </c>
      <c r="M18" s="191">
        <f>IF(Std!E31=0,#N/A,Std!E31)</f>
        <v>57.943675146774304</v>
      </c>
      <c r="O18" s="191" t="e">
        <f>IF('Input Laying'!V26=0,NA(),IF('Input Laying'!V26="",NA(),'Input Laying'!W26/'Input Laying'!O26*100))</f>
        <v>#N/A</v>
      </c>
      <c r="P18" s="191" t="e">
        <f>IF('Input Laying'!T26="",#N/A,'Input Laying'!T26/'Input Laying'!N26*100)</f>
        <v>#N/A</v>
      </c>
      <c r="Q18" s="191" t="e">
        <f>IF('Input Laying'!U26="",#N/A,'Input Laying'!U26/'Input Laying'!N26*100)</f>
        <v>#N/A</v>
      </c>
      <c r="R18" s="191" t="str">
        <f>IF('Input Laying'!V26="",#N/A,'Production data'!W25)</f>
        <v/>
      </c>
      <c r="S18" s="191">
        <f>'Input Laying'!D26*7+'Graph values'!S17</f>
        <v>0</v>
      </c>
      <c r="T18" s="191" t="str">
        <f>IF(OR('Input Laying'!AF26="",'Input Laying'!D26=0,'Input Laying'!O26=0),"#N/A",'Input Laying'!AF26/'Input Laying'!D26/(AD18*7)*1000)</f>
        <v>#N/A</v>
      </c>
      <c r="U18" s="191" t="e">
        <f>IF('Production data'!U25="",#N/A,'Production data'!U25)</f>
        <v>#N/A</v>
      </c>
      <c r="V18" s="191" t="e">
        <f>IF('Production data'!V25="",#N/A,'Production data'!V25)</f>
        <v>#N/A</v>
      </c>
      <c r="W18" s="191" t="e">
        <f>IF('Production data'!S25="",#N/A,'Production data'!S25)</f>
        <v>#N/A</v>
      </c>
      <c r="X18" s="191" t="e">
        <f>IF('Production data'!T25="",#N/A,'Production data'!T25)</f>
        <v>#N/A</v>
      </c>
      <c r="Y18" s="191" t="e">
        <f>IF('Input Laying'!E26="",#N/A,'Production data'!F25)</f>
        <v>#N/A</v>
      </c>
      <c r="Z18" s="191">
        <f>IF('Production data'!G25="",#N/A,'Production data'!G25)</f>
        <v>49.394708810242207</v>
      </c>
      <c r="AD18" s="191">
        <f>IF('Input Laying'!AF26=0,0,(IF('Input Laying'!N26&gt;0,1,IF('Input Laying'!O26&gt;0,0,1))))+AD17</f>
        <v>0</v>
      </c>
      <c r="AE18" s="191">
        <v>28</v>
      </c>
      <c r="AF18" s="191">
        <f t="shared" si="7"/>
        <v>95.375174273736476</v>
      </c>
      <c r="AG18" s="191">
        <f t="shared" si="13"/>
        <v>94.925174273736474</v>
      </c>
      <c r="AH18" s="191">
        <f t="shared" si="13"/>
        <v>94.475174273736471</v>
      </c>
      <c r="AI18" s="191">
        <f t="shared" si="11"/>
        <v>92.975174273736471</v>
      </c>
      <c r="AJ18" s="191">
        <f t="shared" si="13"/>
        <v>92.525174273736468</v>
      </c>
      <c r="AK18" s="191">
        <f t="shared" si="13"/>
        <v>92.075174273736465</v>
      </c>
      <c r="AL18" s="191">
        <f t="shared" si="13"/>
        <v>91.625174273736462</v>
      </c>
      <c r="AM18" s="191">
        <f t="shared" si="1"/>
        <v>60.753414699374538</v>
      </c>
      <c r="AN18" s="191">
        <f t="shared" si="4"/>
        <v>60.453414699374541</v>
      </c>
      <c r="AO18" s="191">
        <f t="shared" si="4"/>
        <v>60.153414699374544</v>
      </c>
      <c r="AP18" s="191">
        <f t="shared" si="4"/>
        <v>59.853414699374547</v>
      </c>
      <c r="AQ18" s="191">
        <f t="shared" si="4"/>
        <v>59.553414699374549</v>
      </c>
      <c r="AR18" s="191">
        <f t="shared" si="4"/>
        <v>59.253414699374552</v>
      </c>
      <c r="AS18" s="191">
        <f t="shared" si="4"/>
        <v>58.953414699374555</v>
      </c>
      <c r="AT18" s="191">
        <f t="shared" si="2"/>
        <v>6.6762621991615534</v>
      </c>
      <c r="AU18" s="191">
        <f t="shared" si="5"/>
        <v>49.755021903637044</v>
      </c>
      <c r="AV18" s="191">
        <v>28</v>
      </c>
      <c r="AW18" s="191">
        <f t="shared" si="9"/>
        <v>405.60572602742013</v>
      </c>
      <c r="AX18" s="191">
        <f t="shared" si="10"/>
        <v>2.8439674381187006</v>
      </c>
      <c r="AZ18" s="191">
        <v>28</v>
      </c>
      <c r="BA18" s="191">
        <f>IF('Egg grading'!C22="",IF('Egg grading'!B22="","",'Egg grading'!B22),'Egg grading'!C22)</f>
        <v>60.753414699374538</v>
      </c>
      <c r="BC18" s="191" t="str">
        <f>IF(BC17="",'Egg grading'!K22,BC17+'Egg grading'!K22)</f>
        <v/>
      </c>
      <c r="BD18" s="191" t="str">
        <f>IF(BD17="",'Egg grading'!L22,BD17+'Egg grading'!L22)</f>
        <v/>
      </c>
      <c r="BE18" s="191" t="str">
        <f>IF(BE17="",'Egg grading'!M22,BE17+'Egg grading'!M22)</f>
        <v/>
      </c>
      <c r="BF18" s="191" t="str">
        <f>IF(BF17="",'Egg grading'!N22,BF17+'Egg grading'!N22)</f>
        <v/>
      </c>
    </row>
    <row r="19" spans="1:58" x14ac:dyDescent="0.2">
      <c r="A19" s="194">
        <f>'Production data'!B26</f>
        <v>29</v>
      </c>
      <c r="B19" s="191" t="e">
        <f>IF('Production data'!C26="",#N/A,'Production data'!C26)</f>
        <v>#N/A</v>
      </c>
      <c r="C19" s="191" t="e">
        <f>IF(OR('Input Laying'!E27=0,'Input Laying'!D26=0),#N/A,'Input Laying'!E27/'Input Laying'!D26*100*25)</f>
        <v>#N/A</v>
      </c>
      <c r="D19" s="191">
        <f>IF(OR('Production data'!D26="",'Production data'!D26=0),0,'Production data'!D26)</f>
        <v>0</v>
      </c>
      <c r="E19" s="191">
        <f>IF(OR(Std!B32="",Std!B32=0),0,Std!B32)</f>
        <v>95.742618862280708</v>
      </c>
      <c r="F19" s="193" t="e">
        <f>IF('Production data'!H26="",#N/A,'Production data'!H26)</f>
        <v>#N/A</v>
      </c>
      <c r="G19" s="193">
        <f>IF(OR(Std!C32="",Std!C32=0),#N/A,Std!C32)</f>
        <v>61.201797835538144</v>
      </c>
      <c r="H19" s="191" t="e">
        <f t="shared" si="0"/>
        <v>#N/A</v>
      </c>
      <c r="I19" s="191">
        <f>('Input Laying'!AH27-1000)/25</f>
        <v>-40</v>
      </c>
      <c r="J19" s="191">
        <f>IF((Std!D32-1000)/25&lt;15,#N/A,(Std!D32-1000)/25)</f>
        <v>32.479999999999997</v>
      </c>
      <c r="K19" s="191" t="e">
        <f>IF('Production data'!P26="",#N/A,'Production data'!P26)</f>
        <v>#N/A</v>
      </c>
      <c r="L19" s="191" t="e">
        <f>IF('Production data'!L26="",#N/A,'Production data'!L26)</f>
        <v>#N/A</v>
      </c>
      <c r="M19" s="191">
        <f>IF(Std!E32=0,#N/A,Std!E32)</f>
        <v>58.596204038542844</v>
      </c>
      <c r="O19" s="191" t="e">
        <f>IF('Input Laying'!V27=0,NA(),IF('Input Laying'!V27="",NA(),'Input Laying'!W27/'Input Laying'!O27*100))</f>
        <v>#N/A</v>
      </c>
      <c r="P19" s="191" t="e">
        <f>IF('Input Laying'!T27="",#N/A,'Input Laying'!T27/'Input Laying'!N27*100)</f>
        <v>#N/A</v>
      </c>
      <c r="Q19" s="191" t="e">
        <f>IF('Input Laying'!U27="",#N/A,'Input Laying'!U27/'Input Laying'!N27*100)</f>
        <v>#N/A</v>
      </c>
      <c r="R19" s="191" t="str">
        <f>IF('Input Laying'!V27="",#N/A,'Production data'!W26)</f>
        <v/>
      </c>
      <c r="S19" s="191">
        <f>'Input Laying'!D27*7+'Graph values'!S18</f>
        <v>0</v>
      </c>
      <c r="T19" s="191" t="str">
        <f>IF(OR('Input Laying'!AF27="",'Input Laying'!D27=0,'Input Laying'!O27=0),"#N/A",'Input Laying'!AF27/'Input Laying'!D27/(AD19*7)*1000)</f>
        <v>#N/A</v>
      </c>
      <c r="U19" s="191" t="e">
        <f>IF('Production data'!U26="",#N/A,'Production data'!U26)</f>
        <v>#N/A</v>
      </c>
      <c r="V19" s="191" t="e">
        <f>IF('Production data'!V26="",#N/A,'Production data'!V26)</f>
        <v>#N/A</v>
      </c>
      <c r="W19" s="191" t="e">
        <f>IF('Production data'!S26="",#N/A,'Production data'!S26)</f>
        <v>#N/A</v>
      </c>
      <c r="X19" s="191" t="e">
        <f>IF('Production data'!T26="",#N/A,'Production data'!T26)</f>
        <v>#N/A</v>
      </c>
      <c r="Y19" s="191" t="e">
        <f>IF('Input Laying'!E27="",#N/A,'Production data'!F26)</f>
        <v>#N/A</v>
      </c>
      <c r="Z19" s="191">
        <f>IF('Production data'!G26="",#N/A,'Production data'!G26)</f>
        <v>56.019485282751312</v>
      </c>
      <c r="AD19" s="191">
        <f>IF('Input Laying'!AF27=0,0,(IF('Input Laying'!N27&gt;0,1,IF('Input Laying'!O27&gt;0,0,1))))+AD18</f>
        <v>0</v>
      </c>
      <c r="AE19" s="191">
        <v>29</v>
      </c>
      <c r="AF19" s="191">
        <f t="shared" si="7"/>
        <v>95.742618862280708</v>
      </c>
      <c r="AG19" s="191">
        <f t="shared" si="13"/>
        <v>95.292618862280705</v>
      </c>
      <c r="AH19" s="191">
        <f t="shared" si="13"/>
        <v>94.842618862280702</v>
      </c>
      <c r="AI19" s="191">
        <f t="shared" si="11"/>
        <v>93.342618862280702</v>
      </c>
      <c r="AJ19" s="191">
        <f t="shared" si="13"/>
        <v>92.892618862280699</v>
      </c>
      <c r="AK19" s="191">
        <f t="shared" si="13"/>
        <v>92.442618862280696</v>
      </c>
      <c r="AL19" s="191">
        <f t="shared" si="13"/>
        <v>91.992618862280693</v>
      </c>
      <c r="AM19" s="191">
        <f t="shared" si="1"/>
        <v>61.201797835538144</v>
      </c>
      <c r="AN19" s="191">
        <f t="shared" si="4"/>
        <v>60.901797835538147</v>
      </c>
      <c r="AO19" s="191">
        <f t="shared" si="4"/>
        <v>60.60179783553815</v>
      </c>
      <c r="AP19" s="191">
        <f t="shared" si="4"/>
        <v>60.301797835538153</v>
      </c>
      <c r="AQ19" s="191">
        <f t="shared" si="4"/>
        <v>60.001797835538156</v>
      </c>
      <c r="AR19" s="191">
        <f t="shared" si="4"/>
        <v>59.701797835538159</v>
      </c>
      <c r="AS19" s="191">
        <f t="shared" si="4"/>
        <v>59.401797835538162</v>
      </c>
      <c r="AT19" s="191">
        <f t="shared" si="2"/>
        <v>6.7019833203596502</v>
      </c>
      <c r="AU19" s="191">
        <f t="shared" si="5"/>
        <v>56.457005223996696</v>
      </c>
      <c r="AV19" s="191">
        <v>29</v>
      </c>
      <c r="AW19" s="191">
        <f t="shared" si="9"/>
        <v>410.1734282697999</v>
      </c>
      <c r="AX19" s="191">
        <f t="shared" si="10"/>
        <v>3.2541408663885005</v>
      </c>
      <c r="AZ19" s="191">
        <v>29</v>
      </c>
      <c r="BA19" s="191">
        <f>IF('Egg grading'!C23="",IF('Egg grading'!B23="","",'Egg grading'!B23),'Egg grading'!C23)</f>
        <v>61.201797835538144</v>
      </c>
      <c r="BC19" s="191" t="str">
        <f>IF(BC18="",'Egg grading'!K23,BC18+'Egg grading'!K23)</f>
        <v/>
      </c>
      <c r="BD19" s="191" t="str">
        <f>IF(BD18="",'Egg grading'!L23,BD18+'Egg grading'!L23)</f>
        <v/>
      </c>
      <c r="BE19" s="191" t="str">
        <f>IF(BE18="",'Egg grading'!M23,BE18+'Egg grading'!M23)</f>
        <v/>
      </c>
      <c r="BF19" s="191" t="str">
        <f>IF(BF18="",'Egg grading'!N23,BF18+'Egg grading'!N23)</f>
        <v/>
      </c>
    </row>
    <row r="20" spans="1:58" x14ac:dyDescent="0.2">
      <c r="A20" s="194">
        <f>'Production data'!B27</f>
        <v>30</v>
      </c>
      <c r="B20" s="191" t="e">
        <f>IF('Production data'!C27="",#N/A,'Production data'!C27)</f>
        <v>#N/A</v>
      </c>
      <c r="C20" s="191" t="e">
        <f>IF(OR('Input Laying'!E28=0,'Input Laying'!D27=0),#N/A,'Input Laying'!E28/'Input Laying'!D27*100*25)</f>
        <v>#N/A</v>
      </c>
      <c r="D20" s="191">
        <f>IF(OR('Production data'!D27="",'Production data'!D27=0),0,'Production data'!D27)</f>
        <v>0</v>
      </c>
      <c r="E20" s="191">
        <f>IF(OR(Std!B33="",Std!B33=0),0,Std!B33)</f>
        <v>95.951840364275711</v>
      </c>
      <c r="F20" s="193" t="e">
        <f>IF('Production data'!H27="",#N/A,'Production data'!H27)</f>
        <v>#N/A</v>
      </c>
      <c r="G20" s="193">
        <f>IF(OR(Std!C33="",Std!C33=0),#N/A,Std!C33)</f>
        <v>61.550557919029799</v>
      </c>
      <c r="H20" s="191" t="e">
        <f t="shared" si="0"/>
        <v>#N/A</v>
      </c>
      <c r="I20" s="191">
        <f>('Input Laying'!AH28-1000)/25</f>
        <v>-40</v>
      </c>
      <c r="J20" s="191">
        <f>IF((Std!D33-1000)/25&lt;15,#N/A,(Std!D33-1000)/25)</f>
        <v>32.799999999999997</v>
      </c>
      <c r="K20" s="191" t="e">
        <f>IF('Production data'!P27="",#N/A,'Production data'!P27)</f>
        <v>#N/A</v>
      </c>
      <c r="L20" s="191" t="e">
        <f>IF('Production data'!L27="",#N/A,'Production data'!L27)</f>
        <v>#N/A</v>
      </c>
      <c r="M20" s="191">
        <f>IF(Std!E33=0,#N/A,Std!E33)</f>
        <v>59.058893077788532</v>
      </c>
      <c r="O20" s="191" t="e">
        <f>IF('Input Laying'!V28=0,NA(),IF('Input Laying'!V28="",NA(),'Input Laying'!W28/'Input Laying'!O28*100))</f>
        <v>#N/A</v>
      </c>
      <c r="P20" s="191" t="e">
        <f>IF('Input Laying'!T28="",#N/A,'Input Laying'!T28/'Input Laying'!N28*100)</f>
        <v>#N/A</v>
      </c>
      <c r="Q20" s="191" t="e">
        <f>IF('Input Laying'!U28="",#N/A,'Input Laying'!U28/'Input Laying'!N28*100)</f>
        <v>#N/A</v>
      </c>
      <c r="R20" s="191" t="str">
        <f>IF('Input Laying'!V28="",#N/A,'Production data'!W27)</f>
        <v/>
      </c>
      <c r="S20" s="191">
        <f>'Input Laying'!D28*7+'Graph values'!S19</f>
        <v>0</v>
      </c>
      <c r="T20" s="191" t="str">
        <f>IF(OR('Input Laying'!AF28="",'Input Laying'!D28=0,'Input Laying'!O28=0),"#N/A",'Input Laying'!AF28/'Input Laying'!D28/(AD20*7)*1000)</f>
        <v>#N/A</v>
      </c>
      <c r="U20" s="191" t="e">
        <f>IF('Production data'!U27="",#N/A,'Production data'!U27)</f>
        <v>#N/A</v>
      </c>
      <c r="V20" s="191" t="e">
        <f>IF('Production data'!V27="",#N/A,'Production data'!V27)</f>
        <v>#N/A</v>
      </c>
      <c r="W20" s="191" t="e">
        <f>IF('Production data'!S27="",#N/A,'Production data'!S27)</f>
        <v>#N/A</v>
      </c>
      <c r="X20" s="191" t="e">
        <f>IF('Production data'!T27="",#N/A,'Production data'!T27)</f>
        <v>#N/A</v>
      </c>
      <c r="Y20" s="191" t="e">
        <f>IF('Input Laying'!E28="",#N/A,'Production data'!F27)</f>
        <v>#N/A</v>
      </c>
      <c r="Z20" s="191">
        <f>IF('Production data'!G27="",#N/A,'Production data'!G27)</f>
        <v>62.652290580508378</v>
      </c>
      <c r="AD20" s="191">
        <f>IF('Input Laying'!AF28=0,0,(IF('Input Laying'!N28&gt;0,1,IF('Input Laying'!O28&gt;0,0,1))))+AD19</f>
        <v>0</v>
      </c>
      <c r="AE20" s="191">
        <v>30</v>
      </c>
      <c r="AF20" s="191">
        <f t="shared" si="7"/>
        <v>95.951840364275711</v>
      </c>
      <c r="AG20" s="191">
        <f t="shared" si="13"/>
        <v>95.501840364275708</v>
      </c>
      <c r="AH20" s="191">
        <f t="shared" si="13"/>
        <v>95.051840364275705</v>
      </c>
      <c r="AI20" s="191">
        <f t="shared" si="11"/>
        <v>93.551840364275705</v>
      </c>
      <c r="AJ20" s="191">
        <f t="shared" si="13"/>
        <v>93.101840364275702</v>
      </c>
      <c r="AK20" s="191">
        <f t="shared" si="13"/>
        <v>92.651840364275699</v>
      </c>
      <c r="AL20" s="191">
        <f t="shared" si="13"/>
        <v>92.201840364275697</v>
      </c>
      <c r="AM20" s="191">
        <f t="shared" si="1"/>
        <v>61.550557919029799</v>
      </c>
      <c r="AN20" s="191">
        <f t="shared" si="4"/>
        <v>61.250557919029802</v>
      </c>
      <c r="AO20" s="191">
        <f t="shared" si="4"/>
        <v>60.950557919029805</v>
      </c>
      <c r="AP20" s="191">
        <f t="shared" si="4"/>
        <v>60.650557919029808</v>
      </c>
      <c r="AQ20" s="191">
        <f t="shared" si="4"/>
        <v>60.350557919029811</v>
      </c>
      <c r="AR20" s="191">
        <f t="shared" si="4"/>
        <v>60.050557919029814</v>
      </c>
      <c r="AS20" s="191">
        <f t="shared" si="4"/>
        <v>59.750557919029816</v>
      </c>
      <c r="AT20" s="191">
        <f t="shared" si="2"/>
        <v>6.7166288254992992</v>
      </c>
      <c r="AU20" s="191">
        <f t="shared" si="5"/>
        <v>63.173634049495995</v>
      </c>
      <c r="AV20" s="191">
        <v>30</v>
      </c>
      <c r="AW20" s="191">
        <f t="shared" si="9"/>
        <v>413.41225154451973</v>
      </c>
      <c r="AX20" s="191">
        <f t="shared" si="10"/>
        <v>3.6675531179330201</v>
      </c>
      <c r="AZ20" s="191">
        <v>30</v>
      </c>
      <c r="BA20" s="191">
        <f>IF('Egg grading'!C24="",IF('Egg grading'!B24="","",'Egg grading'!B24),'Egg grading'!C24)</f>
        <v>61.550557919029799</v>
      </c>
      <c r="BC20" s="191" t="str">
        <f>IF(BC19="",'Egg grading'!K24,BC19+'Egg grading'!K24)</f>
        <v/>
      </c>
      <c r="BD20" s="191" t="str">
        <f>IF(BD19="",'Egg grading'!L24,BD19+'Egg grading'!L24)</f>
        <v/>
      </c>
      <c r="BE20" s="191" t="str">
        <f>IF(BE19="",'Egg grading'!M24,BE19+'Egg grading'!M24)</f>
        <v/>
      </c>
      <c r="BF20" s="191" t="str">
        <f>IF(BF19="",'Egg grading'!N24,BF19+'Egg grading'!N24)</f>
        <v/>
      </c>
    </row>
    <row r="21" spans="1:58" x14ac:dyDescent="0.2">
      <c r="A21" s="194">
        <f>'Production data'!B28</f>
        <v>31</v>
      </c>
      <c r="B21" s="191" t="e">
        <f>IF('Production data'!C28="",#N/A,'Production data'!C28)</f>
        <v>#N/A</v>
      </c>
      <c r="C21" s="191" t="e">
        <f>IF(OR('Input Laying'!E29=0,'Input Laying'!D28=0),#N/A,'Input Laying'!E29/'Input Laying'!D28*100*25)</f>
        <v>#N/A</v>
      </c>
      <c r="D21" s="191">
        <f>IF(OR('Production data'!D28="",'Production data'!D28=0),0,'Production data'!D28)</f>
        <v>0</v>
      </c>
      <c r="E21" s="191">
        <f>IF(OR(Std!B34="",Std!B34=0),0,Std!B34)</f>
        <v>96.033532650259673</v>
      </c>
      <c r="F21" s="193" t="e">
        <f>IF('Production data'!H28="",#N/A,'Production data'!H28)</f>
        <v>#N/A</v>
      </c>
      <c r="G21" s="193">
        <f>IF(OR(Std!C34="",Std!C34=0),#N/A,Std!C34)</f>
        <v>61.825252691096402</v>
      </c>
      <c r="H21" s="191" t="e">
        <f t="shared" si="0"/>
        <v>#N/A</v>
      </c>
      <c r="I21" s="191">
        <f>('Input Laying'!AH29-1000)/25</f>
        <v>-40</v>
      </c>
      <c r="J21" s="191">
        <f>IF((Std!D34-1000)/25&lt;15,#N/A,(Std!D34-1000)/25)</f>
        <v>33.159999999999997</v>
      </c>
      <c r="K21" s="191" t="e">
        <f>IF('Production data'!P28="",#N/A,'Production data'!P28)</f>
        <v>#N/A</v>
      </c>
      <c r="L21" s="191" t="e">
        <f>IF('Production data'!L28="",#N/A,'Production data'!L28)</f>
        <v>#N/A</v>
      </c>
      <c r="M21" s="191">
        <f>IF(Std!E34=0,#N/A,Std!E34)</f>
        <v>59.372974229209611</v>
      </c>
      <c r="O21" s="191" t="e">
        <f>IF('Input Laying'!V29=0,NA(),IF('Input Laying'!V29="",NA(),'Input Laying'!W29/'Input Laying'!O29*100))</f>
        <v>#N/A</v>
      </c>
      <c r="P21" s="191" t="e">
        <f>IF('Input Laying'!T29="",#N/A,'Input Laying'!T29/'Input Laying'!N29*100)</f>
        <v>#N/A</v>
      </c>
      <c r="Q21" s="191" t="e">
        <f>IF('Input Laying'!U29="",#N/A,'Input Laying'!U29/'Input Laying'!N29*100)</f>
        <v>#N/A</v>
      </c>
      <c r="R21" s="191" t="str">
        <f>IF('Input Laying'!V29="",#N/A,'Production data'!W28)</f>
        <v/>
      </c>
      <c r="S21" s="191">
        <f>'Input Laying'!D29*7+'Graph values'!S20</f>
        <v>0</v>
      </c>
      <c r="T21" s="191" t="str">
        <f>IF(OR('Input Laying'!AF29="",'Input Laying'!D29=0,'Input Laying'!O29=0),"#N/A",'Input Laying'!AF29/'Input Laying'!D29/(AD21*7)*1000)</f>
        <v>#N/A</v>
      </c>
      <c r="U21" s="191" t="e">
        <f>IF('Production data'!U28="",#N/A,'Production data'!U28)</f>
        <v>#N/A</v>
      </c>
      <c r="V21" s="191" t="e">
        <f>IF('Production data'!V28="",#N/A,'Production data'!V28)</f>
        <v>#N/A</v>
      </c>
      <c r="W21" s="191" t="e">
        <f>IF('Production data'!S28="",#N/A,'Production data'!S28)</f>
        <v>#N/A</v>
      </c>
      <c r="X21" s="191" t="e">
        <f>IF('Production data'!T28="",#N/A,'Production data'!T28)</f>
        <v>#N/A</v>
      </c>
      <c r="Y21" s="191" t="e">
        <f>IF('Input Laying'!E29="",#N/A,'Production data'!F28)</f>
        <v>#N/A</v>
      </c>
      <c r="Z21" s="191">
        <f>IF('Production data'!G28="",#N/A,'Production data'!G28)</f>
        <v>69.284289518509183</v>
      </c>
      <c r="AD21" s="191">
        <f>IF('Input Laying'!AF29=0,0,(IF('Input Laying'!N29&gt;0,1,IF('Input Laying'!O29&gt;0,0,1))))+AD20</f>
        <v>0</v>
      </c>
      <c r="AE21" s="191">
        <v>31</v>
      </c>
      <c r="AF21" s="191">
        <f t="shared" si="7"/>
        <v>96.033532650259673</v>
      </c>
      <c r="AG21" s="191">
        <f t="shared" si="13"/>
        <v>95.58353265025967</v>
      </c>
      <c r="AH21" s="191">
        <f t="shared" si="13"/>
        <v>95.133532650259667</v>
      </c>
      <c r="AI21" s="191">
        <f t="shared" si="11"/>
        <v>93.633532650259667</v>
      </c>
      <c r="AJ21" s="191">
        <f t="shared" si="13"/>
        <v>93.183532650259664</v>
      </c>
      <c r="AK21" s="191">
        <f t="shared" si="13"/>
        <v>92.733532650259662</v>
      </c>
      <c r="AL21" s="191">
        <f t="shared" si="13"/>
        <v>92.283532650259659</v>
      </c>
      <c r="AM21" s="191">
        <f t="shared" si="1"/>
        <v>61.825252691096402</v>
      </c>
      <c r="AN21" s="191">
        <f t="shared" si="4"/>
        <v>61.525252691096405</v>
      </c>
      <c r="AO21" s="191">
        <f t="shared" si="4"/>
        <v>61.225252691096408</v>
      </c>
      <c r="AP21" s="191">
        <f t="shared" si="4"/>
        <v>60.925252691096411</v>
      </c>
      <c r="AQ21" s="191">
        <f t="shared" si="4"/>
        <v>60.625252691096414</v>
      </c>
      <c r="AR21" s="191">
        <f t="shared" si="4"/>
        <v>60.325252691096416</v>
      </c>
      <c r="AS21" s="191">
        <f t="shared" si="4"/>
        <v>60.025252691096419</v>
      </c>
      <c r="AT21" s="191">
        <f t="shared" si="2"/>
        <v>6.7223472855181772</v>
      </c>
      <c r="AU21" s="191">
        <f t="shared" si="5"/>
        <v>69.89598133501417</v>
      </c>
      <c r="AV21" s="191">
        <v>31</v>
      </c>
      <c r="AW21" s="191">
        <f t="shared" si="9"/>
        <v>415.61081960446728</v>
      </c>
      <c r="AX21" s="191">
        <f t="shared" si="10"/>
        <v>4.0831639375374875</v>
      </c>
      <c r="AZ21" s="191">
        <v>31</v>
      </c>
      <c r="BA21" s="191">
        <f>IF('Egg grading'!C25="",IF('Egg grading'!B25="","",'Egg grading'!B25),'Egg grading'!C25)</f>
        <v>61.825252691096402</v>
      </c>
      <c r="BC21" s="191" t="str">
        <f>IF(BC20="",'Egg grading'!K25,BC20+'Egg grading'!K25)</f>
        <v/>
      </c>
      <c r="BD21" s="191" t="str">
        <f>IF(BD20="",'Egg grading'!L25,BD20+'Egg grading'!L25)</f>
        <v/>
      </c>
      <c r="BE21" s="191" t="str">
        <f>IF(BE20="",'Egg grading'!M25,BE20+'Egg grading'!M25)</f>
        <v/>
      </c>
      <c r="BF21" s="191" t="str">
        <f>IF(BF20="",'Egg grading'!N25,BF20+'Egg grading'!N25)</f>
        <v/>
      </c>
    </row>
    <row r="22" spans="1:58" x14ac:dyDescent="0.2">
      <c r="A22" s="194">
        <f>'Production data'!B29</f>
        <v>32</v>
      </c>
      <c r="B22" s="191" t="e">
        <f>IF('Production data'!C29="",#N/A,'Production data'!C29)</f>
        <v>#N/A</v>
      </c>
      <c r="C22" s="191" t="e">
        <f>IF(OR('Input Laying'!E30=0,'Input Laying'!D29=0),#N/A,'Input Laying'!E30/'Input Laying'!D29*100*25)</f>
        <v>#N/A</v>
      </c>
      <c r="D22" s="191">
        <f>IF(OR('Production data'!D29="",'Production data'!D29=0),0,'Production data'!D29)</f>
        <v>0</v>
      </c>
      <c r="E22" s="191">
        <f>IF(OR(Std!B35="",Std!B35=0),0,Std!B35)</f>
        <v>96.015272283849029</v>
      </c>
      <c r="F22" s="193" t="e">
        <f>IF('Production data'!H29="",#N/A,'Production data'!H29)</f>
        <v>#N/A</v>
      </c>
      <c r="G22" s="193">
        <f>IF(OR(Std!C35="",Std!C35=0),#N/A,Std!C35)</f>
        <v>62.047698098783528</v>
      </c>
      <c r="H22" s="191" t="e">
        <f t="shared" si="0"/>
        <v>#N/A</v>
      </c>
      <c r="I22" s="191">
        <f>('Input Laying'!AH30-1000)/25</f>
        <v>-40</v>
      </c>
      <c r="J22" s="191">
        <f>IF((Std!D35-1000)/25&lt;15,#N/A,(Std!D35-1000)/25)</f>
        <v>33.520000000000003</v>
      </c>
      <c r="K22" s="191" t="e">
        <f>IF('Production data'!P29="",#N/A,'Production data'!P29)</f>
        <v>#N/A</v>
      </c>
      <c r="L22" s="191" t="e">
        <f>IF('Production data'!L29="",#N/A,'Production data'!L29)</f>
        <v>#N/A</v>
      </c>
      <c r="M22" s="191">
        <f>IF(Std!E35=0,#N/A,Std!E35)</f>
        <v>59.575266275407621</v>
      </c>
      <c r="O22" s="191" t="e">
        <f>IF('Input Laying'!V30=0,NA(),IF('Input Laying'!V30="",NA(),'Input Laying'!W30/'Input Laying'!O30*100))</f>
        <v>#N/A</v>
      </c>
      <c r="P22" s="191" t="e">
        <f>IF('Input Laying'!T30="",#N/A,'Input Laying'!T30/'Input Laying'!N30*100)</f>
        <v>#N/A</v>
      </c>
      <c r="Q22" s="191" t="e">
        <f>IF('Input Laying'!U30="",#N/A,'Input Laying'!U30/'Input Laying'!N30*100)</f>
        <v>#N/A</v>
      </c>
      <c r="R22" s="191" t="str">
        <f>IF('Input Laying'!V30="",#N/A,'Production data'!W29)</f>
        <v/>
      </c>
      <c r="S22" s="191">
        <f>'Input Laying'!D30*7+'Graph values'!S21</f>
        <v>0</v>
      </c>
      <c r="T22" s="191" t="str">
        <f>IF(OR('Input Laying'!AF30="",'Input Laying'!D30=0,'Input Laying'!O30=0),"#N/A",'Input Laying'!AF30/'Input Laying'!D30/(AD22*7)*1000)</f>
        <v>#N/A</v>
      </c>
      <c r="U22" s="191" t="e">
        <f>IF('Production data'!U29="",#N/A,'Production data'!U29)</f>
        <v>#N/A</v>
      </c>
      <c r="V22" s="191" t="e">
        <f>IF('Production data'!V29="",#N/A,'Production data'!V29)</f>
        <v>#N/A</v>
      </c>
      <c r="W22" s="191" t="e">
        <f>IF('Production data'!S29="",#N/A,'Production data'!S29)</f>
        <v>#N/A</v>
      </c>
      <c r="X22" s="191" t="e">
        <f>IF('Production data'!T29="",#N/A,'Production data'!T29)</f>
        <v>#N/A</v>
      </c>
      <c r="Y22" s="191" t="e">
        <f>IF('Input Laying'!E30="",#N/A,'Production data'!F29)</f>
        <v>#N/A</v>
      </c>
      <c r="Z22" s="191">
        <f>IF('Production data'!G29="",#N/A,'Production data'!G29)</f>
        <v>75.908575183916497</v>
      </c>
      <c r="AD22" s="191">
        <f>IF('Input Laying'!AF30=0,0,(IF('Input Laying'!N30&gt;0,1,IF('Input Laying'!O30&gt;0,0,1))))+AD21</f>
        <v>0</v>
      </c>
      <c r="AE22" s="191">
        <v>32</v>
      </c>
      <c r="AF22" s="191">
        <f t="shared" si="7"/>
        <v>96.015272283849029</v>
      </c>
      <c r="AG22" s="191">
        <f t="shared" si="13"/>
        <v>95.565272283849026</v>
      </c>
      <c r="AH22" s="191">
        <f t="shared" si="13"/>
        <v>95.115272283849023</v>
      </c>
      <c r="AI22" s="191">
        <f t="shared" si="11"/>
        <v>93.615272283849023</v>
      </c>
      <c r="AJ22" s="191">
        <f t="shared" si="13"/>
        <v>93.165272283849021</v>
      </c>
      <c r="AK22" s="191">
        <f t="shared" si="13"/>
        <v>92.715272283849018</v>
      </c>
      <c r="AL22" s="191">
        <f t="shared" si="13"/>
        <v>92.265272283849015</v>
      </c>
      <c r="AM22" s="191">
        <f t="shared" si="1"/>
        <v>62.047698098783528</v>
      </c>
      <c r="AN22" s="191">
        <f t="shared" si="4"/>
        <v>61.74769809878353</v>
      </c>
      <c r="AO22" s="191">
        <f t="shared" si="4"/>
        <v>61.447698098783533</v>
      </c>
      <c r="AP22" s="191">
        <f t="shared" si="4"/>
        <v>61.147698098783536</v>
      </c>
      <c r="AQ22" s="191">
        <f t="shared" si="4"/>
        <v>60.847698098783539</v>
      </c>
      <c r="AR22" s="191">
        <f t="shared" si="4"/>
        <v>60.547698098783542</v>
      </c>
      <c r="AS22" s="191">
        <f t="shared" si="4"/>
        <v>60.247698098783545</v>
      </c>
      <c r="AT22" s="191">
        <f t="shared" si="2"/>
        <v>6.721069059869432</v>
      </c>
      <c r="AU22" s="191">
        <f t="shared" si="5"/>
        <v>76.617050394883606</v>
      </c>
      <c r="AV22" s="191">
        <v>32</v>
      </c>
      <c r="AW22" s="191">
        <f t="shared" si="9"/>
        <v>417.02686392785336</v>
      </c>
      <c r="AX22" s="191">
        <f t="shared" si="10"/>
        <v>4.5001908014653411</v>
      </c>
      <c r="AZ22" s="191">
        <v>32</v>
      </c>
      <c r="BA22" s="191">
        <f>IF('Egg grading'!C26="",IF('Egg grading'!B26="","",'Egg grading'!B26),'Egg grading'!C26)</f>
        <v>62.047698098783528</v>
      </c>
      <c r="BC22" s="191" t="str">
        <f>IF(BC21="",'Egg grading'!K26,BC21+'Egg grading'!K26)</f>
        <v/>
      </c>
      <c r="BD22" s="191" t="str">
        <f>IF(BD21="",'Egg grading'!L26,BD21+'Egg grading'!L26)</f>
        <v/>
      </c>
      <c r="BE22" s="191" t="str">
        <f>IF(BE21="",'Egg grading'!M26,BE21+'Egg grading'!M26)</f>
        <v/>
      </c>
      <c r="BF22" s="191" t="str">
        <f>IF(BF21="",'Egg grading'!N26,BF21+'Egg grading'!N26)</f>
        <v/>
      </c>
    </row>
    <row r="23" spans="1:58" x14ac:dyDescent="0.2">
      <c r="A23" s="194">
        <f>'Production data'!B30</f>
        <v>33</v>
      </c>
      <c r="B23" s="191" t="e">
        <f>IF('Production data'!C30="",#N/A,'Production data'!C30)</f>
        <v>#N/A</v>
      </c>
      <c r="C23" s="191" t="e">
        <f>IF(OR('Input Laying'!E31=0,'Input Laying'!D30=0),#N/A,'Input Laying'!E31/'Input Laying'!D30*100*25)</f>
        <v>#N/A</v>
      </c>
      <c r="D23" s="191">
        <f>IF(OR('Production data'!D30="",'Production data'!D30=0),0,'Production data'!D30)</f>
        <v>0</v>
      </c>
      <c r="E23" s="191">
        <f>IF(OR(Std!B36="",Std!B36=0),0,Std!B36)</f>
        <v>95.921518521739543</v>
      </c>
      <c r="F23" s="193" t="e">
        <f>IF('Production data'!H30="",#N/A,'Production data'!H30)</f>
        <v>#N/A</v>
      </c>
      <c r="G23" s="193">
        <f>IF(OR(Std!C36="",Std!C36=0),#N/A,Std!C36)</f>
        <v>62.235968294934345</v>
      </c>
      <c r="H23" s="191" t="e">
        <f t="shared" ref="H23:H80" si="14">IF(I23&lt;0,#N/A,I23)</f>
        <v>#N/A</v>
      </c>
      <c r="I23" s="191">
        <f>('Input Laying'!AH31-1000)/25</f>
        <v>-40</v>
      </c>
      <c r="J23" s="191">
        <f>IF((Std!D36-1000)/25&lt;15,#N/A,(Std!D36-1000)/25)</f>
        <v>33.880000000000003</v>
      </c>
      <c r="K23" s="191" t="e">
        <f>IF('Production data'!P30="",#N/A,'Production data'!P30)</f>
        <v>#N/A</v>
      </c>
      <c r="L23" s="191" t="e">
        <f>IF('Production data'!L30="",#N/A,'Production data'!L30)</f>
        <v>#N/A</v>
      </c>
      <c r="M23" s="191">
        <f>IF(Std!E36=0,#N/A,Std!E36)</f>
        <v>59.6976858552094</v>
      </c>
      <c r="O23" s="191" t="e">
        <f>IF('Input Laying'!V31=0,NA(),IF('Input Laying'!V31="",NA(),'Input Laying'!W31/'Input Laying'!O31*100))</f>
        <v>#N/A</v>
      </c>
      <c r="P23" s="191" t="e">
        <f>IF('Input Laying'!T31="",#N/A,'Input Laying'!T31/'Input Laying'!N31*100)</f>
        <v>#N/A</v>
      </c>
      <c r="Q23" s="191" t="e">
        <f>IF('Input Laying'!U31="",#N/A,'Input Laying'!U31/'Input Laying'!N31*100)</f>
        <v>#N/A</v>
      </c>
      <c r="R23" s="191" t="str">
        <f>IF('Input Laying'!V31="",#N/A,'Production data'!W30)</f>
        <v/>
      </c>
      <c r="S23" s="191">
        <f>'Input Laying'!D31*7+'Graph values'!S22</f>
        <v>0</v>
      </c>
      <c r="T23" s="191" t="str">
        <f>IF(OR('Input Laying'!AF31="",'Input Laying'!D31=0,'Input Laying'!O31=0),"#N/A",'Input Laying'!AF31/'Input Laying'!D31/(AD23*7)*1000)</f>
        <v>#N/A</v>
      </c>
      <c r="U23" s="191" t="e">
        <f>IF('Production data'!U30="",#N/A,'Production data'!U30)</f>
        <v>#N/A</v>
      </c>
      <c r="V23" s="191" t="e">
        <f>IF('Production data'!V30="",#N/A,'Production data'!V30)</f>
        <v>#N/A</v>
      </c>
      <c r="W23" s="191" t="e">
        <f>IF('Production data'!S30="",#N/A,'Production data'!S30)</f>
        <v>#N/A</v>
      </c>
      <c r="X23" s="191" t="e">
        <f>IF('Production data'!T30="",#N/A,'Production data'!T30)</f>
        <v>#N/A</v>
      </c>
      <c r="Y23" s="191" t="e">
        <f>IF('Input Laying'!E31="",#N/A,'Production data'!F30)</f>
        <v>#N/A</v>
      </c>
      <c r="Z23" s="191">
        <f>IF('Production data'!G30="",#N/A,'Production data'!G30)</f>
        <v>82.519946663723687</v>
      </c>
      <c r="AD23" s="191">
        <f>IF('Input Laying'!AF31=0,0,(IF('Input Laying'!N31&gt;0,1,IF('Input Laying'!O31&gt;0,0,1))))+AD22</f>
        <v>0</v>
      </c>
      <c r="AE23" s="191">
        <v>33</v>
      </c>
      <c r="AF23" s="191">
        <f t="shared" si="7"/>
        <v>95.921518521739543</v>
      </c>
      <c r="AG23" s="191">
        <f t="shared" si="13"/>
        <v>95.47151852173954</v>
      </c>
      <c r="AH23" s="191">
        <f t="shared" si="13"/>
        <v>95.021518521739537</v>
      </c>
      <c r="AI23" s="191">
        <f t="shared" si="11"/>
        <v>93.521518521739537</v>
      </c>
      <c r="AJ23" s="191">
        <f t="shared" si="13"/>
        <v>93.071518521739534</v>
      </c>
      <c r="AK23" s="191">
        <f t="shared" si="13"/>
        <v>92.621518521739532</v>
      </c>
      <c r="AL23" s="191">
        <f t="shared" si="13"/>
        <v>92.171518521739529</v>
      </c>
      <c r="AM23" s="191">
        <f t="shared" si="1"/>
        <v>62.235968294934345</v>
      </c>
      <c r="AN23" s="191">
        <f t="shared" si="4"/>
        <v>61.935968294934348</v>
      </c>
      <c r="AO23" s="191">
        <f t="shared" si="4"/>
        <v>61.635968294934351</v>
      </c>
      <c r="AP23" s="191">
        <f t="shared" si="4"/>
        <v>61.335968294934354</v>
      </c>
      <c r="AQ23" s="191">
        <f t="shared" si="4"/>
        <v>61.035968294934356</v>
      </c>
      <c r="AR23" s="191">
        <f t="shared" si="4"/>
        <v>60.735968294934359</v>
      </c>
      <c r="AS23" s="191">
        <f t="shared" si="4"/>
        <v>60.435968294934362</v>
      </c>
      <c r="AT23" s="191">
        <f t="shared" si="2"/>
        <v>6.7145062965217672</v>
      </c>
      <c r="AU23" s="191">
        <f t="shared" si="5"/>
        <v>83.331556691405368</v>
      </c>
      <c r="AV23" s="191">
        <v>33</v>
      </c>
      <c r="AW23" s="191">
        <f t="shared" si="9"/>
        <v>417.88380098646581</v>
      </c>
      <c r="AX23" s="191">
        <f t="shared" si="10"/>
        <v>4.9180746024518065</v>
      </c>
      <c r="AZ23" s="191">
        <v>33</v>
      </c>
      <c r="BA23" s="191">
        <f>IF('Egg grading'!C27="",IF('Egg grading'!B27="","",'Egg grading'!B27),'Egg grading'!C27)</f>
        <v>62.235968294934345</v>
      </c>
      <c r="BC23" s="191" t="str">
        <f>IF(BC22="",'Egg grading'!K27,BC22+'Egg grading'!K27)</f>
        <v/>
      </c>
      <c r="BD23" s="191" t="str">
        <f>IF(BD22="",'Egg grading'!L27,BD22+'Egg grading'!L27)</f>
        <v/>
      </c>
      <c r="BE23" s="191" t="str">
        <f>IF(BE22="",'Egg grading'!M27,BE22+'Egg grading'!M27)</f>
        <v/>
      </c>
      <c r="BF23" s="191" t="str">
        <f>IF(BF22="",'Egg grading'!N27,BF22+'Egg grading'!N27)</f>
        <v/>
      </c>
    </row>
    <row r="24" spans="1:58" x14ac:dyDescent="0.2">
      <c r="A24" s="194">
        <f>'Production data'!B31</f>
        <v>34</v>
      </c>
      <c r="B24" s="191" t="e">
        <f>IF('Production data'!C31="",#N/A,'Production data'!C31)</f>
        <v>#N/A</v>
      </c>
      <c r="C24" s="191" t="e">
        <f>IF(OR('Input Laying'!E32=0,'Input Laying'!D31=0),#N/A,'Input Laying'!E32/'Input Laying'!D31*100*25)</f>
        <v>#N/A</v>
      </c>
      <c r="D24" s="191">
        <f>IF(OR('Production data'!D31="",'Production data'!D31=0),0,'Production data'!D31)</f>
        <v>0</v>
      </c>
      <c r="E24" s="191">
        <f>IF(OR(Std!B37="",Std!B37=0),0,Std!B37)</f>
        <v>95.773613313705724</v>
      </c>
      <c r="F24" s="193" t="e">
        <f>IF('Production data'!H31="",#N/A,'Production data'!H31)</f>
        <v>#N/A</v>
      </c>
      <c r="G24" s="193">
        <f>IF(OR(Std!C37="",Std!C37=0),#N/A,Std!C37)</f>
        <v>62.404395638190486</v>
      </c>
      <c r="H24" s="191" t="e">
        <f t="shared" si="14"/>
        <v>#N/A</v>
      </c>
      <c r="I24" s="191">
        <f>('Input Laying'!AH32-1000)/25</f>
        <v>-40</v>
      </c>
      <c r="J24" s="191">
        <f>IF((Std!D37-1000)/25&lt;15,#N/A,(Std!D37-1000)/25)</f>
        <v>34.159999999999997</v>
      </c>
      <c r="K24" s="191" t="e">
        <f>IF('Production data'!P31="",#N/A,'Production data'!P31)</f>
        <v>#N/A</v>
      </c>
      <c r="L24" s="191" t="e">
        <f>IF('Production data'!L31="",#N/A,'Production data'!L31)</f>
        <v>#N/A</v>
      </c>
      <c r="M24" s="191">
        <f>IF(Std!E37=0,#N/A,Std!E37)</f>
        <v>59.766944569275601</v>
      </c>
      <c r="O24" s="191" t="e">
        <f>IF('Input Laying'!V32=0,NA(),IF('Input Laying'!V32="",NA(),'Input Laying'!W32/'Input Laying'!O32*100))</f>
        <v>#N/A</v>
      </c>
      <c r="P24" s="191" t="e">
        <f>IF('Input Laying'!T32="",#N/A,'Input Laying'!T32/'Input Laying'!N32*100)</f>
        <v>#N/A</v>
      </c>
      <c r="Q24" s="191" t="e">
        <f>IF('Input Laying'!U32="",#N/A,'Input Laying'!U32/'Input Laying'!N32*100)</f>
        <v>#N/A</v>
      </c>
      <c r="R24" s="191" t="str">
        <f>IF('Input Laying'!V32="",#N/A,'Production data'!W31)</f>
        <v/>
      </c>
      <c r="S24" s="191">
        <f>'Input Laying'!D32*7+'Graph values'!S23</f>
        <v>0</v>
      </c>
      <c r="T24" s="191" t="str">
        <f>IF(OR('Input Laying'!AF32="",'Input Laying'!D32=0,'Input Laying'!O32=0),"#N/A",'Input Laying'!AF32/'Input Laying'!D32/(AD24*7)*1000)</f>
        <v>#N/A</v>
      </c>
      <c r="U24" s="191" t="e">
        <f>IF('Production data'!U31="",#N/A,'Production data'!U31)</f>
        <v>#N/A</v>
      </c>
      <c r="V24" s="191" t="e">
        <f>IF('Production data'!V31="",#N/A,'Production data'!V31)</f>
        <v>#N/A</v>
      </c>
      <c r="W24" s="191" t="e">
        <f>IF('Production data'!S31="",#N/A,'Production data'!S31)</f>
        <v>#N/A</v>
      </c>
      <c r="X24" s="191" t="e">
        <f>IF('Production data'!T31="",#N/A,'Production data'!T31)</f>
        <v>#N/A</v>
      </c>
      <c r="Y24" s="191" t="e">
        <f>IF('Input Laying'!E32="",#N/A,'Production data'!F31)</f>
        <v>#N/A</v>
      </c>
      <c r="Z24" s="191">
        <f>IF('Production data'!G31="",#N/A,'Production data'!G31)</f>
        <v>89.114687819833506</v>
      </c>
      <c r="AD24" s="191">
        <f>IF('Input Laying'!AF32=0,0,(IF('Input Laying'!N32&gt;0,1,IF('Input Laying'!O32&gt;0,0,1))))+AD23</f>
        <v>0</v>
      </c>
      <c r="AE24" s="191">
        <v>34</v>
      </c>
      <c r="AF24" s="191">
        <f t="shared" si="7"/>
        <v>95.773613313705724</v>
      </c>
      <c r="AG24" s="191">
        <f t="shared" si="13"/>
        <v>95.323613313705721</v>
      </c>
      <c r="AH24" s="191">
        <f t="shared" si="13"/>
        <v>94.873613313705718</v>
      </c>
      <c r="AI24" s="191">
        <f t="shared" si="11"/>
        <v>93.373613313705718</v>
      </c>
      <c r="AJ24" s="191">
        <f t="shared" si="13"/>
        <v>92.923613313705715</v>
      </c>
      <c r="AK24" s="191">
        <f t="shared" si="13"/>
        <v>92.473613313705712</v>
      </c>
      <c r="AL24" s="191">
        <f t="shared" si="13"/>
        <v>92.02361331370571</v>
      </c>
      <c r="AM24" s="191">
        <f t="shared" si="1"/>
        <v>62.404395638190486</v>
      </c>
      <c r="AN24" s="191">
        <f t="shared" ref="AN24:AS39" si="15">AM24-0.3</f>
        <v>62.104395638190489</v>
      </c>
      <c r="AO24" s="191">
        <f t="shared" si="15"/>
        <v>61.804395638190492</v>
      </c>
      <c r="AP24" s="191">
        <f t="shared" si="15"/>
        <v>61.504395638190495</v>
      </c>
      <c r="AQ24" s="191">
        <f t="shared" si="15"/>
        <v>61.204395638190498</v>
      </c>
      <c r="AR24" s="191">
        <f t="shared" si="15"/>
        <v>60.904395638190501</v>
      </c>
      <c r="AS24" s="191">
        <f t="shared" si="15"/>
        <v>60.604395638190503</v>
      </c>
      <c r="AT24" s="191">
        <f t="shared" si="2"/>
        <v>6.7041529319594009</v>
      </c>
      <c r="AU24" s="191">
        <f t="shared" si="5"/>
        <v>90.035709623364767</v>
      </c>
      <c r="AV24" s="191">
        <v>34</v>
      </c>
      <c r="AW24" s="191">
        <f t="shared" si="9"/>
        <v>418.3686119849292</v>
      </c>
      <c r="AX24" s="191">
        <f t="shared" si="10"/>
        <v>5.336443214436736</v>
      </c>
      <c r="AZ24" s="191">
        <v>34</v>
      </c>
      <c r="BA24" s="191">
        <f>IF('Egg grading'!C28="",IF('Egg grading'!B28="","",'Egg grading'!B28),'Egg grading'!C28)</f>
        <v>62.404395638190486</v>
      </c>
      <c r="BC24" s="191" t="str">
        <f>IF(BC23="",'Egg grading'!K28,BC23+'Egg grading'!K28)</f>
        <v/>
      </c>
      <c r="BD24" s="191" t="str">
        <f>IF(BD23="",'Egg grading'!L28,BD23+'Egg grading'!L28)</f>
        <v/>
      </c>
      <c r="BE24" s="191" t="str">
        <f>IF(BE23="",'Egg grading'!M28,BE23+'Egg grading'!M28)</f>
        <v/>
      </c>
      <c r="BF24" s="191" t="str">
        <f>IF(BF23="",'Egg grading'!N28,BF23+'Egg grading'!N28)</f>
        <v/>
      </c>
    </row>
    <row r="25" spans="1:58" x14ac:dyDescent="0.2">
      <c r="A25" s="194">
        <f>'Production data'!B32</f>
        <v>35</v>
      </c>
      <c r="B25" s="191" t="e">
        <f>IF('Production data'!C32="",#N/A,'Production data'!C32)</f>
        <v>#N/A</v>
      </c>
      <c r="C25" s="191" t="e">
        <f>IF(OR('Input Laying'!E33=0,'Input Laying'!D32=0),#N/A,'Input Laying'!E33/'Input Laying'!D32*100*25)</f>
        <v>#N/A</v>
      </c>
      <c r="D25" s="191">
        <f>IF(OR('Production data'!D32="",'Production data'!D32=0),0,'Production data'!D32)</f>
        <v>0</v>
      </c>
      <c r="E25" s="191">
        <f>IF(OR(Std!B38="",Std!B38=0),0,Std!B38)</f>
        <v>95.63</v>
      </c>
      <c r="F25" s="193" t="e">
        <f>IF('Production data'!H32="",#N/A,'Production data'!H32)</f>
        <v>#N/A</v>
      </c>
      <c r="G25" s="193">
        <f>IF(OR(Std!C38="",Std!C38=0),#N/A,Std!C38)</f>
        <v>62.563570692991696</v>
      </c>
      <c r="H25" s="191" t="e">
        <f t="shared" si="14"/>
        <v>#N/A</v>
      </c>
      <c r="I25" s="191">
        <f>('Input Laying'!AH33-1000)/25</f>
        <v>-40</v>
      </c>
      <c r="J25" s="191">
        <f>IF((Std!D38-1000)/25&lt;15,#N/A,(Std!D38-1000)/25)</f>
        <v>34.44</v>
      </c>
      <c r="K25" s="191" t="e">
        <f>IF('Production data'!P32="",#N/A,'Production data'!P32)</f>
        <v>#N/A</v>
      </c>
      <c r="L25" s="191" t="e">
        <f>IF('Production data'!L32="",#N/A,'Production data'!L32)</f>
        <v>#N/A</v>
      </c>
      <c r="M25" s="191">
        <f>IF(Std!E38=0,#N/A,Std!E38)</f>
        <v>59.829542653707961</v>
      </c>
      <c r="O25" s="191" t="e">
        <f>IF('Input Laying'!V33=0,NA(),IF('Input Laying'!V33="",NA(),'Input Laying'!W33/'Input Laying'!O33*100))</f>
        <v>#N/A</v>
      </c>
      <c r="P25" s="191" t="e">
        <f>IF('Input Laying'!T33="",#N/A,'Input Laying'!T33/'Input Laying'!N33*100)</f>
        <v>#N/A</v>
      </c>
      <c r="Q25" s="191" t="e">
        <f>IF('Input Laying'!U33="",#N/A,'Input Laying'!U33/'Input Laying'!N33*100)</f>
        <v>#N/A</v>
      </c>
      <c r="R25" s="191" t="str">
        <f>IF('Input Laying'!V33="",#N/A,'Production data'!W32)</f>
        <v/>
      </c>
      <c r="S25" s="191">
        <f>'Input Laying'!D33*7+'Graph values'!S24</f>
        <v>0</v>
      </c>
      <c r="T25" s="191" t="str">
        <f>IF(OR('Input Laying'!AF33="",'Input Laying'!D33=0,'Input Laying'!O33=0),"#N/A",'Input Laying'!AF33/'Input Laying'!D33/(AD25*7)*1000)</f>
        <v>#N/A</v>
      </c>
      <c r="U25" s="191" t="e">
        <f>IF('Production data'!U32="",#N/A,'Production data'!U32)</f>
        <v>#N/A</v>
      </c>
      <c r="V25" s="191" t="e">
        <f>IF('Production data'!V32="",#N/A,'Production data'!V32)</f>
        <v>#N/A</v>
      </c>
      <c r="W25" s="191" t="e">
        <f>IF('Production data'!S32="",#N/A,'Production data'!S32)</f>
        <v>#N/A</v>
      </c>
      <c r="X25" s="191" t="e">
        <f>IF('Production data'!T32="",#N/A,'Production data'!T32)</f>
        <v>#N/A</v>
      </c>
      <c r="Y25" s="191" t="e">
        <f>IF('Input Laying'!E33="",#N/A,'Production data'!F32)</f>
        <v>#N/A</v>
      </c>
      <c r="Z25" s="191">
        <f>IF('Production data'!G32="",#N/A,'Production data'!G32)</f>
        <v>95.693113771833495</v>
      </c>
      <c r="AD25" s="191">
        <f>IF('Input Laying'!AF33=0,0,(IF('Input Laying'!N33&gt;0,1,IF('Input Laying'!O33&gt;0,0,1))))+AD24</f>
        <v>0</v>
      </c>
      <c r="AE25" s="191">
        <v>35</v>
      </c>
      <c r="AF25" s="191">
        <f t="shared" si="7"/>
        <v>95.63</v>
      </c>
      <c r="AG25" s="191">
        <f t="shared" si="13"/>
        <v>95.179999999999993</v>
      </c>
      <c r="AH25" s="191">
        <f t="shared" si="13"/>
        <v>94.72999999999999</v>
      </c>
      <c r="AI25" s="191">
        <f t="shared" si="11"/>
        <v>93.22999999999999</v>
      </c>
      <c r="AJ25" s="191">
        <f t="shared" si="13"/>
        <v>92.779999999999987</v>
      </c>
      <c r="AK25" s="191">
        <f t="shared" si="13"/>
        <v>92.329999999999984</v>
      </c>
      <c r="AL25" s="191">
        <f t="shared" si="13"/>
        <v>91.879999999999981</v>
      </c>
      <c r="AM25" s="191">
        <f t="shared" si="1"/>
        <v>62.563570692991696</v>
      </c>
      <c r="AN25" s="191">
        <f t="shared" si="15"/>
        <v>62.263570692991699</v>
      </c>
      <c r="AO25" s="191">
        <f t="shared" si="15"/>
        <v>61.963570692991702</v>
      </c>
      <c r="AP25" s="191">
        <f t="shared" si="15"/>
        <v>61.663570692991705</v>
      </c>
      <c r="AQ25" s="191">
        <f t="shared" si="15"/>
        <v>61.363570692991708</v>
      </c>
      <c r="AR25" s="191">
        <f t="shared" si="15"/>
        <v>61.063570692991711</v>
      </c>
      <c r="AS25" s="191">
        <f t="shared" si="15"/>
        <v>60.763570692991713</v>
      </c>
      <c r="AT25" s="191">
        <f t="shared" si="2"/>
        <v>6.6940999999999997</v>
      </c>
      <c r="AU25" s="191">
        <f t="shared" si="5"/>
        <v>96.729809623364773</v>
      </c>
      <c r="AV25" s="191">
        <v>35</v>
      </c>
      <c r="AW25" s="191">
        <f t="shared" si="9"/>
        <v>418.80679857595572</v>
      </c>
      <c r="AX25" s="191">
        <f t="shared" si="10"/>
        <v>5.7552500130126916</v>
      </c>
      <c r="AZ25" s="191">
        <v>35</v>
      </c>
      <c r="BA25" s="191">
        <f>IF('Egg grading'!C29="",IF('Egg grading'!B29="","",'Egg grading'!B29),'Egg grading'!C29)</f>
        <v>62.563570692991696</v>
      </c>
      <c r="BC25" s="191" t="str">
        <f>IF(BC24="",'Egg grading'!K29,BC24+'Egg grading'!K29)</f>
        <v/>
      </c>
      <c r="BD25" s="191" t="str">
        <f>IF(BD24="",'Egg grading'!L29,BD24+'Egg grading'!L29)</f>
        <v/>
      </c>
      <c r="BE25" s="191" t="str">
        <f>IF(BE24="",'Egg grading'!M29,BE24+'Egg grading'!M29)</f>
        <v/>
      </c>
      <c r="BF25" s="191" t="str">
        <f>IF(BF24="",'Egg grading'!N29,BF24+'Egg grading'!N29)</f>
        <v/>
      </c>
    </row>
    <row r="26" spans="1:58" x14ac:dyDescent="0.2">
      <c r="A26" s="194">
        <f>'Production data'!B33</f>
        <v>36</v>
      </c>
      <c r="B26" s="191" t="e">
        <f>IF('Production data'!C33="",#N/A,'Production data'!C33)</f>
        <v>#N/A</v>
      </c>
      <c r="C26" s="191" t="e">
        <f>IF(OR('Input Laying'!E34=0,'Input Laying'!D33=0),#N/A,'Input Laying'!E34/'Input Laying'!D33*100*25)</f>
        <v>#N/A</v>
      </c>
      <c r="D26" s="191">
        <f>IF(OR('Production data'!D33="",'Production data'!D33=0),0,'Production data'!D33)</f>
        <v>0</v>
      </c>
      <c r="E26" s="191">
        <f>IF(OR(Std!B39="",Std!B39=0),0,Std!B39)</f>
        <v>95.5</v>
      </c>
      <c r="F26" s="193" t="e">
        <f>IF('Production data'!H33="",#N/A,'Production data'!H33)</f>
        <v>#N/A</v>
      </c>
      <c r="G26" s="193">
        <f>IF(OR(Std!C39="",Std!C39=0),#N/A,Std!C39)</f>
        <v>62.720342229576147</v>
      </c>
      <c r="H26" s="191" t="e">
        <f t="shared" si="14"/>
        <v>#N/A</v>
      </c>
      <c r="I26" s="191">
        <f>('Input Laying'!AH34-1000)/25</f>
        <v>-40</v>
      </c>
      <c r="J26" s="191">
        <f>IF((Std!D39-1000)/25&lt;15,#N/A,(Std!D39-1000)/25)</f>
        <v>34.76</v>
      </c>
      <c r="K26" s="191" t="e">
        <f>IF('Production data'!P33="",#N/A,'Production data'!P33)</f>
        <v>#N/A</v>
      </c>
      <c r="L26" s="191" t="e">
        <f>IF('Production data'!L33="",#N/A,'Production data'!L33)</f>
        <v>#N/A</v>
      </c>
      <c r="M26" s="191">
        <f>IF(Std!E39=0,#N/A,Std!E39)</f>
        <v>59.897926829245215</v>
      </c>
      <c r="O26" s="191" t="e">
        <f>IF('Input Laying'!V34=0,NA(),IF('Input Laying'!V34="",NA(),'Input Laying'!W34/'Input Laying'!O34*100))</f>
        <v>#N/A</v>
      </c>
      <c r="P26" s="191" t="e">
        <f>IF('Input Laying'!T34="",#N/A,'Input Laying'!T34/'Input Laying'!N34*100)</f>
        <v>#N/A</v>
      </c>
      <c r="Q26" s="191" t="e">
        <f>IF('Input Laying'!U34="",#N/A,'Input Laying'!U34/'Input Laying'!N34*100)</f>
        <v>#N/A</v>
      </c>
      <c r="R26" s="191" t="str">
        <f>IF('Input Laying'!V34="",#N/A,'Production data'!W33)</f>
        <v/>
      </c>
      <c r="S26" s="191">
        <f>'Input Laying'!D34*7+'Graph values'!S25</f>
        <v>0</v>
      </c>
      <c r="T26" s="191" t="str">
        <f>IF(OR('Input Laying'!AF34="",'Input Laying'!D34=0,'Input Laying'!O34=0),"#N/A",'Input Laying'!AF34/'Input Laying'!D34/(AD26*7)*1000)</f>
        <v>#N/A</v>
      </c>
      <c r="U26" s="191" t="e">
        <f>IF('Production data'!U33="",#N/A,'Production data'!U33)</f>
        <v>#N/A</v>
      </c>
      <c r="V26" s="191" t="e">
        <f>IF('Production data'!V33="",#N/A,'Production data'!V33)</f>
        <v>#N/A</v>
      </c>
      <c r="W26" s="191" t="e">
        <f>IF('Production data'!S33="",#N/A,'Production data'!S33)</f>
        <v>#N/A</v>
      </c>
      <c r="X26" s="191" t="e">
        <f>IF('Production data'!T33="",#N/A,'Production data'!T33)</f>
        <v>#N/A</v>
      </c>
      <c r="Y26" s="191" t="e">
        <f>IF('Input Laying'!E34="",#N/A,'Production data'!F33)</f>
        <v>#N/A</v>
      </c>
      <c r="Z26" s="191">
        <f>IF('Production data'!G33="",#N/A,'Production data'!G33)</f>
        <v>102.2561793718335</v>
      </c>
      <c r="AD26" s="191">
        <f>IF('Input Laying'!AF34=0,0,(IF('Input Laying'!N34&gt;0,1,IF('Input Laying'!O34&gt;0,0,1))))+AD25</f>
        <v>0</v>
      </c>
      <c r="AE26" s="191">
        <v>36</v>
      </c>
      <c r="AF26" s="191">
        <f t="shared" si="7"/>
        <v>95.5</v>
      </c>
      <c r="AG26" s="191">
        <f t="shared" si="13"/>
        <v>95.05</v>
      </c>
      <c r="AH26" s="191">
        <f t="shared" si="13"/>
        <v>94.6</v>
      </c>
      <c r="AI26" s="191">
        <f t="shared" si="11"/>
        <v>93.1</v>
      </c>
      <c r="AJ26" s="191">
        <f t="shared" si="13"/>
        <v>92.649999999999991</v>
      </c>
      <c r="AK26" s="191">
        <f t="shared" si="13"/>
        <v>92.199999999999989</v>
      </c>
      <c r="AL26" s="191">
        <f t="shared" si="13"/>
        <v>91.749999999999986</v>
      </c>
      <c r="AM26" s="191">
        <f t="shared" si="1"/>
        <v>62.720342229576147</v>
      </c>
      <c r="AN26" s="191">
        <f t="shared" si="15"/>
        <v>62.42034222957615</v>
      </c>
      <c r="AO26" s="191">
        <f t="shared" si="15"/>
        <v>62.120342229576153</v>
      </c>
      <c r="AP26" s="191">
        <f t="shared" si="15"/>
        <v>61.820342229576156</v>
      </c>
      <c r="AQ26" s="191">
        <f t="shared" si="15"/>
        <v>61.520342229576158</v>
      </c>
      <c r="AR26" s="191">
        <f t="shared" si="15"/>
        <v>61.220342229576161</v>
      </c>
      <c r="AS26" s="191">
        <f t="shared" si="15"/>
        <v>60.920342229576164</v>
      </c>
      <c r="AT26" s="191">
        <f t="shared" si="2"/>
        <v>6.6849999999999996</v>
      </c>
      <c r="AU26" s="191">
        <f t="shared" si="5"/>
        <v>103.41480962336477</v>
      </c>
      <c r="AV26" s="191">
        <v>36</v>
      </c>
      <c r="AW26" s="191">
        <f t="shared" si="9"/>
        <v>419.28548780471652</v>
      </c>
      <c r="AX26" s="191">
        <f t="shared" si="10"/>
        <v>6.1745355008174077</v>
      </c>
      <c r="AZ26" s="191">
        <v>36</v>
      </c>
      <c r="BA26" s="191">
        <f>IF('Egg grading'!C30="",IF('Egg grading'!B30="","",'Egg grading'!B30),'Egg grading'!C30)</f>
        <v>62.720342229576147</v>
      </c>
      <c r="BC26" s="191" t="str">
        <f>IF(BC25="",'Egg grading'!K30,BC25+'Egg grading'!K30)</f>
        <v/>
      </c>
      <c r="BD26" s="191" t="str">
        <f>IF(BD25="",'Egg grading'!L30,BD25+'Egg grading'!L30)</f>
        <v/>
      </c>
      <c r="BE26" s="191" t="str">
        <f>IF(BE25="",'Egg grading'!M30,BE25+'Egg grading'!M30)</f>
        <v/>
      </c>
      <c r="BF26" s="191" t="str">
        <f>IF(BF25="",'Egg grading'!N30,BF25+'Egg grading'!N30)</f>
        <v/>
      </c>
    </row>
    <row r="27" spans="1:58" x14ac:dyDescent="0.2">
      <c r="A27" s="194">
        <f>'Production data'!B34</f>
        <v>37</v>
      </c>
      <c r="B27" s="191" t="e">
        <f>IF('Production data'!C34="",#N/A,'Production data'!C34)</f>
        <v>#N/A</v>
      </c>
      <c r="C27" s="191" t="e">
        <f>IF(OR('Input Laying'!E35=0,'Input Laying'!D34=0),#N/A,'Input Laying'!E35/'Input Laying'!D34*100*25)</f>
        <v>#N/A</v>
      </c>
      <c r="D27" s="191">
        <f>IF(OR('Production data'!D34="",'Production data'!D34=0),0,'Production data'!D34)</f>
        <v>0</v>
      </c>
      <c r="E27" s="191">
        <f>IF(OR(Std!B40="",Std!B40=0),0,Std!B40)</f>
        <v>95.2</v>
      </c>
      <c r="F27" s="193" t="e">
        <f>IF('Production data'!H34="",#N/A,'Production data'!H34)</f>
        <v>#N/A</v>
      </c>
      <c r="G27" s="193">
        <f>IF(OR(Std!C40="",Std!C40=0),#N/A,Std!C40)</f>
        <v>62.877817223979292</v>
      </c>
      <c r="H27" s="191" t="e">
        <f t="shared" si="14"/>
        <v>#N/A</v>
      </c>
      <c r="I27" s="191">
        <f>('Input Laying'!AH35-1000)/25</f>
        <v>-40</v>
      </c>
      <c r="J27" s="191">
        <f>IF((Std!D40-1000)/25&lt;15,#N/A,(Std!D40-1000)/25)</f>
        <v>34.840000000000003</v>
      </c>
      <c r="K27" s="191" t="e">
        <f>IF('Production data'!P34="",#N/A,'Production data'!P34)</f>
        <v>#N/A</v>
      </c>
      <c r="L27" s="191" t="e">
        <f>IF('Production data'!L34="",#N/A,'Production data'!L34)</f>
        <v>#N/A</v>
      </c>
      <c r="M27" s="191">
        <f>IF(Std!E40=0,#N/A,Std!E40)</f>
        <v>59.859681997228293</v>
      </c>
      <c r="O27" s="191" t="e">
        <f>IF('Input Laying'!V35=0,NA(),IF('Input Laying'!V35="",NA(),'Input Laying'!W35/'Input Laying'!O35*100))</f>
        <v>#N/A</v>
      </c>
      <c r="P27" s="191" t="e">
        <f>IF('Input Laying'!T35="",#N/A,'Input Laying'!T35/'Input Laying'!N35*100)</f>
        <v>#N/A</v>
      </c>
      <c r="Q27" s="191" t="e">
        <f>IF('Input Laying'!U35="",#N/A,'Input Laying'!U35/'Input Laying'!N35*100)</f>
        <v>#N/A</v>
      </c>
      <c r="R27" s="191" t="str">
        <f>IF('Input Laying'!V35="",#N/A,'Production data'!W34)</f>
        <v/>
      </c>
      <c r="S27" s="191">
        <f>'Input Laying'!D35*7+'Graph values'!S26</f>
        <v>0</v>
      </c>
      <c r="T27" s="191" t="str">
        <f>IF(OR('Input Laying'!AF35="",'Input Laying'!D35=0,'Input Laying'!O35=0),"#N/A",'Input Laying'!AF35/'Input Laying'!D35/(AD27*7)*1000)</f>
        <v>#N/A</v>
      </c>
      <c r="U27" s="191" t="e">
        <f>IF('Production data'!U34="",#N/A,'Production data'!U34)</f>
        <v>#N/A</v>
      </c>
      <c r="V27" s="191" t="e">
        <f>IF('Production data'!V34="",#N/A,'Production data'!V34)</f>
        <v>#N/A</v>
      </c>
      <c r="W27" s="191" t="e">
        <f>IF('Production data'!S34="",#N/A,'Production data'!S34)</f>
        <v>#N/A</v>
      </c>
      <c r="X27" s="191" t="e">
        <f>IF('Production data'!T34="",#N/A,'Production data'!T34)</f>
        <v>#N/A</v>
      </c>
      <c r="Y27" s="191" t="e">
        <f>IF('Input Laying'!E35="",#N/A,'Production data'!F34)</f>
        <v>#N/A</v>
      </c>
      <c r="Z27" s="191">
        <f>IF('Production data'!G34="",#N/A,'Production data'!G34)</f>
        <v>108.7922305718335</v>
      </c>
      <c r="AD27" s="191">
        <f>IF('Input Laying'!AF35=0,0,(IF('Input Laying'!N35&gt;0,1,IF('Input Laying'!O35&gt;0,0,1))))+AD26</f>
        <v>0</v>
      </c>
      <c r="AE27" s="191">
        <v>37</v>
      </c>
      <c r="AF27" s="191">
        <f t="shared" si="7"/>
        <v>95.2</v>
      </c>
      <c r="AG27" s="191">
        <f t="shared" si="13"/>
        <v>94.75</v>
      </c>
      <c r="AH27" s="191">
        <f t="shared" si="13"/>
        <v>94.3</v>
      </c>
      <c r="AI27" s="191">
        <f t="shared" si="11"/>
        <v>92.8</v>
      </c>
      <c r="AJ27" s="191">
        <f t="shared" si="13"/>
        <v>92.35</v>
      </c>
      <c r="AK27" s="191">
        <f t="shared" si="13"/>
        <v>91.899999999999991</v>
      </c>
      <c r="AL27" s="191">
        <f t="shared" si="13"/>
        <v>91.449999999999989</v>
      </c>
      <c r="AM27" s="191">
        <f t="shared" si="1"/>
        <v>62.877817223979292</v>
      </c>
      <c r="AN27" s="191">
        <f t="shared" si="15"/>
        <v>62.577817223979295</v>
      </c>
      <c r="AO27" s="191">
        <f t="shared" si="15"/>
        <v>62.277817223979298</v>
      </c>
      <c r="AP27" s="191">
        <f t="shared" si="15"/>
        <v>61.977817223979301</v>
      </c>
      <c r="AQ27" s="191">
        <f t="shared" si="15"/>
        <v>61.677817223979304</v>
      </c>
      <c r="AR27" s="191">
        <f t="shared" si="15"/>
        <v>61.377817223979307</v>
      </c>
      <c r="AS27" s="191">
        <f t="shared" si="15"/>
        <v>61.077817223979309</v>
      </c>
      <c r="AT27" s="191">
        <f t="shared" si="2"/>
        <v>6.6639999999999997</v>
      </c>
      <c r="AU27" s="191">
        <f t="shared" si="5"/>
        <v>110.07880962336478</v>
      </c>
      <c r="AV27" s="191">
        <v>37</v>
      </c>
      <c r="AW27" s="191">
        <f t="shared" si="9"/>
        <v>419.01777398059807</v>
      </c>
      <c r="AX27" s="191">
        <f t="shared" si="10"/>
        <v>6.5935532747980057</v>
      </c>
      <c r="AZ27" s="191">
        <v>37</v>
      </c>
      <c r="BA27" s="191">
        <f>IF('Egg grading'!C31="",IF('Egg grading'!B31="","",'Egg grading'!B31),'Egg grading'!C31)</f>
        <v>62.877817223979292</v>
      </c>
      <c r="BC27" s="191" t="str">
        <f>IF(BC26="",'Egg grading'!K31,BC26+'Egg grading'!K31)</f>
        <v/>
      </c>
      <c r="BD27" s="191" t="str">
        <f>IF(BD26="",'Egg grading'!L31,BD26+'Egg grading'!L31)</f>
        <v/>
      </c>
      <c r="BE27" s="191" t="str">
        <f>IF(BE26="",'Egg grading'!M31,BE26+'Egg grading'!M31)</f>
        <v/>
      </c>
      <c r="BF27" s="191" t="str">
        <f>IF(BF26="",'Egg grading'!N31,BF26+'Egg grading'!N31)</f>
        <v/>
      </c>
    </row>
    <row r="28" spans="1:58" x14ac:dyDescent="0.2">
      <c r="A28" s="194">
        <f>'Production data'!B35</f>
        <v>38</v>
      </c>
      <c r="B28" s="191" t="e">
        <f>IF('Production data'!C35="",#N/A,'Production data'!C35)</f>
        <v>#N/A</v>
      </c>
      <c r="C28" s="191" t="e">
        <f>IF(OR('Input Laying'!E36=0,'Input Laying'!D35=0),#N/A,'Input Laying'!E36/'Input Laying'!D35*100*25)</f>
        <v>#N/A</v>
      </c>
      <c r="D28" s="191">
        <f>IF(OR('Production data'!D35="",'Production data'!D35=0),0,'Production data'!D35)</f>
        <v>0</v>
      </c>
      <c r="E28" s="191">
        <f>IF(OR(Std!B41="",Std!B41=0),0,Std!B41)</f>
        <v>95.03</v>
      </c>
      <c r="F28" s="193" t="e">
        <f>IF('Production data'!H35="",#N/A,'Production data'!H35)</f>
        <v>#N/A</v>
      </c>
      <c r="G28" s="193">
        <f>IF(OR(Std!C41="",Std!C41=0),#N/A,Std!C41)</f>
        <v>63.035360858035659</v>
      </c>
      <c r="H28" s="191" t="e">
        <f t="shared" si="14"/>
        <v>#N/A</v>
      </c>
      <c r="I28" s="191">
        <f>('Input Laying'!AH36-1000)/25</f>
        <v>-40</v>
      </c>
      <c r="J28" s="191">
        <f>IF((Std!D41-1000)/25&lt;15,#N/A,(Std!D41-1000)/25)</f>
        <v>34.96</v>
      </c>
      <c r="K28" s="191" t="e">
        <f>IF('Production data'!P35="",#N/A,'Production data'!P35)</f>
        <v>#N/A</v>
      </c>
      <c r="L28" s="191" t="e">
        <f>IF('Production data'!L35="",#N/A,'Production data'!L35)</f>
        <v>#N/A</v>
      </c>
      <c r="M28" s="191">
        <f>IF(Std!E41=0,#N/A,Std!E41)</f>
        <v>59.902503423391288</v>
      </c>
      <c r="O28" s="191" t="e">
        <f>IF('Input Laying'!V36=0,NA(),IF('Input Laying'!V36="",NA(),'Input Laying'!W36/'Input Laying'!O36*100))</f>
        <v>#N/A</v>
      </c>
      <c r="P28" s="191" t="e">
        <f>IF('Input Laying'!T36="",#N/A,'Input Laying'!T36/'Input Laying'!N36*100)</f>
        <v>#N/A</v>
      </c>
      <c r="Q28" s="191" t="e">
        <f>IF('Input Laying'!U36="",#N/A,'Input Laying'!U36/'Input Laying'!N36*100)</f>
        <v>#N/A</v>
      </c>
      <c r="R28" s="191" t="str">
        <f>IF('Input Laying'!V36="",#N/A,'Production data'!W35)</f>
        <v/>
      </c>
      <c r="S28" s="191">
        <f>'Input Laying'!D36*7+'Graph values'!S27</f>
        <v>0</v>
      </c>
      <c r="T28" s="191" t="str">
        <f>IF(OR('Input Laying'!AF36="",'Input Laying'!D36=0,'Input Laying'!O36=0),"#N/A",'Input Laying'!AF36/'Input Laying'!D36/(AD28*7)*1000)</f>
        <v>#N/A</v>
      </c>
      <c r="U28" s="191" t="e">
        <f>IF('Production data'!U35="",#N/A,'Production data'!U35)</f>
        <v>#N/A</v>
      </c>
      <c r="V28" s="191" t="e">
        <f>IF('Production data'!V35="",#N/A,'Production data'!V35)</f>
        <v>#N/A</v>
      </c>
      <c r="W28" s="191" t="e">
        <f>IF('Production data'!S35="",#N/A,'Production data'!S35)</f>
        <v>#N/A</v>
      </c>
      <c r="X28" s="191" t="e">
        <f>IF('Production data'!T35="",#N/A,'Production data'!T35)</f>
        <v>#N/A</v>
      </c>
      <c r="Y28" s="191" t="e">
        <f>IF('Input Laying'!E36="",#N/A,'Production data'!F35)</f>
        <v>#N/A</v>
      </c>
      <c r="Z28" s="191">
        <f>IF('Production data'!G35="",#N/A,'Production data'!G35)</f>
        <v>115.31022423583349</v>
      </c>
      <c r="AD28" s="191">
        <f>IF('Input Laying'!AF36=0,0,(IF('Input Laying'!N36&gt;0,1,IF('Input Laying'!O36&gt;0,0,1))))+AD27</f>
        <v>0</v>
      </c>
      <c r="AE28" s="191">
        <v>38</v>
      </c>
      <c r="AF28" s="191">
        <f t="shared" si="7"/>
        <v>95.03</v>
      </c>
      <c r="AG28" s="191">
        <f t="shared" si="13"/>
        <v>94.58</v>
      </c>
      <c r="AH28" s="191">
        <f t="shared" si="13"/>
        <v>94.13</v>
      </c>
      <c r="AI28" s="191">
        <f t="shared" si="11"/>
        <v>92.63</v>
      </c>
      <c r="AJ28" s="191">
        <f t="shared" si="13"/>
        <v>92.179999999999993</v>
      </c>
      <c r="AK28" s="191">
        <f t="shared" si="13"/>
        <v>91.72999999999999</v>
      </c>
      <c r="AL28" s="191">
        <f t="shared" si="13"/>
        <v>91.279999999999987</v>
      </c>
      <c r="AM28" s="191">
        <f t="shared" si="1"/>
        <v>63.035360858035659</v>
      </c>
      <c r="AN28" s="191">
        <f t="shared" si="15"/>
        <v>62.735360858035662</v>
      </c>
      <c r="AO28" s="191">
        <f t="shared" si="15"/>
        <v>62.435360858035665</v>
      </c>
      <c r="AP28" s="191">
        <f t="shared" si="15"/>
        <v>62.135360858035668</v>
      </c>
      <c r="AQ28" s="191">
        <f t="shared" si="15"/>
        <v>61.835360858035671</v>
      </c>
      <c r="AR28" s="191">
        <f t="shared" si="15"/>
        <v>61.535360858035673</v>
      </c>
      <c r="AS28" s="191">
        <f t="shared" si="15"/>
        <v>61.235360858035676</v>
      </c>
      <c r="AT28" s="191">
        <f t="shared" si="2"/>
        <v>6.6521000000000008</v>
      </c>
      <c r="AU28" s="191">
        <f t="shared" si="5"/>
        <v>116.73090962336478</v>
      </c>
      <c r="AV28" s="191">
        <v>38</v>
      </c>
      <c r="AW28" s="191">
        <f t="shared" si="9"/>
        <v>419.31752396373901</v>
      </c>
      <c r="AX28" s="191">
        <f t="shared" si="10"/>
        <v>7.0128707987617442</v>
      </c>
      <c r="AZ28" s="191">
        <v>38</v>
      </c>
      <c r="BA28" s="191">
        <f>IF('Egg grading'!C32="",IF('Egg grading'!B32="","",'Egg grading'!B32),'Egg grading'!C32)</f>
        <v>63.035360858035659</v>
      </c>
      <c r="BC28" s="191" t="str">
        <f>IF(BC27="",'Egg grading'!K32,BC27+'Egg grading'!K32)</f>
        <v/>
      </c>
      <c r="BD28" s="191" t="str">
        <f>IF(BD27="",'Egg grading'!L32,BD27+'Egg grading'!L32)</f>
        <v/>
      </c>
      <c r="BE28" s="191" t="str">
        <f>IF(BE27="",'Egg grading'!M32,BE27+'Egg grading'!M32)</f>
        <v/>
      </c>
      <c r="BF28" s="191" t="str">
        <f>IF(BF27="",'Egg grading'!N32,BF27+'Egg grading'!N32)</f>
        <v/>
      </c>
    </row>
    <row r="29" spans="1:58" x14ac:dyDescent="0.2">
      <c r="A29" s="194">
        <f>'Production data'!B36</f>
        <v>39</v>
      </c>
      <c r="B29" s="191" t="e">
        <f>IF('Production data'!C36="",#N/A,'Production data'!C36)</f>
        <v>#N/A</v>
      </c>
      <c r="C29" s="191" t="e">
        <f>IF(OR('Input Laying'!E37=0,'Input Laying'!D36=0),#N/A,'Input Laying'!E37/'Input Laying'!D36*100*25)</f>
        <v>#N/A</v>
      </c>
      <c r="D29" s="191">
        <f>IF(OR('Production data'!D36="",'Production data'!D36=0),0,'Production data'!D36)</f>
        <v>0</v>
      </c>
      <c r="E29" s="191">
        <f>IF(OR(Std!B42="",Std!B42=0),0,Std!B42)</f>
        <v>94.8</v>
      </c>
      <c r="F29" s="193" t="e">
        <f>IF('Production data'!H36="",#N/A,'Production data'!H36)</f>
        <v>#N/A</v>
      </c>
      <c r="G29" s="193">
        <f>IF(OR(Std!C42="",Std!C42=0),#N/A,Std!C42)</f>
        <v>63.188596519377562</v>
      </c>
      <c r="H29" s="191" t="e">
        <f t="shared" si="14"/>
        <v>#N/A</v>
      </c>
      <c r="I29" s="191">
        <f>('Input Laying'!AH37-1000)/25</f>
        <v>-40</v>
      </c>
      <c r="J29" s="191">
        <f>IF((Std!D42-1000)/25&lt;15,#N/A,(Std!D42-1000)/25)</f>
        <v>35.064294270838246</v>
      </c>
      <c r="K29" s="191" t="e">
        <f>IF('Production data'!P36="",#N/A,'Production data'!P36)</f>
        <v>#N/A</v>
      </c>
      <c r="L29" s="191" t="e">
        <f>IF('Production data'!L36="",#N/A,'Production data'!L36)</f>
        <v>#N/A</v>
      </c>
      <c r="M29" s="191">
        <f>IF(Std!E42=0,#N/A,Std!E42)</f>
        <v>59.902789500369927</v>
      </c>
      <c r="O29" s="191" t="e">
        <f>IF('Input Laying'!V37=0,NA(),IF('Input Laying'!V37="",NA(),'Input Laying'!W37/'Input Laying'!O37*100))</f>
        <v>#N/A</v>
      </c>
      <c r="P29" s="191" t="e">
        <f>IF('Input Laying'!T37="",#N/A,'Input Laying'!T37/'Input Laying'!N37*100)</f>
        <v>#N/A</v>
      </c>
      <c r="Q29" s="191" t="e">
        <f>IF('Input Laying'!U37="",#N/A,'Input Laying'!U37/'Input Laying'!N37*100)</f>
        <v>#N/A</v>
      </c>
      <c r="R29" s="191" t="str">
        <f>IF('Input Laying'!V37="",#N/A,'Production data'!W36)</f>
        <v/>
      </c>
      <c r="S29" s="191">
        <f>'Input Laying'!D37*7+'Graph values'!S28</f>
        <v>0</v>
      </c>
      <c r="T29" s="191" t="str">
        <f>IF(OR('Input Laying'!AF37="",'Input Laying'!D37=0,'Input Laying'!O37=0),"#N/A",'Input Laying'!AF37/'Input Laying'!D37/(AD29*7)*1000)</f>
        <v>#N/A</v>
      </c>
      <c r="U29" s="191" t="e">
        <f>IF('Production data'!U36="",#N/A,'Production data'!U36)</f>
        <v>#N/A</v>
      </c>
      <c r="V29" s="191" t="e">
        <f>IF('Production data'!V36="",#N/A,'Production data'!V36)</f>
        <v>#N/A</v>
      </c>
      <c r="W29" s="191" t="e">
        <f>IF('Production data'!S36="",#N/A,'Production data'!S36)</f>
        <v>#N/A</v>
      </c>
      <c r="X29" s="191" t="e">
        <f>IF('Production data'!T36="",#N/A,'Production data'!T36)</f>
        <v>#N/A</v>
      </c>
      <c r="Y29" s="191" t="e">
        <f>IF('Input Laying'!E37="",#N/A,'Production data'!F36)</f>
        <v>#N/A</v>
      </c>
      <c r="Z29" s="191">
        <f>IF('Production data'!G36="",#N/A,'Production data'!G36)</f>
        <v>121.80607191583348</v>
      </c>
      <c r="AD29" s="191">
        <f>IF('Input Laying'!AF37=0,0,(IF('Input Laying'!N37&gt;0,1,IF('Input Laying'!O37&gt;0,0,1))))+AD28</f>
        <v>0</v>
      </c>
      <c r="AE29" s="191">
        <v>39</v>
      </c>
      <c r="AF29" s="191">
        <f t="shared" si="7"/>
        <v>94.8</v>
      </c>
      <c r="AG29" s="191">
        <f t="shared" si="13"/>
        <v>94.35</v>
      </c>
      <c r="AH29" s="191">
        <f t="shared" si="13"/>
        <v>93.899999999999991</v>
      </c>
      <c r="AI29" s="191">
        <f t="shared" si="11"/>
        <v>92.399999999999991</v>
      </c>
      <c r="AJ29" s="191">
        <f t="shared" si="13"/>
        <v>91.949999999999989</v>
      </c>
      <c r="AK29" s="191">
        <f t="shared" si="13"/>
        <v>91.499999999999986</v>
      </c>
      <c r="AL29" s="191">
        <f t="shared" si="13"/>
        <v>91.049999999999983</v>
      </c>
      <c r="AM29" s="191">
        <f t="shared" si="1"/>
        <v>63.188596519377562</v>
      </c>
      <c r="AN29" s="191">
        <f t="shared" si="15"/>
        <v>62.888596519377565</v>
      </c>
      <c r="AO29" s="191">
        <f t="shared" si="15"/>
        <v>62.588596519377568</v>
      </c>
      <c r="AP29" s="191">
        <f t="shared" si="15"/>
        <v>62.28859651937757</v>
      </c>
      <c r="AQ29" s="191">
        <f t="shared" si="15"/>
        <v>61.988596519377573</v>
      </c>
      <c r="AR29" s="191">
        <f t="shared" si="15"/>
        <v>61.688596519377576</v>
      </c>
      <c r="AS29" s="191">
        <f t="shared" si="15"/>
        <v>61.388596519377579</v>
      </c>
      <c r="AT29" s="191">
        <f t="shared" si="2"/>
        <v>6.6360000000000001</v>
      </c>
      <c r="AU29" s="191">
        <f t="shared" si="5"/>
        <v>123.36690962336478</v>
      </c>
      <c r="AV29" s="191">
        <v>39</v>
      </c>
      <c r="AW29" s="191">
        <f t="shared" si="9"/>
        <v>419.3195265025895</v>
      </c>
      <c r="AX29" s="191">
        <f t="shared" si="10"/>
        <v>7.432190325264334</v>
      </c>
      <c r="AZ29" s="191">
        <v>39</v>
      </c>
      <c r="BA29" s="191">
        <f>IF('Egg grading'!C33="",IF('Egg grading'!B33="","",'Egg grading'!B33),'Egg grading'!C33)</f>
        <v>63.188596519377562</v>
      </c>
      <c r="BC29" s="191" t="str">
        <f>IF(BC28="",'Egg grading'!K33,BC28+'Egg grading'!K33)</f>
        <v/>
      </c>
      <c r="BD29" s="191" t="str">
        <f>IF(BD28="",'Egg grading'!L33,BD28+'Egg grading'!L33)</f>
        <v/>
      </c>
      <c r="BE29" s="191" t="str">
        <f>IF(BE28="",'Egg grading'!M33,BE28+'Egg grading'!M33)</f>
        <v/>
      </c>
      <c r="BF29" s="191" t="str">
        <f>IF(BF28="",'Egg grading'!N33,BF28+'Egg grading'!N33)</f>
        <v/>
      </c>
    </row>
    <row r="30" spans="1:58" x14ac:dyDescent="0.2">
      <c r="A30" s="194">
        <f>'Production data'!B37</f>
        <v>40</v>
      </c>
      <c r="B30" s="191" t="e">
        <f>IF('Production data'!C37="",#N/A,'Production data'!C37)</f>
        <v>#N/A</v>
      </c>
      <c r="C30" s="191" t="e">
        <f>IF(OR('Input Laying'!E38=0,'Input Laying'!D37=0),#N/A,'Input Laying'!E38/'Input Laying'!D37*100*25)</f>
        <v>#N/A</v>
      </c>
      <c r="D30" s="191">
        <f>IF(OR('Production data'!D37="",'Production data'!D37=0),0,'Production data'!D37)</f>
        <v>0</v>
      </c>
      <c r="E30" s="191">
        <f>IF(OR(Std!B43="",Std!B43=0),0,Std!B43)</f>
        <v>94.63</v>
      </c>
      <c r="F30" s="193" t="e">
        <f>IF('Production data'!H37="",#N/A,'Production data'!H37)</f>
        <v>#N/A</v>
      </c>
      <c r="G30" s="193">
        <f>IF(OR(Std!C43="",Std!C43=0),#N/A,Std!C43)</f>
        <v>63.3</v>
      </c>
      <c r="H30" s="191" t="e">
        <f t="shared" si="14"/>
        <v>#N/A</v>
      </c>
      <c r="I30" s="191">
        <f>('Input Laying'!AH38-1000)/25</f>
        <v>-40</v>
      </c>
      <c r="J30" s="191">
        <f>IF((Std!D43-1000)/25&lt;15,#N/A,(Std!D43-1000)/25)</f>
        <v>35.25885768065821</v>
      </c>
      <c r="K30" s="191" t="e">
        <f>IF('Production data'!P37="",#N/A,'Production data'!P37)</f>
        <v>#N/A</v>
      </c>
      <c r="L30" s="191" t="e">
        <f>IF('Production data'!L37="",#N/A,'Production data'!L37)</f>
        <v>#N/A</v>
      </c>
      <c r="M30" s="191">
        <f>IF(Std!E43=0,#N/A,Std!E43)</f>
        <v>59.900790000000001</v>
      </c>
      <c r="O30" s="191" t="e">
        <f>IF('Input Laying'!V38=0,NA(),IF('Input Laying'!V38="",NA(),'Input Laying'!W38/'Input Laying'!O38*100))</f>
        <v>#N/A</v>
      </c>
      <c r="P30" s="191" t="e">
        <f>IF('Input Laying'!T38="",#N/A,'Input Laying'!T38/'Input Laying'!N38*100)</f>
        <v>#N/A</v>
      </c>
      <c r="Q30" s="191" t="e">
        <f>IF('Input Laying'!U38="",#N/A,'Input Laying'!U38/'Input Laying'!N38*100)</f>
        <v>#N/A</v>
      </c>
      <c r="R30" s="191" t="str">
        <f>IF('Input Laying'!V38="",#N/A,'Production data'!W37)</f>
        <v/>
      </c>
      <c r="S30" s="191">
        <f>'Input Laying'!D38*7+'Graph values'!S29</f>
        <v>0</v>
      </c>
      <c r="T30" s="191" t="str">
        <f>IF(OR('Input Laying'!AF38="",'Input Laying'!D38=0,'Input Laying'!O38=0),"#N/A",'Input Laying'!AF38/'Input Laying'!D38/(AD30*7)*1000)</f>
        <v>#N/A</v>
      </c>
      <c r="U30" s="191" t="e">
        <f>IF('Production data'!U37="",#N/A,'Production data'!U37)</f>
        <v>#N/A</v>
      </c>
      <c r="V30" s="191" t="e">
        <f>IF('Production data'!V37="",#N/A,'Production data'!V37)</f>
        <v>#N/A</v>
      </c>
      <c r="W30" s="191" t="e">
        <f>IF('Production data'!S37="",#N/A,'Production data'!S37)</f>
        <v>#N/A</v>
      </c>
      <c r="X30" s="191" t="e">
        <f>IF('Production data'!T37="",#N/A,'Production data'!T37)</f>
        <v>#N/A</v>
      </c>
      <c r="Y30" s="191" t="e">
        <f>IF('Input Laying'!E38="",#N/A,'Production data'!F37)</f>
        <v>#N/A</v>
      </c>
      <c r="Z30" s="191">
        <f>IF('Production data'!G37="",#N/A,'Production data'!G37)</f>
        <v>128.28391178783349</v>
      </c>
      <c r="AD30" s="191">
        <f>IF('Input Laying'!AF38=0,0,(IF('Input Laying'!N38&gt;0,1,IF('Input Laying'!O38&gt;0,0,1))))+AD29</f>
        <v>0</v>
      </c>
      <c r="AE30" s="191">
        <v>40</v>
      </c>
      <c r="AF30" s="191">
        <f t="shared" si="7"/>
        <v>94.63</v>
      </c>
      <c r="AG30" s="191">
        <f t="shared" ref="AG30:AL45" si="16">AF30-0.45</f>
        <v>94.179999999999993</v>
      </c>
      <c r="AH30" s="191">
        <f t="shared" si="16"/>
        <v>93.72999999999999</v>
      </c>
      <c r="AI30" s="191">
        <f t="shared" si="11"/>
        <v>92.22999999999999</v>
      </c>
      <c r="AJ30" s="191">
        <f t="shared" si="16"/>
        <v>91.779999999999987</v>
      </c>
      <c r="AK30" s="191">
        <f t="shared" si="16"/>
        <v>91.329999999999984</v>
      </c>
      <c r="AL30" s="191">
        <f t="shared" si="16"/>
        <v>90.879999999999981</v>
      </c>
      <c r="AM30" s="191">
        <f t="shared" si="1"/>
        <v>63.3</v>
      </c>
      <c r="AN30" s="191">
        <f t="shared" si="15"/>
        <v>63</v>
      </c>
      <c r="AO30" s="191">
        <f t="shared" si="15"/>
        <v>62.7</v>
      </c>
      <c r="AP30" s="191">
        <f t="shared" si="15"/>
        <v>62.400000000000006</v>
      </c>
      <c r="AQ30" s="191">
        <f t="shared" si="15"/>
        <v>62.100000000000009</v>
      </c>
      <c r="AR30" s="191">
        <f t="shared" si="15"/>
        <v>61.800000000000011</v>
      </c>
      <c r="AS30" s="191">
        <f t="shared" si="15"/>
        <v>61.500000000000014</v>
      </c>
      <c r="AT30" s="191">
        <f t="shared" si="2"/>
        <v>6.6240999999999994</v>
      </c>
      <c r="AU30" s="191">
        <f t="shared" si="5"/>
        <v>129.99100962336479</v>
      </c>
      <c r="AV30" s="191">
        <v>40</v>
      </c>
      <c r="AW30" s="191">
        <f t="shared" si="9"/>
        <v>419.30552999999998</v>
      </c>
      <c r="AX30" s="191">
        <f t="shared" si="10"/>
        <v>7.8514958552643339</v>
      </c>
      <c r="AZ30" s="191">
        <v>40</v>
      </c>
      <c r="BA30" s="191">
        <f>IF('Egg grading'!C34="",IF('Egg grading'!B34="","",'Egg grading'!B34),'Egg grading'!C34)</f>
        <v>63.3</v>
      </c>
      <c r="BC30" s="191" t="str">
        <f>IF(BC29="",'Egg grading'!K34,BC29+'Egg grading'!K34)</f>
        <v/>
      </c>
      <c r="BD30" s="191" t="str">
        <f>IF(BD29="",'Egg grading'!L34,BD29+'Egg grading'!L34)</f>
        <v/>
      </c>
      <c r="BE30" s="191" t="str">
        <f>IF(BE29="",'Egg grading'!M34,BE29+'Egg grading'!M34)</f>
        <v/>
      </c>
      <c r="BF30" s="191" t="str">
        <f>IF(BF29="",'Egg grading'!N34,BF29+'Egg grading'!N34)</f>
        <v/>
      </c>
    </row>
    <row r="31" spans="1:58" x14ac:dyDescent="0.2">
      <c r="A31" s="194">
        <f>'Production data'!B38</f>
        <v>41</v>
      </c>
      <c r="B31" s="191" t="e">
        <f>IF('Production data'!C38="",#N/A,'Production data'!C38)</f>
        <v>#N/A</v>
      </c>
      <c r="C31" s="191" t="e">
        <f>IF(OR('Input Laying'!E39=0,'Input Laying'!D38=0),#N/A,'Input Laying'!E39/'Input Laying'!D38*100*25)</f>
        <v>#N/A</v>
      </c>
      <c r="D31" s="191">
        <f>IF(OR('Production data'!D38="",'Production data'!D38=0),0,'Production data'!D38)</f>
        <v>0</v>
      </c>
      <c r="E31" s="191">
        <f>IF(OR(Std!B44="",Std!B44=0),0,Std!B44)</f>
        <v>94.5</v>
      </c>
      <c r="F31" s="193" t="e">
        <f>IF('Production data'!H38="",#N/A,'Production data'!H38)</f>
        <v>#N/A</v>
      </c>
      <c r="G31" s="193">
        <f>IF(OR(Std!C44="",Std!C44=0),#N/A,Std!C44)</f>
        <v>63.34</v>
      </c>
      <c r="H31" s="191" t="e">
        <f t="shared" si="14"/>
        <v>#N/A</v>
      </c>
      <c r="I31" s="191">
        <f>('Input Laying'!AH39-1000)/25</f>
        <v>-40</v>
      </c>
      <c r="J31" s="191">
        <f>IF((Std!D44-1000)/25&lt;15,#N/A,(Std!D44-1000)/25)</f>
        <v>35.445913492852242</v>
      </c>
      <c r="K31" s="191" t="e">
        <f>IF('Production data'!P38="",#N/A,'Production data'!P38)</f>
        <v>#N/A</v>
      </c>
      <c r="L31" s="191" t="e">
        <f>IF('Production data'!L38="",#N/A,'Production data'!L38)</f>
        <v>#N/A</v>
      </c>
      <c r="M31" s="191">
        <f>IF(Std!E44=0,#N/A,Std!E44)</f>
        <v>59.856300000000005</v>
      </c>
      <c r="O31" s="191" t="e">
        <f>IF('Input Laying'!V39=0,NA(),IF('Input Laying'!V39="",NA(),'Input Laying'!W39/'Input Laying'!O39*100))</f>
        <v>#N/A</v>
      </c>
      <c r="P31" s="191" t="e">
        <f>IF('Input Laying'!T39="",#N/A,'Input Laying'!T39/'Input Laying'!N39*100)</f>
        <v>#N/A</v>
      </c>
      <c r="Q31" s="191" t="e">
        <f>IF('Input Laying'!U39="",#N/A,'Input Laying'!U39/'Input Laying'!N39*100)</f>
        <v>#N/A</v>
      </c>
      <c r="R31" s="191" t="str">
        <f>IF('Input Laying'!V39="",#N/A,'Production data'!W38)</f>
        <v/>
      </c>
      <c r="S31" s="191">
        <f>'Input Laying'!D39*7+'Graph values'!S30</f>
        <v>0</v>
      </c>
      <c r="T31" s="191" t="str">
        <f>IF(OR('Input Laying'!AF39="",'Input Laying'!D39=0,'Input Laying'!O39=0),"#N/A",'Input Laying'!AF39/'Input Laying'!D39/(AD31*7)*1000)</f>
        <v>#N/A</v>
      </c>
      <c r="U31" s="191" t="e">
        <f>IF('Production data'!U38="",#N/A,'Production data'!U38)</f>
        <v>#N/A</v>
      </c>
      <c r="V31" s="191" t="e">
        <f>IF('Production data'!V38="",#N/A,'Production data'!V38)</f>
        <v>#N/A</v>
      </c>
      <c r="W31" s="191" t="e">
        <f>IF('Production data'!S38="",#N/A,'Production data'!S38)</f>
        <v>#N/A</v>
      </c>
      <c r="X31" s="191" t="e">
        <f>IF('Production data'!T38="",#N/A,'Production data'!T38)</f>
        <v>#N/A</v>
      </c>
      <c r="Y31" s="191" t="e">
        <f>IF('Input Laying'!E39="",#N/A,'Production data'!F38)</f>
        <v>#N/A</v>
      </c>
      <c r="Z31" s="191">
        <f>IF('Production data'!G38="",#N/A,'Production data'!G38)</f>
        <v>134.74650218783347</v>
      </c>
      <c r="AD31" s="191">
        <f>IF('Input Laying'!AF39=0,0,(IF('Input Laying'!N39&gt;0,1,IF('Input Laying'!O39&gt;0,0,1))))+AD30</f>
        <v>0</v>
      </c>
      <c r="AE31" s="191">
        <v>41</v>
      </c>
      <c r="AF31" s="191">
        <f t="shared" si="7"/>
        <v>94.5</v>
      </c>
      <c r="AG31" s="191">
        <f t="shared" si="16"/>
        <v>94.05</v>
      </c>
      <c r="AH31" s="191">
        <f t="shared" si="16"/>
        <v>93.6</v>
      </c>
      <c r="AI31" s="191">
        <f t="shared" si="11"/>
        <v>92.1</v>
      </c>
      <c r="AJ31" s="191">
        <f t="shared" si="16"/>
        <v>91.649999999999991</v>
      </c>
      <c r="AK31" s="191">
        <f t="shared" si="16"/>
        <v>91.199999999999989</v>
      </c>
      <c r="AL31" s="191">
        <f t="shared" si="16"/>
        <v>90.749999999999986</v>
      </c>
      <c r="AM31" s="191">
        <f t="shared" si="1"/>
        <v>63.34</v>
      </c>
      <c r="AN31" s="191">
        <f t="shared" si="15"/>
        <v>63.040000000000006</v>
      </c>
      <c r="AO31" s="191">
        <f t="shared" si="15"/>
        <v>62.740000000000009</v>
      </c>
      <c r="AP31" s="191">
        <f t="shared" si="15"/>
        <v>62.440000000000012</v>
      </c>
      <c r="AQ31" s="191">
        <f t="shared" si="15"/>
        <v>62.140000000000015</v>
      </c>
      <c r="AR31" s="191">
        <f t="shared" si="15"/>
        <v>61.840000000000018</v>
      </c>
      <c r="AS31" s="191">
        <f t="shared" si="15"/>
        <v>61.54000000000002</v>
      </c>
      <c r="AT31" s="191">
        <f t="shared" si="2"/>
        <v>6.6150000000000002</v>
      </c>
      <c r="AU31" s="191">
        <f t="shared" si="5"/>
        <v>136.6060096233648</v>
      </c>
      <c r="AV31" s="191">
        <v>41</v>
      </c>
      <c r="AW31" s="191">
        <f t="shared" si="9"/>
        <v>418.9941</v>
      </c>
      <c r="AX31" s="191">
        <f t="shared" si="10"/>
        <v>8.2704899552643347</v>
      </c>
      <c r="AZ31" s="191">
        <v>41</v>
      </c>
      <c r="BA31" s="191">
        <f>IF('Egg grading'!C35="",IF('Egg grading'!B35="","",'Egg grading'!B35),'Egg grading'!C35)</f>
        <v>63.34</v>
      </c>
      <c r="BC31" s="191" t="str">
        <f>IF(BC30="",'Egg grading'!K35,BC30+'Egg grading'!K35)</f>
        <v/>
      </c>
      <c r="BD31" s="191" t="str">
        <f>IF(BD30="",'Egg grading'!L35,BD30+'Egg grading'!L35)</f>
        <v/>
      </c>
      <c r="BE31" s="191" t="str">
        <f>IF(BE30="",'Egg grading'!M35,BE30+'Egg grading'!M35)</f>
        <v/>
      </c>
      <c r="BF31" s="191" t="str">
        <f>IF(BF30="",'Egg grading'!N35,BF30+'Egg grading'!N35)</f>
        <v/>
      </c>
    </row>
    <row r="32" spans="1:58" x14ac:dyDescent="0.2">
      <c r="A32" s="194">
        <f>'Production data'!B39</f>
        <v>42</v>
      </c>
      <c r="B32" s="191" t="e">
        <f>IF('Production data'!C39="",#N/A,'Production data'!C39)</f>
        <v>#N/A</v>
      </c>
      <c r="C32" s="191" t="e">
        <f>IF(OR('Input Laying'!E40=0,'Input Laying'!D39=0),#N/A,'Input Laying'!E40/'Input Laying'!D39*100*25)</f>
        <v>#N/A</v>
      </c>
      <c r="D32" s="191">
        <f>IF(OR('Production data'!D39="",'Production data'!D39=0),0,'Production data'!D39)</f>
        <v>0</v>
      </c>
      <c r="E32" s="191">
        <f>IF(OR(Std!B45="",Std!B45=0),0,Std!B45)</f>
        <v>94.3</v>
      </c>
      <c r="F32" s="193" t="e">
        <f>IF('Production data'!H39="",#N/A,'Production data'!H39)</f>
        <v>#N/A</v>
      </c>
      <c r="G32" s="193">
        <f>IF(OR(Std!C45="",Std!C45=0),#N/A,Std!C45)</f>
        <v>63.42</v>
      </c>
      <c r="H32" s="191" t="e">
        <f t="shared" si="14"/>
        <v>#N/A</v>
      </c>
      <c r="I32" s="191">
        <f>('Input Laying'!AH40-1000)/25</f>
        <v>-40</v>
      </c>
      <c r="J32" s="191">
        <f>IF((Std!D45-1000)/25&lt;15,#N/A,(Std!D45-1000)/25)</f>
        <v>35.625625602876838</v>
      </c>
      <c r="K32" s="191" t="e">
        <f>IF('Production data'!P39="",#N/A,'Production data'!P39)</f>
        <v>#N/A</v>
      </c>
      <c r="L32" s="191" t="e">
        <f>IF('Production data'!L39="",#N/A,'Production data'!L39)</f>
        <v>#N/A</v>
      </c>
      <c r="M32" s="191">
        <f>IF(Std!E45=0,#N/A,Std!E45)</f>
        <v>59.805060000000005</v>
      </c>
      <c r="O32" s="191" t="e">
        <f>IF('Input Laying'!V40=0,NA(),IF('Input Laying'!V40="",NA(),'Input Laying'!W40/'Input Laying'!O40*100))</f>
        <v>#N/A</v>
      </c>
      <c r="P32" s="191" t="e">
        <f>IF('Input Laying'!T40="",#N/A,'Input Laying'!T40/'Input Laying'!N40*100)</f>
        <v>#N/A</v>
      </c>
      <c r="Q32" s="191" t="e">
        <f>IF('Input Laying'!U40="",#N/A,'Input Laying'!U40/'Input Laying'!N40*100)</f>
        <v>#N/A</v>
      </c>
      <c r="R32" s="191" t="str">
        <f>IF('Input Laying'!V40="",#N/A,'Production data'!W39)</f>
        <v/>
      </c>
      <c r="S32" s="191">
        <f>'Input Laying'!D40*7+'Graph values'!S31</f>
        <v>0</v>
      </c>
      <c r="T32" s="191" t="str">
        <f>IF(OR('Input Laying'!AF40="",'Input Laying'!D40=0,'Input Laying'!O40=0),"#N/A",'Input Laying'!AF40/'Input Laying'!D40/(AD32*7)*1000)</f>
        <v>#N/A</v>
      </c>
      <c r="U32" s="191" t="e">
        <f>IF('Production data'!U39="",#N/A,'Production data'!U39)</f>
        <v>#N/A</v>
      </c>
      <c r="V32" s="191" t="e">
        <f>IF('Production data'!V39="",#N/A,'Production data'!V39)</f>
        <v>#N/A</v>
      </c>
      <c r="W32" s="191" t="e">
        <f>IF('Production data'!S39="",#N/A,'Production data'!S39)</f>
        <v>#N/A</v>
      </c>
      <c r="X32" s="191" t="e">
        <f>IF('Production data'!T39="",#N/A,'Production data'!T39)</f>
        <v>#N/A</v>
      </c>
      <c r="Y32" s="191" t="e">
        <f>IF('Input Laying'!E40="",#N/A,'Production data'!F39)</f>
        <v>#N/A</v>
      </c>
      <c r="Z32" s="191">
        <f>IF('Production data'!G39="",#N/A,'Production data'!G39)</f>
        <v>141.18907818783347</v>
      </c>
      <c r="AD32" s="191">
        <f>IF('Input Laying'!AF40=0,0,(IF('Input Laying'!N40&gt;0,1,IF('Input Laying'!O40&gt;0,0,1))))+AD31</f>
        <v>0</v>
      </c>
      <c r="AE32" s="191">
        <v>42</v>
      </c>
      <c r="AF32" s="191">
        <f t="shared" si="7"/>
        <v>94.3</v>
      </c>
      <c r="AG32" s="191">
        <f t="shared" si="16"/>
        <v>93.85</v>
      </c>
      <c r="AH32" s="191">
        <f t="shared" si="16"/>
        <v>93.399999999999991</v>
      </c>
      <c r="AI32" s="191">
        <f t="shared" si="11"/>
        <v>91.899999999999991</v>
      </c>
      <c r="AJ32" s="191">
        <f t="shared" si="16"/>
        <v>91.449999999999989</v>
      </c>
      <c r="AK32" s="191">
        <f t="shared" si="16"/>
        <v>90.999999999999986</v>
      </c>
      <c r="AL32" s="191">
        <f t="shared" si="16"/>
        <v>90.549999999999983</v>
      </c>
      <c r="AM32" s="191">
        <f t="shared" si="1"/>
        <v>63.42</v>
      </c>
      <c r="AN32" s="191">
        <f t="shared" si="15"/>
        <v>63.120000000000005</v>
      </c>
      <c r="AO32" s="191">
        <f t="shared" si="15"/>
        <v>62.820000000000007</v>
      </c>
      <c r="AP32" s="191">
        <f t="shared" si="15"/>
        <v>62.52000000000001</v>
      </c>
      <c r="AQ32" s="191">
        <f t="shared" si="15"/>
        <v>62.220000000000013</v>
      </c>
      <c r="AR32" s="191">
        <f t="shared" si="15"/>
        <v>61.920000000000016</v>
      </c>
      <c r="AS32" s="191">
        <f t="shared" si="15"/>
        <v>61.620000000000019</v>
      </c>
      <c r="AT32" s="191">
        <f t="shared" si="2"/>
        <v>6.601</v>
      </c>
      <c r="AU32" s="191">
        <f t="shared" si="5"/>
        <v>143.2070096233648</v>
      </c>
      <c r="AV32" s="191">
        <v>42</v>
      </c>
      <c r="AW32" s="191">
        <f t="shared" si="9"/>
        <v>418.63542000000001</v>
      </c>
      <c r="AX32" s="191">
        <f t="shared" si="10"/>
        <v>8.689125375264334</v>
      </c>
      <c r="AZ32" s="191">
        <v>42</v>
      </c>
      <c r="BA32" s="191">
        <f>IF('Egg grading'!C36="",IF('Egg grading'!B36="","",'Egg grading'!B36),'Egg grading'!C36)</f>
        <v>63.42</v>
      </c>
      <c r="BC32" s="191" t="str">
        <f>IF(BC31="",'Egg grading'!K36,BC31+'Egg grading'!K36)</f>
        <v/>
      </c>
      <c r="BD32" s="191" t="str">
        <f>IF(BD31="",'Egg grading'!L36,BD31+'Egg grading'!L36)</f>
        <v/>
      </c>
      <c r="BE32" s="191" t="str">
        <f>IF(BE31="",'Egg grading'!M36,BE31+'Egg grading'!M36)</f>
        <v/>
      </c>
      <c r="BF32" s="191" t="str">
        <f>IF(BF31="",'Egg grading'!N36,BF31+'Egg grading'!N36)</f>
        <v/>
      </c>
    </row>
    <row r="33" spans="1:58" x14ac:dyDescent="0.2">
      <c r="A33" s="194">
        <f>'Production data'!B40</f>
        <v>43</v>
      </c>
      <c r="B33" s="191" t="e">
        <f>IF('Production data'!C40="",#N/A,'Production data'!C40)</f>
        <v>#N/A</v>
      </c>
      <c r="C33" s="191" t="e">
        <f>IF(OR('Input Laying'!E41=0,'Input Laying'!D40=0),#N/A,'Input Laying'!E41/'Input Laying'!D40*100*25)</f>
        <v>#N/A</v>
      </c>
      <c r="D33" s="191">
        <f>IF(OR('Production data'!D40="",'Production data'!D40=0),0,'Production data'!D40)</f>
        <v>0</v>
      </c>
      <c r="E33" s="191">
        <f>IF(OR(Std!B46="",Std!B46=0),0,Std!B46)</f>
        <v>93.984006161543633</v>
      </c>
      <c r="F33" s="193" t="e">
        <f>IF('Production data'!H40="",#N/A,'Production data'!H40)</f>
        <v>#N/A</v>
      </c>
      <c r="G33" s="193">
        <f>IF(OR(Std!C46="",Std!C46=0),#N/A,Std!C46)</f>
        <v>63.44</v>
      </c>
      <c r="H33" s="191" t="e">
        <f t="shared" si="14"/>
        <v>#N/A</v>
      </c>
      <c r="I33" s="191">
        <f>('Input Laying'!AH41-1000)/25</f>
        <v>-40</v>
      </c>
      <c r="J33" s="191">
        <f>IF((Std!D46-1000)/25&lt;15,#N/A,(Std!D46-1000)/25)</f>
        <v>35.798157741549574</v>
      </c>
      <c r="K33" s="191" t="e">
        <f>IF('Production data'!P40="",#N/A,'Production data'!P40)</f>
        <v>#N/A</v>
      </c>
      <c r="L33" s="191" t="e">
        <f>IF('Production data'!L40="",#N/A,'Production data'!L40)</f>
        <v>#N/A</v>
      </c>
      <c r="M33" s="191">
        <f>IF(Std!E46=0,#N/A,Std!E46)</f>
        <v>59.623453508883273</v>
      </c>
      <c r="O33" s="191" t="e">
        <f>IF('Input Laying'!V41=0,NA(),IF('Input Laying'!V41="",NA(),'Input Laying'!W41/'Input Laying'!O41*100))</f>
        <v>#N/A</v>
      </c>
      <c r="P33" s="191" t="e">
        <f>IF('Input Laying'!T41="",#N/A,'Input Laying'!T41/'Input Laying'!N41*100)</f>
        <v>#N/A</v>
      </c>
      <c r="Q33" s="191" t="e">
        <f>IF('Input Laying'!U41="",#N/A,'Input Laying'!U41/'Input Laying'!N41*100)</f>
        <v>#N/A</v>
      </c>
      <c r="R33" s="191" t="str">
        <f>IF('Input Laying'!V41="",#N/A,'Production data'!W40)</f>
        <v/>
      </c>
      <c r="S33" s="191">
        <f>'Input Laying'!D41*7+'Graph values'!S32</f>
        <v>0</v>
      </c>
      <c r="T33" s="191" t="str">
        <f>IF(OR('Input Laying'!AF41="",'Input Laying'!D41=0,'Input Laying'!O41=0),"#N/A",'Input Laying'!AF41/'Input Laying'!D41/(AD33*7)*1000)</f>
        <v>#N/A</v>
      </c>
      <c r="U33" s="191" t="e">
        <f>IF('Production data'!U40="",#N/A,'Production data'!U40)</f>
        <v>#N/A</v>
      </c>
      <c r="V33" s="191" t="e">
        <f>IF('Production data'!V40="",#N/A,'Production data'!V40)</f>
        <v>#N/A</v>
      </c>
      <c r="W33" s="191" t="e">
        <f>IF('Production data'!S40="",#N/A,'Production data'!S40)</f>
        <v>#N/A</v>
      </c>
      <c r="X33" s="191" t="e">
        <f>IF('Production data'!T40="",#N/A,'Production data'!T40)</f>
        <v>#N/A</v>
      </c>
      <c r="Y33" s="191" t="e">
        <f>IF('Input Laying'!E41="",#N/A,'Production data'!F40)</f>
        <v>#N/A</v>
      </c>
      <c r="Z33" s="191">
        <f>IF('Production data'!G40="",#N/A,'Production data'!G40)</f>
        <v>147.60374976357608</v>
      </c>
      <c r="AD33" s="191">
        <f>IF('Input Laying'!AF41=0,0,(IF('Input Laying'!N41&gt;0,1,IF('Input Laying'!O41&gt;0,0,1))))+AD32</f>
        <v>0</v>
      </c>
      <c r="AE33" s="191">
        <v>43</v>
      </c>
      <c r="AF33" s="191">
        <f t="shared" si="7"/>
        <v>93.984006161543633</v>
      </c>
      <c r="AG33" s="191">
        <f t="shared" si="16"/>
        <v>93.53400616154363</v>
      </c>
      <c r="AH33" s="191">
        <f t="shared" si="16"/>
        <v>93.084006161543627</v>
      </c>
      <c r="AI33" s="191">
        <f t="shared" si="11"/>
        <v>91.584006161543627</v>
      </c>
      <c r="AJ33" s="191">
        <f t="shared" si="16"/>
        <v>91.134006161543624</v>
      </c>
      <c r="AK33" s="191">
        <f t="shared" si="16"/>
        <v>90.684006161543621</v>
      </c>
      <c r="AL33" s="191">
        <f t="shared" si="16"/>
        <v>90.234006161543618</v>
      </c>
      <c r="AM33" s="191">
        <f t="shared" si="1"/>
        <v>63.44</v>
      </c>
      <c r="AN33" s="191">
        <f t="shared" si="15"/>
        <v>63.14</v>
      </c>
      <c r="AO33" s="191">
        <f t="shared" si="15"/>
        <v>62.84</v>
      </c>
      <c r="AP33" s="191">
        <f t="shared" si="15"/>
        <v>62.540000000000006</v>
      </c>
      <c r="AQ33" s="191">
        <f t="shared" si="15"/>
        <v>62.240000000000009</v>
      </c>
      <c r="AR33" s="191">
        <f t="shared" si="15"/>
        <v>61.940000000000012</v>
      </c>
      <c r="AS33" s="191">
        <f t="shared" si="15"/>
        <v>61.640000000000015</v>
      </c>
      <c r="AT33" s="191">
        <f t="shared" si="2"/>
        <v>6.578880431308054</v>
      </c>
      <c r="AU33" s="191">
        <f t="shared" si="5"/>
        <v>149.78589005467285</v>
      </c>
      <c r="AV33" s="191">
        <v>43</v>
      </c>
      <c r="AW33" s="191">
        <f t="shared" si="9"/>
        <v>417.36417456218294</v>
      </c>
      <c r="AX33" s="191">
        <f t="shared" si="10"/>
        <v>9.1064895498265166</v>
      </c>
      <c r="AZ33" s="191">
        <v>43</v>
      </c>
      <c r="BA33" s="191">
        <f>IF('Egg grading'!C37="",IF('Egg grading'!B37="","",'Egg grading'!B37),'Egg grading'!C37)</f>
        <v>63.44</v>
      </c>
      <c r="BC33" s="191" t="str">
        <f>IF(BC32="",'Egg grading'!K37,BC32+'Egg grading'!K37)</f>
        <v/>
      </c>
      <c r="BD33" s="191" t="str">
        <f>IF(BD32="",'Egg grading'!L37,BD32+'Egg grading'!L37)</f>
        <v/>
      </c>
      <c r="BE33" s="191" t="str">
        <f>IF(BE32="",'Egg grading'!M37,BE32+'Egg grading'!M37)</f>
        <v/>
      </c>
      <c r="BF33" s="191" t="str">
        <f>IF(BF32="",'Egg grading'!N37,BF32+'Egg grading'!N37)</f>
        <v/>
      </c>
    </row>
    <row r="34" spans="1:58" x14ac:dyDescent="0.2">
      <c r="A34" s="194">
        <f>'Production data'!B41</f>
        <v>44</v>
      </c>
      <c r="B34" s="191" t="e">
        <f>IF('Production data'!C41="",#N/A,'Production data'!C41)</f>
        <v>#N/A</v>
      </c>
      <c r="C34" s="191" t="e">
        <f>IF(OR('Input Laying'!E42=0,'Input Laying'!D41=0),#N/A,'Input Laying'!E42/'Input Laying'!D41*100*25)</f>
        <v>#N/A</v>
      </c>
      <c r="D34" s="191">
        <f>IF(OR('Production data'!D41="",'Production data'!D41=0),0,'Production data'!D41)</f>
        <v>0</v>
      </c>
      <c r="E34" s="191">
        <f>IF(OR(Std!B47="",Std!B47=0),0,Std!B47)</f>
        <v>93.782586209177893</v>
      </c>
      <c r="F34" s="193" t="e">
        <f>IF('Production data'!H41="",#N/A,'Production data'!H41)</f>
        <v>#N/A</v>
      </c>
      <c r="G34" s="193">
        <f>IF(OR(Std!C47="",Std!C47=0),#N/A,Std!C47)</f>
        <v>63.45</v>
      </c>
      <c r="H34" s="191" t="e">
        <f t="shared" si="14"/>
        <v>#N/A</v>
      </c>
      <c r="I34" s="191">
        <f>('Input Laying'!AH42-1000)/25</f>
        <v>-40</v>
      </c>
      <c r="J34" s="191">
        <f>IF((Std!D47-1000)/25&lt;15,#N/A,(Std!D47-1000)/25)</f>
        <v>35.963673475049042</v>
      </c>
      <c r="K34" s="191" t="e">
        <f>IF('Production data'!P41="",#N/A,'Production data'!P41)</f>
        <v>#N/A</v>
      </c>
      <c r="L34" s="191" t="e">
        <f>IF('Production data'!L41="",#N/A,'Production data'!L41)</f>
        <v>#N/A</v>
      </c>
      <c r="M34" s="191">
        <f>IF(Std!E47=0,#N/A,Std!E47)</f>
        <v>59.505050949723369</v>
      </c>
      <c r="O34" s="191" t="e">
        <f>IF('Input Laying'!V42=0,NA(),IF('Input Laying'!V42="",NA(),'Input Laying'!W42/'Input Laying'!O42*100))</f>
        <v>#N/A</v>
      </c>
      <c r="P34" s="191" t="e">
        <f>IF('Input Laying'!T42="",#N/A,'Input Laying'!T42/'Input Laying'!N42*100)</f>
        <v>#N/A</v>
      </c>
      <c r="Q34" s="191" t="e">
        <f>IF('Input Laying'!U42="",#N/A,'Input Laying'!U42/'Input Laying'!N42*100)</f>
        <v>#N/A</v>
      </c>
      <c r="R34" s="191" t="str">
        <f>IF('Input Laying'!V42="",#N/A,'Production data'!W41)</f>
        <v/>
      </c>
      <c r="S34" s="191">
        <f>'Input Laying'!D42*7+'Graph values'!S33</f>
        <v>0</v>
      </c>
      <c r="T34" s="191" t="str">
        <f>IF(OR('Input Laying'!AF42="",'Input Laying'!D42=0,'Input Laying'!O42=0),"#N/A",'Input Laying'!AF42/'Input Laying'!D42/(AD34*7)*1000)</f>
        <v>#N/A</v>
      </c>
      <c r="U34" s="191" t="e">
        <f>IF('Production data'!U41="",#N/A,'Production data'!U41)</f>
        <v>#N/A</v>
      </c>
      <c r="V34" s="191" t="e">
        <f>IF('Production data'!V41="",#N/A,'Production data'!V41)</f>
        <v>#N/A</v>
      </c>
      <c r="W34" s="191" t="e">
        <f>IF('Production data'!S41="",#N/A,'Production data'!S41)</f>
        <v>#N/A</v>
      </c>
      <c r="X34" s="191" t="e">
        <f>IF('Production data'!T41="",#N/A,'Production data'!T41)</f>
        <v>#N/A</v>
      </c>
      <c r="Y34" s="191" t="e">
        <f>IF('Input Laying'!E42="",#N/A,'Production data'!F41)</f>
        <v>#N/A</v>
      </c>
      <c r="Z34" s="191">
        <f>IF('Production data'!G41="",#N/A,'Production data'!G41)</f>
        <v>153.99837167380059</v>
      </c>
      <c r="AD34" s="191">
        <f>IF('Input Laying'!AF42=0,0,(IF('Input Laying'!N42&gt;0,1,IF('Input Laying'!O42&gt;0,0,1))))+AD33</f>
        <v>0</v>
      </c>
      <c r="AE34" s="191">
        <v>44</v>
      </c>
      <c r="AF34" s="191">
        <f t="shared" si="7"/>
        <v>93.782586209177893</v>
      </c>
      <c r="AG34" s="191">
        <f t="shared" si="16"/>
        <v>93.33258620917789</v>
      </c>
      <c r="AH34" s="191">
        <f t="shared" si="16"/>
        <v>92.882586209177887</v>
      </c>
      <c r="AI34" s="191">
        <f t="shared" si="11"/>
        <v>91.382586209177887</v>
      </c>
      <c r="AJ34" s="191">
        <f t="shared" si="16"/>
        <v>90.932586209177884</v>
      </c>
      <c r="AK34" s="191">
        <f t="shared" si="16"/>
        <v>90.482586209177882</v>
      </c>
      <c r="AL34" s="191">
        <f t="shared" si="16"/>
        <v>90.032586209177879</v>
      </c>
      <c r="AM34" s="191">
        <f t="shared" si="1"/>
        <v>63.45</v>
      </c>
      <c r="AN34" s="191">
        <f t="shared" si="15"/>
        <v>63.150000000000006</v>
      </c>
      <c r="AO34" s="191">
        <f t="shared" si="15"/>
        <v>62.850000000000009</v>
      </c>
      <c r="AP34" s="191">
        <f t="shared" si="15"/>
        <v>62.550000000000011</v>
      </c>
      <c r="AQ34" s="191">
        <f t="shared" si="15"/>
        <v>62.250000000000014</v>
      </c>
      <c r="AR34" s="191">
        <f t="shared" si="15"/>
        <v>61.950000000000017</v>
      </c>
      <c r="AS34" s="191">
        <f t="shared" si="15"/>
        <v>61.65000000000002</v>
      </c>
      <c r="AT34" s="191">
        <f t="shared" si="2"/>
        <v>6.5647810346424524</v>
      </c>
      <c r="AU34" s="191">
        <f t="shared" si="5"/>
        <v>156.35067108931531</v>
      </c>
      <c r="AV34" s="191">
        <v>44</v>
      </c>
      <c r="AW34" s="191">
        <f t="shared" si="9"/>
        <v>416.53535664806361</v>
      </c>
      <c r="AX34" s="191">
        <f t="shared" si="10"/>
        <v>9.5230249064745802</v>
      </c>
      <c r="AZ34" s="191">
        <v>44</v>
      </c>
      <c r="BA34" s="191">
        <f>IF('Egg grading'!C38="",IF('Egg grading'!B38="","",'Egg grading'!B38),'Egg grading'!C38)</f>
        <v>63.45</v>
      </c>
      <c r="BC34" s="191" t="str">
        <f>IF(BC33="",'Egg grading'!K38,BC33+'Egg grading'!K38)</f>
        <v/>
      </c>
      <c r="BD34" s="191" t="str">
        <f>IF(BD33="",'Egg grading'!L38,BD33+'Egg grading'!L38)</f>
        <v/>
      </c>
      <c r="BE34" s="191" t="str">
        <f>IF(BE33="",'Egg grading'!M38,BE33+'Egg grading'!M38)</f>
        <v/>
      </c>
      <c r="BF34" s="191" t="str">
        <f>IF(BF33="",'Egg grading'!N38,BF33+'Egg grading'!N38)</f>
        <v/>
      </c>
    </row>
    <row r="35" spans="1:58" x14ac:dyDescent="0.2">
      <c r="A35" s="194">
        <f>'Production data'!B42</f>
        <v>45</v>
      </c>
      <c r="B35" s="191" t="e">
        <f>IF('Production data'!C42="",#N/A,'Production data'!C42)</f>
        <v>#N/A</v>
      </c>
      <c r="C35" s="191" t="e">
        <f>IF(OR('Input Laying'!E43=0,'Input Laying'!D42=0),#N/A,'Input Laying'!E43/'Input Laying'!D42*100*25)</f>
        <v>#N/A</v>
      </c>
      <c r="D35" s="191">
        <f>IF(OR('Production data'!D42="",'Production data'!D42=0),0,'Production data'!D42)</f>
        <v>0</v>
      </c>
      <c r="E35" s="191">
        <f>IF(OR(Std!B48="",Std!B48=0),0,Std!B48)</f>
        <v>93.556034001602939</v>
      </c>
      <c r="F35" s="193" t="e">
        <f>IF('Production data'!H42="",#N/A,'Production data'!H42)</f>
        <v>#N/A</v>
      </c>
      <c r="G35" s="193">
        <f>IF(OR(Std!C48="",Std!C48=0),#N/A,Std!C48)</f>
        <v>63.49</v>
      </c>
      <c r="H35" s="191" t="e">
        <f t="shared" si="14"/>
        <v>#N/A</v>
      </c>
      <c r="I35" s="191">
        <f>('Input Laying'!AH43-1000)/25</f>
        <v>-40</v>
      </c>
      <c r="J35" s="191">
        <f>IF((Std!D48-1000)/25&lt;15,#N/A,(Std!D48-1000)/25)</f>
        <v>36.122336204914951</v>
      </c>
      <c r="K35" s="191" t="e">
        <f>IF('Production data'!P42="",#N/A,'Production data'!P42)</f>
        <v>#N/A</v>
      </c>
      <c r="L35" s="191" t="e">
        <f>IF('Production data'!L42="",#N/A,'Production data'!L42)</f>
        <v>#N/A</v>
      </c>
      <c r="M35" s="191">
        <f>IF(Std!E48=0,#N/A,Std!E48)</f>
        <v>59.398725987617709</v>
      </c>
      <c r="O35" s="191" t="e">
        <f>IF('Input Laying'!V43=0,NA(),IF('Input Laying'!V43="",NA(),'Input Laying'!W43/'Input Laying'!O43*100))</f>
        <v>#N/A</v>
      </c>
      <c r="P35" s="191" t="e">
        <f>IF('Input Laying'!T43="",#N/A,'Input Laying'!T43/'Input Laying'!N43*100)</f>
        <v>#N/A</v>
      </c>
      <c r="Q35" s="191" t="e">
        <f>IF('Input Laying'!U43="",#N/A,'Input Laying'!U43/'Input Laying'!N43*100)</f>
        <v>#N/A</v>
      </c>
      <c r="R35" s="191" t="str">
        <f>IF('Input Laying'!V43="",#N/A,'Production data'!W42)</f>
        <v/>
      </c>
      <c r="S35" s="191">
        <f>'Input Laying'!D43*7+'Graph values'!S34</f>
        <v>0</v>
      </c>
      <c r="T35" s="191" t="str">
        <f>IF(OR('Input Laying'!AF43="",'Input Laying'!D43=0,'Input Laying'!O43=0),"#N/A",'Input Laying'!AF43/'Input Laying'!D43/(AD35*7)*1000)</f>
        <v>#N/A</v>
      </c>
      <c r="U35" s="191" t="e">
        <f>IF('Production data'!U42="",#N/A,'Production data'!U42)</f>
        <v>#N/A</v>
      </c>
      <c r="V35" s="191" t="e">
        <f>IF('Production data'!V42="",#N/A,'Production data'!V42)</f>
        <v>#N/A</v>
      </c>
      <c r="W35" s="191" t="e">
        <f>IF('Production data'!S42="",#N/A,'Production data'!S42)</f>
        <v>#N/A</v>
      </c>
      <c r="X35" s="191" t="e">
        <f>IF('Production data'!T42="",#N/A,'Production data'!T42)</f>
        <v>#N/A</v>
      </c>
      <c r="Y35" s="191" t="e">
        <f>IF('Input Laying'!E43="",#N/A,'Production data'!F42)</f>
        <v>#N/A</v>
      </c>
      <c r="Z35" s="191">
        <f>IF('Production data'!G42="",#N/A,'Production data'!G42)</f>
        <v>160.37125902033537</v>
      </c>
      <c r="AD35" s="191">
        <f>IF('Input Laying'!AF43=0,0,(IF('Input Laying'!N43&gt;0,1,IF('Input Laying'!O43&gt;0,0,1))))+AD34</f>
        <v>0</v>
      </c>
      <c r="AE35" s="191">
        <v>45</v>
      </c>
      <c r="AF35" s="191">
        <f t="shared" si="7"/>
        <v>93.556034001602939</v>
      </c>
      <c r="AG35" s="191">
        <f t="shared" si="16"/>
        <v>93.106034001602936</v>
      </c>
      <c r="AH35" s="191">
        <f t="shared" si="16"/>
        <v>92.656034001602933</v>
      </c>
      <c r="AI35" s="191">
        <f t="shared" si="11"/>
        <v>91.156034001602933</v>
      </c>
      <c r="AJ35" s="191">
        <f t="shared" si="16"/>
        <v>90.70603400160293</v>
      </c>
      <c r="AK35" s="191">
        <f t="shared" si="16"/>
        <v>90.256034001602927</v>
      </c>
      <c r="AL35" s="191">
        <f t="shared" si="16"/>
        <v>89.806034001602924</v>
      </c>
      <c r="AM35" s="191">
        <f t="shared" si="1"/>
        <v>63.49</v>
      </c>
      <c r="AN35" s="191">
        <f t="shared" si="15"/>
        <v>63.190000000000005</v>
      </c>
      <c r="AO35" s="191">
        <f t="shared" si="15"/>
        <v>62.890000000000008</v>
      </c>
      <c r="AP35" s="191">
        <f t="shared" si="15"/>
        <v>62.590000000000011</v>
      </c>
      <c r="AQ35" s="191">
        <f t="shared" si="15"/>
        <v>62.290000000000013</v>
      </c>
      <c r="AR35" s="191">
        <f t="shared" si="15"/>
        <v>61.990000000000016</v>
      </c>
      <c r="AS35" s="191">
        <f t="shared" si="15"/>
        <v>61.690000000000019</v>
      </c>
      <c r="AT35" s="191">
        <f t="shared" si="2"/>
        <v>6.5489223801122058</v>
      </c>
      <c r="AU35" s="191">
        <f t="shared" si="5"/>
        <v>162.89959346942751</v>
      </c>
      <c r="AV35" s="191">
        <v>45</v>
      </c>
      <c r="AW35" s="191">
        <f t="shared" si="9"/>
        <v>415.79108191332398</v>
      </c>
      <c r="AX35" s="191">
        <f t="shared" si="10"/>
        <v>9.9388159883879048</v>
      </c>
      <c r="AZ35" s="191">
        <v>45</v>
      </c>
      <c r="BA35" s="191">
        <f>IF('Egg grading'!C39="",IF('Egg grading'!B39="","",'Egg grading'!B39),'Egg grading'!C39)</f>
        <v>63.49</v>
      </c>
      <c r="BC35" s="191" t="str">
        <f>IF(BC34="",'Egg grading'!K39,BC34+'Egg grading'!K39)</f>
        <v/>
      </c>
      <c r="BD35" s="191" t="str">
        <f>IF(BD34="",'Egg grading'!L39,BD34+'Egg grading'!L39)</f>
        <v/>
      </c>
      <c r="BE35" s="191" t="str">
        <f>IF(BE34="",'Egg grading'!M39,BE34+'Egg grading'!M39)</f>
        <v/>
      </c>
      <c r="BF35" s="191" t="str">
        <f>IF(BF34="",'Egg grading'!N39,BF34+'Egg grading'!N39)</f>
        <v/>
      </c>
    </row>
    <row r="36" spans="1:58" x14ac:dyDescent="0.2">
      <c r="A36" s="194">
        <f>'Production data'!B43</f>
        <v>46</v>
      </c>
      <c r="B36" s="191" t="e">
        <f>IF('Production data'!C43="",#N/A,'Production data'!C43)</f>
        <v>#N/A</v>
      </c>
      <c r="C36" s="191" t="e">
        <f>IF(OR('Input Laying'!E44=0,'Input Laying'!D43=0),#N/A,'Input Laying'!E44/'Input Laying'!D43*100*25)</f>
        <v>#N/A</v>
      </c>
      <c r="D36" s="191">
        <f>IF(OR('Production data'!D43="",'Production data'!D43=0),0,'Production data'!D43)</f>
        <v>0</v>
      </c>
      <c r="E36" s="191">
        <f>IF(OR(Std!B49="",Std!B49=0),0,Std!B49)</f>
        <v>93.28828380553783</v>
      </c>
      <c r="F36" s="193" t="e">
        <f>IF('Production data'!H43="",#N/A,'Production data'!H43)</f>
        <v>#N/A</v>
      </c>
      <c r="G36" s="193">
        <f>IF(OR(Std!C49="",Std!C49=0),#N/A,Std!C49)</f>
        <v>63.51</v>
      </c>
      <c r="H36" s="191" t="e">
        <f t="shared" si="14"/>
        <v>#N/A</v>
      </c>
      <c r="I36" s="191">
        <f>('Input Laying'!AH44-1000)/25</f>
        <v>-40</v>
      </c>
      <c r="J36" s="191">
        <f>IF((Std!D49-1000)/25&lt;15,#N/A,(Std!D49-1000)/25)</f>
        <v>36.274309168048013</v>
      </c>
      <c r="K36" s="191" t="e">
        <f>IF('Production data'!P43="",#N/A,'Production data'!P43)</f>
        <v>#N/A</v>
      </c>
      <c r="L36" s="191" t="e">
        <f>IF('Production data'!L43="",#N/A,'Production data'!L43)</f>
        <v>#N/A</v>
      </c>
      <c r="M36" s="191">
        <f>IF(Std!E49=0,#N/A,Std!E49)</f>
        <v>59.247389044897069</v>
      </c>
      <c r="O36" s="191" t="e">
        <f>IF('Input Laying'!V44=0,NA(),IF('Input Laying'!V44="",NA(),'Input Laying'!W44/'Input Laying'!O44*100))</f>
        <v>#N/A</v>
      </c>
      <c r="P36" s="191" t="e">
        <f>IF('Input Laying'!T44="",#N/A,'Input Laying'!T44/'Input Laying'!N44*100)</f>
        <v>#N/A</v>
      </c>
      <c r="Q36" s="191" t="e">
        <f>IF('Input Laying'!U44="",#N/A,'Input Laying'!U44/'Input Laying'!N44*100)</f>
        <v>#N/A</v>
      </c>
      <c r="R36" s="191" t="str">
        <f>IF('Input Laying'!V44="",#N/A,'Production data'!W43)</f>
        <v/>
      </c>
      <c r="S36" s="191">
        <f>'Input Laying'!D44*7+'Graph values'!S35</f>
        <v>0</v>
      </c>
      <c r="T36" s="191" t="str">
        <f>IF(OR('Input Laying'!AF44="",'Input Laying'!D44=0,'Input Laying'!O44=0),"#N/A",'Input Laying'!AF44/'Input Laying'!D44/(AD36*7)*1000)</f>
        <v>#N/A</v>
      </c>
      <c r="U36" s="191" t="e">
        <f>IF('Production data'!U43="",#N/A,'Production data'!U43)</f>
        <v>#N/A</v>
      </c>
      <c r="V36" s="191" t="e">
        <f>IF('Production data'!V43="",#N/A,'Production data'!V43)</f>
        <v>#N/A</v>
      </c>
      <c r="W36" s="191" t="e">
        <f>IF('Production data'!S43="",#N/A,'Production data'!S43)</f>
        <v>#N/A</v>
      </c>
      <c r="X36" s="191" t="e">
        <f>IF('Production data'!T43="",#N/A,'Production data'!T43)</f>
        <v>#N/A</v>
      </c>
      <c r="Y36" s="191" t="e">
        <f>IF('Input Laying'!E44="",#N/A,'Production data'!F43)</f>
        <v>#N/A</v>
      </c>
      <c r="Z36" s="191">
        <f>IF('Production data'!G43="",#N/A,'Production data'!G43)</f>
        <v>166.71963867924279</v>
      </c>
      <c r="AD36" s="191">
        <f>IF('Input Laying'!AF44=0,0,(IF('Input Laying'!N44&gt;0,1,IF('Input Laying'!O44&gt;0,0,1))))+AD35</f>
        <v>0</v>
      </c>
      <c r="AE36" s="191">
        <v>46</v>
      </c>
      <c r="AF36" s="191">
        <f t="shared" si="7"/>
        <v>93.28828380553783</v>
      </c>
      <c r="AG36" s="191">
        <f t="shared" si="16"/>
        <v>92.838283805537827</v>
      </c>
      <c r="AH36" s="191">
        <f t="shared" si="16"/>
        <v>92.388283805537824</v>
      </c>
      <c r="AI36" s="191">
        <f t="shared" si="11"/>
        <v>90.888283805537824</v>
      </c>
      <c r="AJ36" s="191">
        <f t="shared" si="16"/>
        <v>90.438283805537822</v>
      </c>
      <c r="AK36" s="191">
        <f t="shared" si="16"/>
        <v>89.988283805537819</v>
      </c>
      <c r="AL36" s="191">
        <f t="shared" si="16"/>
        <v>89.538283805537816</v>
      </c>
      <c r="AM36" s="191">
        <f t="shared" si="1"/>
        <v>63.51</v>
      </c>
      <c r="AN36" s="191">
        <f t="shared" si="15"/>
        <v>63.21</v>
      </c>
      <c r="AO36" s="191">
        <f t="shared" si="15"/>
        <v>62.910000000000004</v>
      </c>
      <c r="AP36" s="191">
        <f t="shared" si="15"/>
        <v>62.610000000000007</v>
      </c>
      <c r="AQ36" s="191">
        <f t="shared" si="15"/>
        <v>62.310000000000009</v>
      </c>
      <c r="AR36" s="191">
        <f t="shared" si="15"/>
        <v>62.010000000000012</v>
      </c>
      <c r="AS36" s="191">
        <f t="shared" si="15"/>
        <v>61.710000000000015</v>
      </c>
      <c r="AT36" s="191">
        <f t="shared" si="2"/>
        <v>6.5301798663876482</v>
      </c>
      <c r="AU36" s="191">
        <f t="shared" si="5"/>
        <v>169.42977333581516</v>
      </c>
      <c r="AV36" s="191">
        <v>46</v>
      </c>
      <c r="AW36" s="191">
        <f t="shared" si="9"/>
        <v>414.73172331427946</v>
      </c>
      <c r="AX36" s="191">
        <f t="shared" si="10"/>
        <v>10.353547711702184</v>
      </c>
      <c r="AZ36" s="191">
        <v>46</v>
      </c>
      <c r="BA36" s="191">
        <f>IF('Egg grading'!C40="",IF('Egg grading'!B40="","",'Egg grading'!B40),'Egg grading'!C40)</f>
        <v>63.51</v>
      </c>
      <c r="BC36" s="191" t="str">
        <f>IF(BC35="",'Egg grading'!K40,BC35+'Egg grading'!K40)</f>
        <v/>
      </c>
      <c r="BD36" s="191" t="str">
        <f>IF(BD35="",'Egg grading'!L40,BD35+'Egg grading'!L40)</f>
        <v/>
      </c>
      <c r="BE36" s="191" t="str">
        <f>IF(BE35="",'Egg grading'!M40,BE35+'Egg grading'!M40)</f>
        <v/>
      </c>
      <c r="BF36" s="191" t="str">
        <f>IF(BF35="",'Egg grading'!N40,BF35+'Egg grading'!N40)</f>
        <v/>
      </c>
    </row>
    <row r="37" spans="1:58" x14ac:dyDescent="0.2">
      <c r="A37" s="194">
        <f>'Production data'!B44</f>
        <v>47</v>
      </c>
      <c r="B37" s="191" t="e">
        <f>IF('Production data'!C44="",#N/A,'Production data'!C44)</f>
        <v>#N/A</v>
      </c>
      <c r="C37" s="191" t="e">
        <f>IF(OR('Input Laying'!E45=0,'Input Laying'!D44=0),#N/A,'Input Laying'!E45/'Input Laying'!D44*100*25)</f>
        <v>#N/A</v>
      </c>
      <c r="D37" s="191">
        <f>IF(OR('Production data'!D44="",'Production data'!D44=0),0,'Production data'!D44)</f>
        <v>0</v>
      </c>
      <c r="E37" s="191">
        <f>IF(OR(Std!B50="",Std!B50=0),0,Std!B50)</f>
        <v>92.960152580781255</v>
      </c>
      <c r="F37" s="193" t="e">
        <f>IF('Production data'!H44="",#N/A,'Production data'!H44)</f>
        <v>#N/A</v>
      </c>
      <c r="G37" s="193">
        <f>IF(OR(Std!C50="",Std!C50=0),#N/A,Std!C50)</f>
        <v>63.53</v>
      </c>
      <c r="H37" s="191" t="e">
        <f t="shared" si="14"/>
        <v>#N/A</v>
      </c>
      <c r="I37" s="191">
        <f>('Input Laying'!AH45-1000)/25</f>
        <v>-40</v>
      </c>
      <c r="J37" s="191">
        <f>IF((Std!D50-1000)/25&lt;15,#N/A,(Std!D50-1000)/25)</f>
        <v>36.419755436710062</v>
      </c>
      <c r="K37" s="191" t="e">
        <f>IF('Production data'!P44="",#N/A,'Production data'!P44)</f>
        <v>#N/A</v>
      </c>
      <c r="L37" s="191" t="e">
        <f>IF('Production data'!L44="",#N/A,'Production data'!L44)</f>
        <v>#N/A</v>
      </c>
      <c r="M37" s="191">
        <f>IF(Std!E50=0,#N/A,Std!E50)</f>
        <v>59.057584934570329</v>
      </c>
      <c r="O37" s="191" t="e">
        <f>IF('Input Laying'!V45=0,NA(),IF('Input Laying'!V45="",NA(),'Input Laying'!W45/'Input Laying'!O45*100))</f>
        <v>#N/A</v>
      </c>
      <c r="P37" s="191" t="e">
        <f>IF('Input Laying'!T45="",#N/A,'Input Laying'!T45/'Input Laying'!N45*100)</f>
        <v>#N/A</v>
      </c>
      <c r="Q37" s="191" t="e">
        <f>IF('Input Laying'!U45="",#N/A,'Input Laying'!U45/'Input Laying'!N45*100)</f>
        <v>#N/A</v>
      </c>
      <c r="R37" s="191" t="str">
        <f>IF('Input Laying'!V45="",#N/A,'Production data'!W44)</f>
        <v/>
      </c>
      <c r="S37" s="191">
        <f>'Input Laying'!D45*7+'Graph values'!S36</f>
        <v>0</v>
      </c>
      <c r="T37" s="191" t="str">
        <f>IF(OR('Input Laying'!AF45="",'Input Laying'!D45=0,'Input Laying'!O45=0),"#N/A",'Input Laying'!AF45/'Input Laying'!D45/(AD37*7)*1000)</f>
        <v>#N/A</v>
      </c>
      <c r="U37" s="191" t="e">
        <f>IF('Production data'!U44="",#N/A,'Production data'!U44)</f>
        <v>#N/A</v>
      </c>
      <c r="V37" s="191" t="e">
        <f>IF('Production data'!V44="",#N/A,'Production data'!V44)</f>
        <v>#N/A</v>
      </c>
      <c r="W37" s="191" t="e">
        <f>IF('Production data'!S44="",#N/A,'Production data'!S44)</f>
        <v>#N/A</v>
      </c>
      <c r="X37" s="191" t="e">
        <f>IF('Production data'!T44="",#N/A,'Production data'!T44)</f>
        <v>#N/A</v>
      </c>
      <c r="Y37" s="191" t="e">
        <f>IF('Input Laying'!E45="",#N/A,'Production data'!F44)</f>
        <v>#N/A</v>
      </c>
      <c r="Z37" s="191">
        <f>IF('Production data'!G44="",#N/A,'Production data'!G44)</f>
        <v>173.03944169229462</v>
      </c>
      <c r="AD37" s="191">
        <f>IF('Input Laying'!AF45=0,0,(IF('Input Laying'!N45&gt;0,1,IF('Input Laying'!O45&gt;0,0,1))))+AD36</f>
        <v>0</v>
      </c>
      <c r="AE37" s="191">
        <v>47</v>
      </c>
      <c r="AF37" s="191">
        <f t="shared" si="7"/>
        <v>92.960152580781255</v>
      </c>
      <c r="AG37" s="191">
        <f t="shared" si="16"/>
        <v>92.510152580781252</v>
      </c>
      <c r="AH37" s="191">
        <f t="shared" si="16"/>
        <v>92.060152580781249</v>
      </c>
      <c r="AI37" s="191">
        <f t="shared" si="11"/>
        <v>90.560152580781249</v>
      </c>
      <c r="AJ37" s="191">
        <f t="shared" si="16"/>
        <v>90.110152580781246</v>
      </c>
      <c r="AK37" s="191">
        <f t="shared" si="16"/>
        <v>89.660152580781244</v>
      </c>
      <c r="AL37" s="191">
        <f t="shared" si="16"/>
        <v>89.210152580781241</v>
      </c>
      <c r="AM37" s="191">
        <f t="shared" si="1"/>
        <v>63.53</v>
      </c>
      <c r="AN37" s="191">
        <f t="shared" si="15"/>
        <v>63.230000000000004</v>
      </c>
      <c r="AO37" s="191">
        <f t="shared" si="15"/>
        <v>62.930000000000007</v>
      </c>
      <c r="AP37" s="191">
        <f t="shared" si="15"/>
        <v>62.63000000000001</v>
      </c>
      <c r="AQ37" s="191">
        <f t="shared" si="15"/>
        <v>62.330000000000013</v>
      </c>
      <c r="AR37" s="191">
        <f t="shared" si="15"/>
        <v>62.030000000000015</v>
      </c>
      <c r="AS37" s="191">
        <f t="shared" si="15"/>
        <v>61.730000000000018</v>
      </c>
      <c r="AT37" s="191">
        <f t="shared" si="2"/>
        <v>6.5072106806546879</v>
      </c>
      <c r="AU37" s="191">
        <f t="shared" si="5"/>
        <v>175.93698401646984</v>
      </c>
      <c r="AV37" s="191">
        <v>47</v>
      </c>
      <c r="AW37" s="191">
        <f t="shared" si="9"/>
        <v>413.40309454199229</v>
      </c>
      <c r="AX37" s="191">
        <f t="shared" si="10"/>
        <v>10.766950806244177</v>
      </c>
      <c r="AZ37" s="191">
        <v>47</v>
      </c>
      <c r="BA37" s="191">
        <f>IF('Egg grading'!C41="",IF('Egg grading'!B41="","",'Egg grading'!B41),'Egg grading'!C41)</f>
        <v>63.53</v>
      </c>
      <c r="BC37" s="191" t="str">
        <f>IF(BC36="",'Egg grading'!K41,BC36+'Egg grading'!K41)</f>
        <v/>
      </c>
      <c r="BD37" s="191" t="str">
        <f>IF(BD36="",'Egg grading'!L41,BD36+'Egg grading'!L41)</f>
        <v/>
      </c>
      <c r="BE37" s="191" t="str">
        <f>IF(BE36="",'Egg grading'!M41,BE36+'Egg grading'!M41)</f>
        <v/>
      </c>
      <c r="BF37" s="191" t="str">
        <f>IF(BF36="",'Egg grading'!N41,BF36+'Egg grading'!N41)</f>
        <v/>
      </c>
    </row>
    <row r="38" spans="1:58" x14ac:dyDescent="0.2">
      <c r="A38" s="194">
        <f>'Production data'!B45</f>
        <v>48</v>
      </c>
      <c r="B38" s="191" t="e">
        <f>IF('Production data'!C45="",#N/A,'Production data'!C45)</f>
        <v>#N/A</v>
      </c>
      <c r="C38" s="191" t="e">
        <f>IF(OR('Input Laying'!E46=0,'Input Laying'!D45=0),#N/A,'Input Laying'!E46/'Input Laying'!D45*100*25)</f>
        <v>#N/A</v>
      </c>
      <c r="D38" s="191">
        <f>IF(OR('Production data'!D45="",'Production data'!D45=0),0,'Production data'!D45)</f>
        <v>0</v>
      </c>
      <c r="E38" s="191">
        <f>IF(OR(Std!B51="",Std!B51=0),0,Std!B51)</f>
        <v>92.549339980209297</v>
      </c>
      <c r="F38" s="193" t="e">
        <f>IF('Production data'!H45="",#N/A,'Production data'!H45)</f>
        <v>#N/A</v>
      </c>
      <c r="G38" s="193">
        <f>IF(OR(Std!C51="",Std!C51=0),#N/A,Std!C51)</f>
        <v>63.58</v>
      </c>
      <c r="H38" s="191" t="e">
        <f t="shared" si="14"/>
        <v>#N/A</v>
      </c>
      <c r="I38" s="191">
        <f>('Input Laying'!AH46-1000)/25</f>
        <v>-40</v>
      </c>
      <c r="J38" s="191">
        <f>IF((Std!D51-1000)/25&lt;15,#N/A,(Std!D51-1000)/25)</f>
        <v>36.55883791852397</v>
      </c>
      <c r="K38" s="191" t="e">
        <f>IF('Production data'!P45="",#N/A,'Production data'!P45)</f>
        <v>#N/A</v>
      </c>
      <c r="L38" s="191" t="e">
        <f>IF('Production data'!L45="",#N/A,'Production data'!L45)</f>
        <v>#N/A</v>
      </c>
      <c r="M38" s="191">
        <f>IF(Std!E51=0,#N/A,Std!E51)</f>
        <v>58.842870359417063</v>
      </c>
      <c r="O38" s="191" t="e">
        <f>IF('Input Laying'!V46=0,NA(),IF('Input Laying'!V46="",NA(),'Input Laying'!W46/'Input Laying'!O46*100))</f>
        <v>#N/A</v>
      </c>
      <c r="P38" s="191" t="e">
        <f>IF('Input Laying'!T46="",#N/A,'Input Laying'!T46/'Input Laying'!N46*100)</f>
        <v>#N/A</v>
      </c>
      <c r="Q38" s="191" t="e">
        <f>IF('Input Laying'!U46="",#N/A,'Input Laying'!U46/'Input Laying'!N46*100)</f>
        <v>#N/A</v>
      </c>
      <c r="R38" s="191" t="str">
        <f>IF('Input Laying'!V46="",#N/A,'Production data'!W45)</f>
        <v/>
      </c>
      <c r="S38" s="191">
        <f>'Input Laying'!D46*7+'Graph values'!S37</f>
        <v>0</v>
      </c>
      <c r="T38" s="191" t="str">
        <f>IF(OR('Input Laying'!AF46="",'Input Laying'!D46=0,'Input Laying'!O46=0),"#N/A",'Input Laying'!AF46/'Input Laying'!D46/(AD38*7)*1000)</f>
        <v>#N/A</v>
      </c>
      <c r="U38" s="191" t="e">
        <f>IF('Production data'!U45="",#N/A,'Production data'!U45)</f>
        <v>#N/A</v>
      </c>
      <c r="V38" s="191" t="e">
        <f>IF('Production data'!V45="",#N/A,'Production data'!V45)</f>
        <v>#N/A</v>
      </c>
      <c r="W38" s="191" t="e">
        <f>IF('Production data'!S45="",#N/A,'Production data'!S45)</f>
        <v>#N/A</v>
      </c>
      <c r="X38" s="191" t="e">
        <f>IF('Production data'!T45="",#N/A,'Production data'!T45)</f>
        <v>#N/A</v>
      </c>
      <c r="Y38" s="191" t="e">
        <f>IF('Input Laying'!E46="",#N/A,'Production data'!F45)</f>
        <v>#N/A</v>
      </c>
      <c r="Z38" s="191">
        <f>IF('Production data'!G45="",#N/A,'Production data'!G45)</f>
        <v>179.32509670586248</v>
      </c>
      <c r="AD38" s="191">
        <f>IF('Input Laying'!AF46=0,0,(IF('Input Laying'!N46&gt;0,1,IF('Input Laying'!O46&gt;0,0,1))))+AD37</f>
        <v>0</v>
      </c>
      <c r="AE38" s="191">
        <v>48</v>
      </c>
      <c r="AF38" s="191">
        <f t="shared" si="7"/>
        <v>92.549339980209297</v>
      </c>
      <c r="AG38" s="191">
        <f t="shared" si="16"/>
        <v>92.099339980209294</v>
      </c>
      <c r="AH38" s="191">
        <f t="shared" si="16"/>
        <v>91.649339980209291</v>
      </c>
      <c r="AI38" s="191">
        <f t="shared" si="11"/>
        <v>90.149339980209291</v>
      </c>
      <c r="AJ38" s="191">
        <f t="shared" si="16"/>
        <v>89.699339980209288</v>
      </c>
      <c r="AK38" s="191">
        <f t="shared" si="16"/>
        <v>89.249339980209285</v>
      </c>
      <c r="AL38" s="191">
        <f t="shared" si="16"/>
        <v>88.799339980209282</v>
      </c>
      <c r="AM38" s="191">
        <f t="shared" si="1"/>
        <v>63.58</v>
      </c>
      <c r="AN38" s="191">
        <f t="shared" si="15"/>
        <v>63.28</v>
      </c>
      <c r="AO38" s="191">
        <f t="shared" si="15"/>
        <v>62.980000000000004</v>
      </c>
      <c r="AP38" s="191">
        <f t="shared" si="15"/>
        <v>62.680000000000007</v>
      </c>
      <c r="AQ38" s="191">
        <f t="shared" si="15"/>
        <v>62.38000000000001</v>
      </c>
      <c r="AR38" s="191">
        <f t="shared" si="15"/>
        <v>62.080000000000013</v>
      </c>
      <c r="AS38" s="191">
        <f t="shared" si="15"/>
        <v>61.780000000000015</v>
      </c>
      <c r="AT38" s="191">
        <f t="shared" si="2"/>
        <v>6.4784537986146509</v>
      </c>
      <c r="AU38" s="191">
        <f t="shared" si="5"/>
        <v>182.41543781508449</v>
      </c>
      <c r="AV38" s="191">
        <v>48</v>
      </c>
      <c r="AW38" s="191">
        <f t="shared" si="9"/>
        <v>411.90009251591943</v>
      </c>
      <c r="AX38" s="191">
        <f t="shared" si="10"/>
        <v>11.178850898760096</v>
      </c>
      <c r="AZ38" s="191">
        <v>48</v>
      </c>
      <c r="BA38" s="191">
        <f>IF('Egg grading'!C42="",IF('Egg grading'!B42="","",'Egg grading'!B42),'Egg grading'!C42)</f>
        <v>63.58</v>
      </c>
      <c r="BC38" s="191" t="str">
        <f>IF(BC37="",'Egg grading'!K42,BC37+'Egg grading'!K42)</f>
        <v/>
      </c>
      <c r="BD38" s="191" t="str">
        <f>IF(BD37="",'Egg grading'!L42,BD37+'Egg grading'!L42)</f>
        <v/>
      </c>
      <c r="BE38" s="191" t="str">
        <f>IF(BE37="",'Egg grading'!M42,BE37+'Egg grading'!M42)</f>
        <v/>
      </c>
      <c r="BF38" s="191" t="str">
        <f>IF(BF37="",'Egg grading'!N42,BF37+'Egg grading'!N42)</f>
        <v/>
      </c>
    </row>
    <row r="39" spans="1:58" x14ac:dyDescent="0.2">
      <c r="A39" s="194">
        <f>'Production data'!B46</f>
        <v>49</v>
      </c>
      <c r="B39" s="191" t="e">
        <f>IF('Production data'!C46="",#N/A,'Production data'!C46)</f>
        <v>#N/A</v>
      </c>
      <c r="C39" s="191" t="e">
        <f>IF(OR('Input Laying'!E47=0,'Input Laying'!D46=0),#N/A,'Input Laying'!E47/'Input Laying'!D46*100*25)</f>
        <v>#N/A</v>
      </c>
      <c r="D39" s="191">
        <f>IF(OR('Production data'!D46="",'Production data'!D46=0),0,'Production data'!D46)</f>
        <v>0</v>
      </c>
      <c r="E39" s="191">
        <f>IF(OR(Std!B52="",Std!B52=0),0,Std!B52)</f>
        <v>92.3</v>
      </c>
      <c r="F39" s="193" t="e">
        <f>IF('Production data'!H46="",#N/A,'Production data'!H46)</f>
        <v>#N/A</v>
      </c>
      <c r="G39" s="193">
        <f>IF(OR(Std!C52="",Std!C52=0),#N/A,Std!C52)</f>
        <v>63.6</v>
      </c>
      <c r="H39" s="191" t="e">
        <f t="shared" si="14"/>
        <v>#N/A</v>
      </c>
      <c r="I39" s="191">
        <f>('Input Laying'!AH47-1000)/25</f>
        <v>-40</v>
      </c>
      <c r="J39" s="191">
        <f>IF((Std!D52-1000)/25&lt;15,#N/A,(Std!D52-1000)/25)</f>
        <v>36.691719356473669</v>
      </c>
      <c r="K39" s="191" t="e">
        <f>IF('Production data'!P46="",#N/A,'Production data'!P46)</f>
        <v>#N/A</v>
      </c>
      <c r="L39" s="191" t="e">
        <f>IF('Production data'!L46="",#N/A,'Production data'!L46)</f>
        <v>#N/A</v>
      </c>
      <c r="M39" s="191">
        <f>IF(Std!E52=0,#N/A,Std!E52)</f>
        <v>58.702799999999996</v>
      </c>
      <c r="O39" s="191" t="e">
        <f>IF('Input Laying'!V47=0,NA(),IF('Input Laying'!V47="",NA(),'Input Laying'!W47/'Input Laying'!O47*100))</f>
        <v>#N/A</v>
      </c>
      <c r="P39" s="191" t="e">
        <f>IF('Input Laying'!T47="",#N/A,'Input Laying'!T47/'Input Laying'!N47*100)</f>
        <v>#N/A</v>
      </c>
      <c r="Q39" s="191" t="e">
        <f>IF('Input Laying'!U47="",#N/A,'Input Laying'!U47/'Input Laying'!N47*100)</f>
        <v>#N/A</v>
      </c>
      <c r="R39" s="191" t="str">
        <f>IF('Input Laying'!V47="",#N/A,'Production data'!W46)</f>
        <v/>
      </c>
      <c r="S39" s="191">
        <f>'Input Laying'!D47*7+'Graph values'!S38</f>
        <v>0</v>
      </c>
      <c r="T39" s="191" t="str">
        <f>IF(OR('Input Laying'!AF47="",'Input Laying'!D47=0,'Input Laying'!O47=0),"#N/A",'Input Laying'!AF47/'Input Laying'!D47/(AD39*7)*1000)</f>
        <v>#N/A</v>
      </c>
      <c r="U39" s="191" t="e">
        <f>IF('Production data'!U46="",#N/A,'Production data'!U46)</f>
        <v>#N/A</v>
      </c>
      <c r="V39" s="191" t="e">
        <f>IF('Production data'!V46="",#N/A,'Production data'!V46)</f>
        <v>#N/A</v>
      </c>
      <c r="W39" s="191" t="e">
        <f>IF('Production data'!S46="",#N/A,'Production data'!S46)</f>
        <v>#N/A</v>
      </c>
      <c r="X39" s="191" t="e">
        <f>IF('Production data'!T46="",#N/A,'Production data'!T46)</f>
        <v>#N/A</v>
      </c>
      <c r="Y39" s="191" t="e">
        <f>IF('Input Laying'!E47="",#N/A,'Production data'!F46)</f>
        <v>#N/A</v>
      </c>
      <c r="Z39" s="191">
        <f>IF('Production data'!G46="",#N/A,'Production data'!G46)</f>
        <v>185.58761478586246</v>
      </c>
      <c r="AD39" s="191">
        <f>IF('Input Laying'!AF47=0,0,(IF('Input Laying'!N47&gt;0,1,IF('Input Laying'!O47&gt;0,0,1))))+AD38</f>
        <v>0</v>
      </c>
      <c r="AE39" s="191">
        <v>49</v>
      </c>
      <c r="AF39" s="191">
        <f t="shared" si="7"/>
        <v>92.3</v>
      </c>
      <c r="AG39" s="191">
        <f t="shared" si="16"/>
        <v>91.85</v>
      </c>
      <c r="AH39" s="191">
        <f t="shared" si="16"/>
        <v>91.399999999999991</v>
      </c>
      <c r="AI39" s="191">
        <f t="shared" si="11"/>
        <v>89.899999999999991</v>
      </c>
      <c r="AJ39" s="191">
        <f t="shared" si="16"/>
        <v>89.449999999999989</v>
      </c>
      <c r="AK39" s="191">
        <f t="shared" si="16"/>
        <v>88.999999999999986</v>
      </c>
      <c r="AL39" s="191">
        <f t="shared" si="16"/>
        <v>88.549999999999983</v>
      </c>
      <c r="AM39" s="191">
        <f t="shared" ref="AM39:AM70" si="17">G39</f>
        <v>63.6</v>
      </c>
      <c r="AN39" s="191">
        <f t="shared" si="15"/>
        <v>63.300000000000004</v>
      </c>
      <c r="AO39" s="191">
        <f t="shared" si="15"/>
        <v>63.000000000000007</v>
      </c>
      <c r="AP39" s="191">
        <f t="shared" si="15"/>
        <v>62.70000000000001</v>
      </c>
      <c r="AQ39" s="191">
        <f t="shared" si="15"/>
        <v>62.400000000000013</v>
      </c>
      <c r="AR39" s="191">
        <f t="shared" si="15"/>
        <v>62.100000000000016</v>
      </c>
      <c r="AS39" s="191">
        <f t="shared" si="15"/>
        <v>61.800000000000018</v>
      </c>
      <c r="AT39" s="191">
        <f t="shared" ref="AT39:AT70" si="18">E39*7/100</f>
        <v>6.4610000000000003</v>
      </c>
      <c r="AU39" s="191">
        <f t="shared" si="5"/>
        <v>188.8764378150845</v>
      </c>
      <c r="AV39" s="191">
        <v>49</v>
      </c>
      <c r="AW39" s="191">
        <f t="shared" si="9"/>
        <v>410.91959999999995</v>
      </c>
      <c r="AX39" s="191">
        <f t="shared" si="10"/>
        <v>11.589770498760096</v>
      </c>
      <c r="AZ39" s="191">
        <v>49</v>
      </c>
      <c r="BA39" s="191">
        <f>IF('Egg grading'!C43="",IF('Egg grading'!B43="","",'Egg grading'!B43),'Egg grading'!C43)</f>
        <v>63.6</v>
      </c>
      <c r="BC39" s="191" t="str">
        <f>IF(BC38="",'Egg grading'!K43,BC38+'Egg grading'!K43)</f>
        <v/>
      </c>
      <c r="BD39" s="191" t="str">
        <f>IF(BD38="",'Egg grading'!L43,BD38+'Egg grading'!L43)</f>
        <v/>
      </c>
      <c r="BE39" s="191" t="str">
        <f>IF(BE38="",'Egg grading'!M43,BE38+'Egg grading'!M43)</f>
        <v/>
      </c>
      <c r="BF39" s="191" t="str">
        <f>IF(BF38="",'Egg grading'!N43,BF38+'Egg grading'!N43)</f>
        <v/>
      </c>
    </row>
    <row r="40" spans="1:58" x14ac:dyDescent="0.2">
      <c r="A40" s="194">
        <f>'Production data'!B47</f>
        <v>50</v>
      </c>
      <c r="B40" s="191" t="e">
        <f>IF('Production data'!C47="",#N/A,'Production data'!C47)</f>
        <v>#N/A</v>
      </c>
      <c r="C40" s="191" t="e">
        <f>IF(OR('Input Laying'!E48=0,'Input Laying'!D47=0),#N/A,'Input Laying'!E48/'Input Laying'!D47*100*25)</f>
        <v>#N/A</v>
      </c>
      <c r="D40" s="191">
        <f>IF(OR('Production data'!D47="",'Production data'!D47=0),0,'Production data'!D47)</f>
        <v>0</v>
      </c>
      <c r="E40" s="191">
        <f>IF(OR(Std!B53="",Std!B53=0),0,Std!B53)</f>
        <v>91.94</v>
      </c>
      <c r="F40" s="193" t="e">
        <f>IF('Production data'!H47="",#N/A,'Production data'!H47)</f>
        <v>#N/A</v>
      </c>
      <c r="G40" s="193">
        <f>IF(OR(Std!C53="",Std!C53=0),#N/A,Std!C53)</f>
        <v>63.62</v>
      </c>
      <c r="H40" s="191" t="e">
        <f t="shared" si="14"/>
        <v>#N/A</v>
      </c>
      <c r="I40" s="191">
        <f>('Input Laying'!AH48-1000)/25</f>
        <v>-40</v>
      </c>
      <c r="J40" s="191">
        <f>IF((Std!D53-1000)/25&lt;15,#N/A,(Std!D53-1000)/25)</f>
        <v>36.818562328904171</v>
      </c>
      <c r="K40" s="191" t="e">
        <f>IF('Production data'!P47="",#N/A,'Production data'!P47)</f>
        <v>#N/A</v>
      </c>
      <c r="L40" s="191" t="e">
        <f>IF('Production data'!L47="",#N/A,'Production data'!L47)</f>
        <v>#N/A</v>
      </c>
      <c r="M40" s="191">
        <f>IF(Std!E53=0,#N/A,Std!E53)</f>
        <v>58.492227999999997</v>
      </c>
      <c r="O40" s="191" t="e">
        <f>IF('Input Laying'!V48=0,NA(),IF('Input Laying'!V48="",NA(),'Input Laying'!W48/'Input Laying'!O48*100))</f>
        <v>#N/A</v>
      </c>
      <c r="P40" s="191" t="e">
        <f>IF('Input Laying'!T48="",#N/A,'Input Laying'!T48/'Input Laying'!N48*100)</f>
        <v>#N/A</v>
      </c>
      <c r="Q40" s="191" t="e">
        <f>IF('Input Laying'!U48="",#N/A,'Input Laying'!U48/'Input Laying'!N48*100)</f>
        <v>#N/A</v>
      </c>
      <c r="R40" s="191" t="str">
        <f>IF('Input Laying'!V48="",#N/A,'Production data'!W47)</f>
        <v/>
      </c>
      <c r="S40" s="191">
        <f>'Input Laying'!D48*7+'Graph values'!S39</f>
        <v>0</v>
      </c>
      <c r="T40" s="191" t="str">
        <f>IF(OR('Input Laying'!AF48="",'Input Laying'!D48=0,'Input Laying'!O48=0),"#N/A",'Input Laying'!AF48/'Input Laying'!D48/(AD40*7)*1000)</f>
        <v>#N/A</v>
      </c>
      <c r="U40" s="191" t="e">
        <f>IF('Production data'!U47="",#N/A,'Production data'!U47)</f>
        <v>#N/A</v>
      </c>
      <c r="V40" s="191" t="e">
        <f>IF('Production data'!V47="",#N/A,'Production data'!V47)</f>
        <v>#N/A</v>
      </c>
      <c r="W40" s="191" t="e">
        <f>IF('Production data'!S47="",#N/A,'Production data'!S47)</f>
        <v>#N/A</v>
      </c>
      <c r="X40" s="191" t="e">
        <f>IF('Production data'!T47="",#N/A,'Production data'!T47)</f>
        <v>#N/A</v>
      </c>
      <c r="Y40" s="191" t="e">
        <f>IF('Input Laying'!E48="",#N/A,'Production data'!F47)</f>
        <v>#N/A</v>
      </c>
      <c r="Z40" s="191">
        <f>IF('Production data'!G47="",#N/A,'Production data'!G47)</f>
        <v>191.81952864186246</v>
      </c>
      <c r="AD40" s="191">
        <f>IF('Input Laying'!AF48=0,0,(IF('Input Laying'!N48&gt;0,1,IF('Input Laying'!O48&gt;0,0,1))))+AD39</f>
        <v>0</v>
      </c>
      <c r="AE40" s="191">
        <v>50</v>
      </c>
      <c r="AF40" s="191">
        <f t="shared" ref="AF40:AF71" si="19">IF(E40&lt;10,#N/A,E40)</f>
        <v>91.94</v>
      </c>
      <c r="AG40" s="191">
        <f t="shared" si="16"/>
        <v>91.49</v>
      </c>
      <c r="AH40" s="191">
        <f t="shared" si="16"/>
        <v>91.039999999999992</v>
      </c>
      <c r="AI40" s="191">
        <f t="shared" si="11"/>
        <v>89.539999999999992</v>
      </c>
      <c r="AJ40" s="191">
        <f t="shared" si="16"/>
        <v>89.089999999999989</v>
      </c>
      <c r="AK40" s="191">
        <f t="shared" si="16"/>
        <v>88.639999999999986</v>
      </c>
      <c r="AL40" s="191">
        <f t="shared" si="16"/>
        <v>88.189999999999984</v>
      </c>
      <c r="AM40" s="191">
        <f t="shared" si="17"/>
        <v>63.62</v>
      </c>
      <c r="AN40" s="191">
        <f t="shared" ref="AN40:AS55" si="20">AM40-0.3</f>
        <v>63.32</v>
      </c>
      <c r="AO40" s="191">
        <f t="shared" si="20"/>
        <v>63.02</v>
      </c>
      <c r="AP40" s="191">
        <f t="shared" si="20"/>
        <v>62.720000000000006</v>
      </c>
      <c r="AQ40" s="191">
        <f t="shared" si="20"/>
        <v>62.420000000000009</v>
      </c>
      <c r="AR40" s="191">
        <f t="shared" si="20"/>
        <v>62.120000000000012</v>
      </c>
      <c r="AS40" s="191">
        <f t="shared" si="20"/>
        <v>61.820000000000014</v>
      </c>
      <c r="AT40" s="191">
        <f t="shared" si="18"/>
        <v>6.4357999999999995</v>
      </c>
      <c r="AU40" s="191">
        <f t="shared" si="5"/>
        <v>195.3122378150845</v>
      </c>
      <c r="AV40" s="191">
        <v>50</v>
      </c>
      <c r="AW40" s="191">
        <f t="shared" si="9"/>
        <v>409.44559599999997</v>
      </c>
      <c r="AX40" s="191">
        <f t="shared" si="10"/>
        <v>11.999216094760095</v>
      </c>
      <c r="AZ40" s="191">
        <v>50</v>
      </c>
      <c r="BA40" s="191">
        <f>IF('Egg grading'!C44="",IF('Egg grading'!B44="","",'Egg grading'!B44),'Egg grading'!C44)</f>
        <v>63.62</v>
      </c>
      <c r="BC40" s="191" t="str">
        <f>IF(BC39="",'Egg grading'!K44,BC39+'Egg grading'!K44)</f>
        <v/>
      </c>
      <c r="BD40" s="191" t="str">
        <f>IF(BD39="",'Egg grading'!L44,BD39+'Egg grading'!L44)</f>
        <v/>
      </c>
      <c r="BE40" s="191" t="str">
        <f>IF(BE39="",'Egg grading'!M44,BE39+'Egg grading'!M44)</f>
        <v/>
      </c>
      <c r="BF40" s="191" t="str">
        <f>IF(BF39="",'Egg grading'!N44,BF39+'Egg grading'!N44)</f>
        <v/>
      </c>
    </row>
    <row r="41" spans="1:58" x14ac:dyDescent="0.2">
      <c r="A41" s="194">
        <f>'Production data'!B48</f>
        <v>51</v>
      </c>
      <c r="B41" s="191" t="e">
        <f>IF('Production data'!C48="",#N/A,'Production data'!C48)</f>
        <v>#N/A</v>
      </c>
      <c r="C41" s="191" t="e">
        <f>IF(OR('Input Laying'!E49=0,'Input Laying'!D48=0),#N/A,'Input Laying'!E49/'Input Laying'!D48*100*25)</f>
        <v>#N/A</v>
      </c>
      <c r="D41" s="191">
        <f>IF(OR('Production data'!D48="",'Production data'!D48=0),0,'Production data'!D48)</f>
        <v>0</v>
      </c>
      <c r="E41" s="191">
        <f>IF(OR(Std!B54="",Std!B54=0),0,Std!B54)</f>
        <v>91.606110666657599</v>
      </c>
      <c r="F41" s="193" t="e">
        <f>IF('Production data'!H48="",#N/A,'Production data'!H48)</f>
        <v>#N/A</v>
      </c>
      <c r="G41" s="193">
        <f>IF(OR(Std!C54="",Std!C54=0),#N/A,Std!C54)</f>
        <v>63.64</v>
      </c>
      <c r="H41" s="191" t="e">
        <f t="shared" si="14"/>
        <v>#N/A</v>
      </c>
      <c r="I41" s="191">
        <f>('Input Laying'!AH49-1000)/25</f>
        <v>-40</v>
      </c>
      <c r="J41" s="191">
        <f>IF((Std!D54-1000)/25&lt;15,#N/A,(Std!D54-1000)/25)</f>
        <v>36.939529249521499</v>
      </c>
      <c r="K41" s="191" t="e">
        <f>IF('Production data'!P48="",#N/A,'Production data'!P48)</f>
        <v>#N/A</v>
      </c>
      <c r="L41" s="191" t="e">
        <f>IF('Production data'!L48="",#N/A,'Production data'!L48)</f>
        <v>#N/A</v>
      </c>
      <c r="M41" s="191">
        <f>IF(Std!E54=0,#N/A,Std!E54)</f>
        <v>58.2981288282609</v>
      </c>
      <c r="O41" s="191" t="e">
        <f>IF('Input Laying'!V49=0,NA(),IF('Input Laying'!V49="",NA(),'Input Laying'!W49/'Input Laying'!O49*100))</f>
        <v>#N/A</v>
      </c>
      <c r="P41" s="191" t="e">
        <f>IF('Input Laying'!T49="",#N/A,'Input Laying'!T49/'Input Laying'!N49*100)</f>
        <v>#N/A</v>
      </c>
      <c r="Q41" s="191" t="e">
        <f>IF('Input Laying'!U49="",#N/A,'Input Laying'!U49/'Input Laying'!N49*100)</f>
        <v>#N/A</v>
      </c>
      <c r="R41" s="191" t="str">
        <f>IF('Input Laying'!V49="",#N/A,'Production data'!W48)</f>
        <v/>
      </c>
      <c r="S41" s="191">
        <f>'Input Laying'!D49*7+'Graph values'!S40</f>
        <v>0</v>
      </c>
      <c r="T41" s="191" t="str">
        <f>IF(OR('Input Laying'!AF49="",'Input Laying'!D49=0,'Input Laying'!O49=0),"#N/A",'Input Laying'!AF49/'Input Laying'!D49/(AD41*7)*1000)</f>
        <v>#N/A</v>
      </c>
      <c r="U41" s="191" t="e">
        <f>IF('Production data'!U48="",#N/A,'Production data'!U48)</f>
        <v>#N/A</v>
      </c>
      <c r="V41" s="191" t="e">
        <f>IF('Production data'!V48="",#N/A,'Production data'!V48)</f>
        <v>#N/A</v>
      </c>
      <c r="W41" s="191" t="e">
        <f>IF('Production data'!S48="",#N/A,'Production data'!S48)</f>
        <v>#N/A</v>
      </c>
      <c r="X41" s="191" t="e">
        <f>IF('Production data'!T48="",#N/A,'Production data'!T48)</f>
        <v>#N/A</v>
      </c>
      <c r="Y41" s="191" t="e">
        <f>IF('Input Laying'!E49="",#N/A,'Production data'!F48)</f>
        <v>#N/A</v>
      </c>
      <c r="Z41" s="191">
        <f>IF('Production data'!G48="",#N/A,'Production data'!G48)</f>
        <v>198.02265474687729</v>
      </c>
      <c r="AD41" s="191">
        <f>IF('Input Laying'!AF49=0,0,(IF('Input Laying'!N49&gt;0,1,IF('Input Laying'!O49&gt;0,0,1))))+AD40</f>
        <v>0</v>
      </c>
      <c r="AE41" s="191">
        <v>51</v>
      </c>
      <c r="AF41" s="191">
        <f t="shared" si="19"/>
        <v>91.606110666657599</v>
      </c>
      <c r="AG41" s="191">
        <f t="shared" si="16"/>
        <v>91.156110666657597</v>
      </c>
      <c r="AH41" s="191">
        <f t="shared" si="16"/>
        <v>90.706110666657594</v>
      </c>
      <c r="AI41" s="191">
        <f t="shared" si="11"/>
        <v>89.206110666657594</v>
      </c>
      <c r="AJ41" s="191">
        <f t="shared" si="16"/>
        <v>88.756110666657591</v>
      </c>
      <c r="AK41" s="191">
        <f t="shared" si="16"/>
        <v>88.306110666657588</v>
      </c>
      <c r="AL41" s="191">
        <f t="shared" si="16"/>
        <v>87.856110666657585</v>
      </c>
      <c r="AM41" s="191">
        <f t="shared" si="17"/>
        <v>63.64</v>
      </c>
      <c r="AN41" s="191">
        <f t="shared" si="20"/>
        <v>63.34</v>
      </c>
      <c r="AO41" s="191">
        <f t="shared" si="20"/>
        <v>63.040000000000006</v>
      </c>
      <c r="AP41" s="191">
        <f t="shared" si="20"/>
        <v>62.740000000000009</v>
      </c>
      <c r="AQ41" s="191">
        <f t="shared" si="20"/>
        <v>62.440000000000012</v>
      </c>
      <c r="AR41" s="191">
        <f t="shared" si="20"/>
        <v>62.140000000000015</v>
      </c>
      <c r="AS41" s="191">
        <f t="shared" si="20"/>
        <v>61.840000000000018</v>
      </c>
      <c r="AT41" s="191">
        <f t="shared" si="18"/>
        <v>6.4124277466660313</v>
      </c>
      <c r="AU41" s="191">
        <f t="shared" si="5"/>
        <v>201.72466556175053</v>
      </c>
      <c r="AV41" s="191">
        <v>51</v>
      </c>
      <c r="AW41" s="191">
        <f t="shared" si="9"/>
        <v>408.08690179782627</v>
      </c>
      <c r="AX41" s="191">
        <f t="shared" si="10"/>
        <v>12.407302996557922</v>
      </c>
      <c r="AZ41" s="191">
        <v>51</v>
      </c>
      <c r="BA41" s="191">
        <f>IF('Egg grading'!C45="",IF('Egg grading'!B45="","",'Egg grading'!B45),'Egg grading'!C45)</f>
        <v>63.64</v>
      </c>
      <c r="BC41" s="191" t="str">
        <f>IF(BC40="",'Egg grading'!K45,BC40+'Egg grading'!K45)</f>
        <v/>
      </c>
      <c r="BD41" s="191" t="str">
        <f>IF(BD40="",'Egg grading'!L45,BD40+'Egg grading'!L45)</f>
        <v/>
      </c>
      <c r="BE41" s="191" t="str">
        <f>IF(BE40="",'Egg grading'!M45,BE40+'Egg grading'!M45)</f>
        <v/>
      </c>
      <c r="BF41" s="191" t="str">
        <f>IF(BF40="",'Egg grading'!N45,BF40+'Egg grading'!N45)</f>
        <v/>
      </c>
    </row>
    <row r="42" spans="1:58" x14ac:dyDescent="0.2">
      <c r="A42" s="194">
        <f>'Production data'!B49</f>
        <v>52</v>
      </c>
      <c r="B42" s="191" t="e">
        <f>IF('Production data'!C49="",#N/A,'Production data'!C49)</f>
        <v>#N/A</v>
      </c>
      <c r="C42" s="191" t="e">
        <f>IF(OR('Input Laying'!E50=0,'Input Laying'!D49=0),#N/A,'Input Laying'!E50/'Input Laying'!D49*100*25)</f>
        <v>#N/A</v>
      </c>
      <c r="D42" s="191">
        <f>IF(OR('Production data'!D49="",'Production data'!D49=0),0,'Production data'!D49)</f>
        <v>0</v>
      </c>
      <c r="E42" s="191">
        <f>IF(OR(Std!B55="",Std!B55=0),0,Std!B55)</f>
        <v>91.33</v>
      </c>
      <c r="F42" s="193" t="e">
        <f>IF('Production data'!H49="",#N/A,'Production data'!H49)</f>
        <v>#N/A</v>
      </c>
      <c r="G42" s="193">
        <f>IF(OR(Std!C55="",Std!C55=0),#N/A,Std!C55)</f>
        <v>63.65</v>
      </c>
      <c r="H42" s="191" t="e">
        <f t="shared" si="14"/>
        <v>#N/A</v>
      </c>
      <c r="I42" s="191">
        <f>('Input Laying'!AH50-1000)/25</f>
        <v>-40</v>
      </c>
      <c r="J42" s="191">
        <f>IF((Std!D55-1000)/25&lt;15,#N/A,(Std!D55-1000)/25)</f>
        <v>37.054782367392782</v>
      </c>
      <c r="K42" s="191" t="e">
        <f>IF('Production data'!P49="",#N/A,'Production data'!P49)</f>
        <v>#N/A</v>
      </c>
      <c r="L42" s="191" t="e">
        <f>IF('Production data'!L49="",#N/A,'Production data'!L49)</f>
        <v>#N/A</v>
      </c>
      <c r="M42" s="191">
        <f>IF(Std!E55=0,#N/A,Std!E55)</f>
        <v>58.131544999999996</v>
      </c>
      <c r="O42" s="191" t="e">
        <f>IF('Input Laying'!V50=0,NA(),IF('Input Laying'!V50="",NA(),'Input Laying'!W50/'Input Laying'!O50*100))</f>
        <v>#N/A</v>
      </c>
      <c r="P42" s="191" t="e">
        <f>IF('Input Laying'!T50="",#N/A,'Input Laying'!T50/'Input Laying'!N50*100)</f>
        <v>#N/A</v>
      </c>
      <c r="Q42" s="191" t="e">
        <f>IF('Input Laying'!U50="",#N/A,'Input Laying'!U50/'Input Laying'!N50*100)</f>
        <v>#N/A</v>
      </c>
      <c r="R42" s="191" t="str">
        <f>IF('Input Laying'!V50="",#N/A,'Production data'!W49)</f>
        <v/>
      </c>
      <c r="S42" s="191">
        <f>'Input Laying'!D50*7+'Graph values'!S41</f>
        <v>0</v>
      </c>
      <c r="T42" s="191" t="str">
        <f>IF(OR('Input Laying'!AF50="",'Input Laying'!D50=0,'Input Laying'!O50=0),"#N/A",'Input Laying'!AF50/'Input Laying'!D50/(AD42*7)*1000)</f>
        <v>#N/A</v>
      </c>
      <c r="U42" s="191" t="e">
        <f>IF('Production data'!U49="",#N/A,'Production data'!U49)</f>
        <v>#N/A</v>
      </c>
      <c r="V42" s="191" t="e">
        <f>IF('Production data'!V49="",#N/A,'Production data'!V49)</f>
        <v>#N/A</v>
      </c>
      <c r="W42" s="191" t="e">
        <f>IF('Production data'!S49="",#N/A,'Production data'!S49)</f>
        <v>#N/A</v>
      </c>
      <c r="X42" s="191" t="e">
        <f>IF('Production data'!T49="",#N/A,'Production data'!T49)</f>
        <v>#N/A</v>
      </c>
      <c r="Y42" s="191" t="e">
        <f>IF('Input Laying'!E50="",#N/A,'Production data'!F49)</f>
        <v>#N/A</v>
      </c>
      <c r="Z42" s="191">
        <f>IF('Production data'!G49="",#N/A,'Production data'!G49)</f>
        <v>204.20094658687728</v>
      </c>
      <c r="AD42" s="191">
        <f>IF('Input Laying'!AF50=0,0,(IF('Input Laying'!N50&gt;0,1,IF('Input Laying'!O50&gt;0,0,1))))+AD41</f>
        <v>0</v>
      </c>
      <c r="AE42" s="191">
        <v>52</v>
      </c>
      <c r="AF42" s="191">
        <f t="shared" si="19"/>
        <v>91.33</v>
      </c>
      <c r="AG42" s="191">
        <f t="shared" si="16"/>
        <v>90.88</v>
      </c>
      <c r="AH42" s="191">
        <f t="shared" si="16"/>
        <v>90.429999999999993</v>
      </c>
      <c r="AI42" s="191">
        <f t="shared" si="11"/>
        <v>88.929999999999993</v>
      </c>
      <c r="AJ42" s="191">
        <f t="shared" si="16"/>
        <v>88.47999999999999</v>
      </c>
      <c r="AK42" s="191">
        <f t="shared" si="16"/>
        <v>88.029999999999987</v>
      </c>
      <c r="AL42" s="191">
        <f t="shared" si="16"/>
        <v>87.579999999999984</v>
      </c>
      <c r="AM42" s="191">
        <f t="shared" si="17"/>
        <v>63.65</v>
      </c>
      <c r="AN42" s="191">
        <f t="shared" si="20"/>
        <v>63.35</v>
      </c>
      <c r="AO42" s="191">
        <f t="shared" si="20"/>
        <v>63.050000000000004</v>
      </c>
      <c r="AP42" s="191">
        <f t="shared" si="20"/>
        <v>62.750000000000007</v>
      </c>
      <c r="AQ42" s="191">
        <f t="shared" si="20"/>
        <v>62.45000000000001</v>
      </c>
      <c r="AR42" s="191">
        <f t="shared" si="20"/>
        <v>62.150000000000013</v>
      </c>
      <c r="AS42" s="191">
        <f t="shared" si="20"/>
        <v>61.850000000000016</v>
      </c>
      <c r="AT42" s="191">
        <f t="shared" si="18"/>
        <v>6.3930999999999996</v>
      </c>
      <c r="AU42" s="191">
        <f t="shared" si="5"/>
        <v>208.11776556175053</v>
      </c>
      <c r="AV42" s="191">
        <v>52</v>
      </c>
      <c r="AW42" s="191">
        <f t="shared" si="9"/>
        <v>406.92081499999995</v>
      </c>
      <c r="AX42" s="191">
        <f t="shared" si="10"/>
        <v>12.814223811557921</v>
      </c>
      <c r="AZ42" s="191">
        <v>52</v>
      </c>
      <c r="BA42" s="191">
        <f>IF('Egg grading'!C46="",IF('Egg grading'!B46="","",'Egg grading'!B46),'Egg grading'!C46)</f>
        <v>63.65</v>
      </c>
      <c r="BC42" s="191" t="str">
        <f>IF(BC41="",'Egg grading'!K46,BC41+'Egg grading'!K46)</f>
        <v/>
      </c>
      <c r="BD42" s="191" t="str">
        <f>IF(BD41="",'Egg grading'!L46,BD41+'Egg grading'!L46)</f>
        <v/>
      </c>
      <c r="BE42" s="191" t="str">
        <f>IF(BE41="",'Egg grading'!M46,BE41+'Egg grading'!M46)</f>
        <v/>
      </c>
      <c r="BF42" s="191" t="str">
        <f>IF(BF41="",'Egg grading'!N46,BF41+'Egg grading'!N46)</f>
        <v/>
      </c>
    </row>
    <row r="43" spans="1:58" x14ac:dyDescent="0.2">
      <c r="A43" s="194">
        <f>'Production data'!B50</f>
        <v>53</v>
      </c>
      <c r="B43" s="191" t="e">
        <f>IF('Production data'!C50="",#N/A,'Production data'!C50)</f>
        <v>#N/A</v>
      </c>
      <c r="C43" s="191" t="e">
        <f>IF(OR('Input Laying'!E51=0,'Input Laying'!D50=0),#N/A,'Input Laying'!E51/'Input Laying'!D50*100*25)</f>
        <v>#N/A</v>
      </c>
      <c r="D43" s="191">
        <f>IF(OR('Production data'!D50="",'Production data'!D50=0),0,'Production data'!D50)</f>
        <v>0</v>
      </c>
      <c r="E43" s="191">
        <f>IF(OR(Std!B56="",Std!B56=0),0,Std!B56)</f>
        <v>91.019934805801839</v>
      </c>
      <c r="F43" s="193" t="e">
        <f>IF('Production data'!H50="",#N/A,'Production data'!H50)</f>
        <v>#N/A</v>
      </c>
      <c r="G43" s="193">
        <f>IF(OR(Std!C56="",Std!C56=0),#N/A,Std!C56)</f>
        <v>63.66</v>
      </c>
      <c r="H43" s="191" t="e">
        <f t="shared" si="14"/>
        <v>#N/A</v>
      </c>
      <c r="I43" s="191">
        <f>('Input Laying'!AH51-1000)/25</f>
        <v>-40</v>
      </c>
      <c r="J43" s="191">
        <f>IF((Std!D56-1000)/25&lt;15,#N/A,(Std!D56-1000)/25)</f>
        <v>37.164483766946212</v>
      </c>
      <c r="K43" s="191" t="e">
        <f>IF('Production data'!P50="",#N/A,'Production data'!P50)</f>
        <v>#N/A</v>
      </c>
      <c r="L43" s="191" t="e">
        <f>IF('Production data'!L50="",#N/A,'Production data'!L50)</f>
        <v>#N/A</v>
      </c>
      <c r="M43" s="191">
        <f>IF(Std!E56=0,#N/A,Std!E56)</f>
        <v>57.943290497373447</v>
      </c>
      <c r="O43" s="191" t="e">
        <f>IF('Input Laying'!V51=0,NA(),IF('Input Laying'!V51="",NA(),'Input Laying'!W51/'Input Laying'!O51*100))</f>
        <v>#N/A</v>
      </c>
      <c r="P43" s="191" t="e">
        <f>IF('Input Laying'!T51="",#N/A,'Input Laying'!T51/'Input Laying'!N51*100)</f>
        <v>#N/A</v>
      </c>
      <c r="Q43" s="191" t="e">
        <f>IF('Input Laying'!U51="",#N/A,'Input Laying'!U51/'Input Laying'!N51*100)</f>
        <v>#N/A</v>
      </c>
      <c r="R43" s="191" t="str">
        <f>IF('Input Laying'!V51="",#N/A,'Production data'!W50)</f>
        <v/>
      </c>
      <c r="S43" s="191">
        <f>'Input Laying'!D51*7+'Graph values'!S42</f>
        <v>0</v>
      </c>
      <c r="T43" s="191" t="str">
        <f>IF(OR('Input Laying'!AF51="",'Input Laying'!D51=0,'Input Laying'!O51=0),"#N/A",'Input Laying'!AF51/'Input Laying'!D51/(AD43*7)*1000)</f>
        <v>#N/A</v>
      </c>
      <c r="U43" s="191" t="e">
        <f>IF('Production data'!U50="",#N/A,'Production data'!U50)</f>
        <v>#N/A</v>
      </c>
      <c r="V43" s="191" t="e">
        <f>IF('Production data'!V50="",#N/A,'Production data'!V50)</f>
        <v>#N/A</v>
      </c>
      <c r="W43" s="191" t="e">
        <f>IF('Production data'!S50="",#N/A,'Production data'!S50)</f>
        <v>#N/A</v>
      </c>
      <c r="X43" s="191" t="e">
        <f>IF('Production data'!T50="",#N/A,'Production data'!T50)</f>
        <v>#N/A</v>
      </c>
      <c r="Y43" s="191" t="e">
        <f>IF('Input Laying'!E51="",#N/A,'Production data'!F50)</f>
        <v>#N/A</v>
      </c>
      <c r="Z43" s="191">
        <f>IF('Production data'!G50="",#N/A,'Production data'!G50)</f>
        <v>210.35214659700119</v>
      </c>
      <c r="AD43" s="191">
        <f>IF('Input Laying'!AF51=0,0,(IF('Input Laying'!N51&gt;0,1,IF('Input Laying'!O51&gt;0,0,1))))+AD42</f>
        <v>0</v>
      </c>
      <c r="AE43" s="191">
        <v>53</v>
      </c>
      <c r="AF43" s="191">
        <f t="shared" si="19"/>
        <v>91.019934805801839</v>
      </c>
      <c r="AG43" s="191">
        <f t="shared" si="16"/>
        <v>90.569934805801836</v>
      </c>
      <c r="AH43" s="191">
        <f t="shared" si="16"/>
        <v>90.119934805801833</v>
      </c>
      <c r="AI43" s="191">
        <f t="shared" si="11"/>
        <v>88.619934805801833</v>
      </c>
      <c r="AJ43" s="191">
        <f t="shared" si="16"/>
        <v>88.16993480580183</v>
      </c>
      <c r="AK43" s="191">
        <f t="shared" si="16"/>
        <v>87.719934805801827</v>
      </c>
      <c r="AL43" s="191">
        <f t="shared" si="16"/>
        <v>87.269934805801824</v>
      </c>
      <c r="AM43" s="191">
        <f t="shared" si="17"/>
        <v>63.66</v>
      </c>
      <c r="AN43" s="191">
        <f t="shared" si="20"/>
        <v>63.36</v>
      </c>
      <c r="AO43" s="191">
        <f t="shared" si="20"/>
        <v>63.06</v>
      </c>
      <c r="AP43" s="191">
        <f t="shared" si="20"/>
        <v>62.760000000000005</v>
      </c>
      <c r="AQ43" s="191">
        <f t="shared" si="20"/>
        <v>62.460000000000008</v>
      </c>
      <c r="AR43" s="191">
        <f t="shared" si="20"/>
        <v>62.160000000000011</v>
      </c>
      <c r="AS43" s="191">
        <f t="shared" si="20"/>
        <v>61.860000000000014</v>
      </c>
      <c r="AT43" s="191">
        <f t="shared" si="18"/>
        <v>6.3713954364061287</v>
      </c>
      <c r="AU43" s="191">
        <f t="shared" si="5"/>
        <v>214.48916099815665</v>
      </c>
      <c r="AV43" s="191">
        <v>53</v>
      </c>
      <c r="AW43" s="191">
        <f t="shared" si="9"/>
        <v>405.60303348161415</v>
      </c>
      <c r="AX43" s="191">
        <f t="shared" si="10"/>
        <v>13.219826845039536</v>
      </c>
      <c r="AZ43" s="191">
        <v>53</v>
      </c>
      <c r="BA43" s="191">
        <f>IF('Egg grading'!C47="",IF('Egg grading'!B47="","",'Egg grading'!B47),'Egg grading'!C47)</f>
        <v>63.66</v>
      </c>
      <c r="BC43" s="191" t="str">
        <f>IF(BC42="",'Egg grading'!K47,BC42+'Egg grading'!K47)</f>
        <v/>
      </c>
      <c r="BD43" s="191" t="str">
        <f>IF(BD42="",'Egg grading'!L47,BD42+'Egg grading'!L47)</f>
        <v/>
      </c>
      <c r="BE43" s="191" t="str">
        <f>IF(BE42="",'Egg grading'!M47,BE42+'Egg grading'!M47)</f>
        <v/>
      </c>
      <c r="BF43" s="191" t="str">
        <f>IF(BF42="",'Egg grading'!N47,BF42+'Egg grading'!N47)</f>
        <v/>
      </c>
    </row>
    <row r="44" spans="1:58" x14ac:dyDescent="0.2">
      <c r="A44" s="194">
        <f>'Production data'!B51</f>
        <v>54</v>
      </c>
      <c r="B44" s="191" t="e">
        <f>IF('Production data'!C51="",#N/A,'Production data'!C51)</f>
        <v>#N/A</v>
      </c>
      <c r="C44" s="191" t="e">
        <f>IF(OR('Input Laying'!E52=0,'Input Laying'!D51=0),#N/A,'Input Laying'!E52/'Input Laying'!D51*100*25)</f>
        <v>#N/A</v>
      </c>
      <c r="D44" s="191">
        <f>IF(OR('Production data'!D51="",'Production data'!D51=0),0,'Production data'!D51)</f>
        <v>0</v>
      </c>
      <c r="E44" s="191">
        <f>IF(OR(Std!B57="",Std!B57=0),0,Std!B57)</f>
        <v>90.697063234176312</v>
      </c>
      <c r="F44" s="193" t="e">
        <f>IF('Production data'!H51="",#N/A,'Production data'!H51)</f>
        <v>#N/A</v>
      </c>
      <c r="G44" s="193">
        <f>IF(OR(Std!C57="",Std!C57=0),#N/A,Std!C57)</f>
        <v>63.64</v>
      </c>
      <c r="H44" s="191" t="e">
        <f t="shared" si="14"/>
        <v>#N/A</v>
      </c>
      <c r="I44" s="191">
        <f>('Input Laying'!AH52-1000)/25</f>
        <v>-40</v>
      </c>
      <c r="J44" s="191">
        <f>IF((Std!D57-1000)/25&lt;15,#N/A,(Std!D57-1000)/25)</f>
        <v>37.268795367971073</v>
      </c>
      <c r="K44" s="191" t="e">
        <f>IF('Production data'!P51="",#N/A,'Production data'!P51)</f>
        <v>#N/A</v>
      </c>
      <c r="L44" s="191" t="e">
        <f>IF('Production data'!L51="",#N/A,'Production data'!L51)</f>
        <v>#N/A</v>
      </c>
      <c r="M44" s="191">
        <f>IF(Std!E57=0,#N/A,Std!E57)</f>
        <v>57.719611042229808</v>
      </c>
      <c r="O44" s="191" t="e">
        <f>IF('Input Laying'!V52=0,NA(),IF('Input Laying'!V52="",NA(),'Input Laying'!W52/'Input Laying'!O52*100))</f>
        <v>#N/A</v>
      </c>
      <c r="P44" s="191" t="e">
        <f>IF('Input Laying'!T52="",#N/A,'Input Laying'!T52/'Input Laying'!N52*100)</f>
        <v>#N/A</v>
      </c>
      <c r="Q44" s="191" t="e">
        <f>IF('Input Laying'!U52="",#N/A,'Input Laying'!U52/'Input Laying'!N52*100)</f>
        <v>#N/A</v>
      </c>
      <c r="R44" s="191" t="str">
        <f>IF('Input Laying'!V52="",#N/A,'Production data'!W51)</f>
        <v/>
      </c>
      <c r="S44" s="191">
        <f>'Input Laying'!D52*7+'Graph values'!S43</f>
        <v>0</v>
      </c>
      <c r="T44" s="191" t="str">
        <f>IF(OR('Input Laying'!AF52="",'Input Laying'!D52=0,'Input Laying'!O52=0),"#N/A",'Input Laying'!AF52/'Input Laying'!D52/(AD44*7)*1000)</f>
        <v>#N/A</v>
      </c>
      <c r="U44" s="191" t="e">
        <f>IF('Production data'!U51="",#N/A,'Production data'!U51)</f>
        <v>#N/A</v>
      </c>
      <c r="V44" s="191" t="e">
        <f>IF('Production data'!V51="",#N/A,'Production data'!V51)</f>
        <v>#N/A</v>
      </c>
      <c r="W44" s="191" t="e">
        <f>IF('Production data'!S51="",#N/A,'Production data'!S51)</f>
        <v>#N/A</v>
      </c>
      <c r="X44" s="191" t="e">
        <f>IF('Production data'!T51="",#N/A,'Production data'!T51)</f>
        <v>#N/A</v>
      </c>
      <c r="Y44" s="191" t="e">
        <f>IF('Input Laying'!E52="",#N/A,'Production data'!F51)</f>
        <v>#N/A</v>
      </c>
      <c r="Z44" s="191">
        <f>IF('Production data'!G51="",#N/A,'Production data'!G51)</f>
        <v>216.47543184536806</v>
      </c>
      <c r="AD44" s="191">
        <f>IF('Input Laying'!AF52=0,0,(IF('Input Laying'!N52&gt;0,1,IF('Input Laying'!O52&gt;0,0,1))))+AD43</f>
        <v>0</v>
      </c>
      <c r="AE44" s="191">
        <v>54</v>
      </c>
      <c r="AF44" s="191">
        <f t="shared" si="19"/>
        <v>90.697063234176312</v>
      </c>
      <c r="AG44" s="191">
        <f t="shared" si="16"/>
        <v>90.247063234176309</v>
      </c>
      <c r="AH44" s="191">
        <f t="shared" si="16"/>
        <v>89.797063234176306</v>
      </c>
      <c r="AI44" s="191">
        <f t="shared" si="11"/>
        <v>88.297063234176306</v>
      </c>
      <c r="AJ44" s="191">
        <f t="shared" si="16"/>
        <v>87.847063234176304</v>
      </c>
      <c r="AK44" s="191">
        <f t="shared" si="16"/>
        <v>87.397063234176301</v>
      </c>
      <c r="AL44" s="191">
        <f t="shared" si="16"/>
        <v>86.947063234176298</v>
      </c>
      <c r="AM44" s="191">
        <f t="shared" si="17"/>
        <v>63.64</v>
      </c>
      <c r="AN44" s="191">
        <f t="shared" si="20"/>
        <v>63.34</v>
      </c>
      <c r="AO44" s="191">
        <f t="shared" si="20"/>
        <v>63.040000000000006</v>
      </c>
      <c r="AP44" s="191">
        <f t="shared" si="20"/>
        <v>62.740000000000009</v>
      </c>
      <c r="AQ44" s="191">
        <f t="shared" si="20"/>
        <v>62.440000000000012</v>
      </c>
      <c r="AR44" s="191">
        <f t="shared" si="20"/>
        <v>62.140000000000015</v>
      </c>
      <c r="AS44" s="191">
        <f t="shared" si="20"/>
        <v>61.840000000000018</v>
      </c>
      <c r="AT44" s="191">
        <f t="shared" si="18"/>
        <v>6.3487944263923417</v>
      </c>
      <c r="AU44" s="191">
        <f t="shared" si="5"/>
        <v>220.83795542454899</v>
      </c>
      <c r="AV44" s="191">
        <v>54</v>
      </c>
      <c r="AW44" s="191">
        <f t="shared" si="9"/>
        <v>404.03727729560865</v>
      </c>
      <c r="AX44" s="191">
        <f t="shared" si="10"/>
        <v>13.623864122335146</v>
      </c>
      <c r="AZ44" s="191">
        <v>54</v>
      </c>
      <c r="BA44" s="191">
        <f>IF('Egg grading'!C48="",IF('Egg grading'!B48="","",'Egg grading'!B48),'Egg grading'!C48)</f>
        <v>63.64</v>
      </c>
      <c r="BC44" s="191" t="str">
        <f>IF(BC43="",'Egg grading'!K48,BC43+'Egg grading'!K48)</f>
        <v/>
      </c>
      <c r="BD44" s="191" t="str">
        <f>IF(BD43="",'Egg grading'!L48,BD43+'Egg grading'!L48)</f>
        <v/>
      </c>
      <c r="BE44" s="191" t="str">
        <f>IF(BE43="",'Egg grading'!M48,BE43+'Egg grading'!M48)</f>
        <v/>
      </c>
      <c r="BF44" s="191" t="str">
        <f>IF(BF43="",'Egg grading'!N48,BF43+'Egg grading'!N48)</f>
        <v/>
      </c>
    </row>
    <row r="45" spans="1:58" x14ac:dyDescent="0.2">
      <c r="A45" s="194">
        <f>'Production data'!B52</f>
        <v>55</v>
      </c>
      <c r="B45" s="191" t="e">
        <f>IF('Production data'!C52="",#N/A,'Production data'!C52)</f>
        <v>#N/A</v>
      </c>
      <c r="C45" s="191" t="e">
        <f>IF(OR('Input Laying'!E53=0,'Input Laying'!D52=0),#N/A,'Input Laying'!E53/'Input Laying'!D52*100*25)</f>
        <v>#N/A</v>
      </c>
      <c r="D45" s="191">
        <f>IF(OR('Production data'!D52="",'Production data'!D52=0),0,'Production data'!D52)</f>
        <v>0</v>
      </c>
      <c r="E45" s="191">
        <f>IF(OR(Std!B58="",Std!B58=0),0,Std!B58)</f>
        <v>90.356178521997279</v>
      </c>
      <c r="F45" s="193" t="e">
        <f>IF('Production data'!H52="",#N/A,'Production data'!H52)</f>
        <v>#N/A</v>
      </c>
      <c r="G45" s="193">
        <f>IF(OR(Std!C58="",Std!C58=0),#N/A,Std!C58)</f>
        <v>63.655254871975345</v>
      </c>
      <c r="H45" s="191" t="e">
        <f t="shared" si="14"/>
        <v>#N/A</v>
      </c>
      <c r="I45" s="191">
        <f>('Input Laying'!AH53-1000)/25</f>
        <v>-40</v>
      </c>
      <c r="J45" s="191">
        <f>IF((Std!D58-1000)/25&lt;15,#N/A,(Std!D58-1000)/25)</f>
        <v>37.367878925617617</v>
      </c>
      <c r="K45" s="191" t="e">
        <f>IF('Production data'!P52="",#N/A,'Production data'!P52)</f>
        <v>#N/A</v>
      </c>
      <c r="L45" s="191" t="e">
        <f>IF('Production data'!L52="",#N/A,'Production data'!L52)</f>
        <v>#N/A</v>
      </c>
      <c r="M45" s="191">
        <f>IF(Std!E58=0,#N/A,Std!E58)</f>
        <v>57.516455730754416</v>
      </c>
      <c r="O45" s="191" t="e">
        <f>IF('Input Laying'!V53=0,NA(),IF('Input Laying'!V53="",NA(),'Input Laying'!W53/'Input Laying'!O53*100))</f>
        <v>#N/A</v>
      </c>
      <c r="P45" s="191" t="e">
        <f>IF('Input Laying'!T53="",#N/A,'Input Laying'!T53/'Input Laying'!N53*100)</f>
        <v>#N/A</v>
      </c>
      <c r="Q45" s="191" t="e">
        <f>IF('Input Laying'!U53="",#N/A,'Input Laying'!U53/'Input Laying'!N53*100)</f>
        <v>#N/A</v>
      </c>
      <c r="R45" s="191" t="str">
        <f>IF('Input Laying'!V53="",#N/A,'Production data'!W52)</f>
        <v/>
      </c>
      <c r="S45" s="191">
        <f>'Input Laying'!D53*7+'Graph values'!S44</f>
        <v>0</v>
      </c>
      <c r="T45" s="191" t="str">
        <f>IF(OR('Input Laying'!AF53="",'Input Laying'!D53=0,'Input Laying'!O53=0),"#N/A",'Input Laying'!AF53/'Input Laying'!D53/(AD45*7)*1000)</f>
        <v>#N/A</v>
      </c>
      <c r="U45" s="191" t="e">
        <f>IF('Production data'!U52="",#N/A,'Production data'!U52)</f>
        <v>#N/A</v>
      </c>
      <c r="V45" s="191" t="e">
        <f>IF('Production data'!V52="",#N/A,'Production data'!V52)</f>
        <v>#N/A</v>
      </c>
      <c r="W45" s="191" t="e">
        <f>IF('Production data'!S52="",#N/A,'Production data'!S52)</f>
        <v>#N/A</v>
      </c>
      <c r="X45" s="191" t="e">
        <f>IF('Production data'!T52="",#N/A,'Production data'!T52)</f>
        <v>#N/A</v>
      </c>
      <c r="Y45" s="191" t="e">
        <f>IF('Input Laying'!E53="",#N/A,'Production data'!F52)</f>
        <v>#N/A</v>
      </c>
      <c r="Z45" s="191">
        <f>IF('Production data'!G52="",#N/A,'Production data'!G52)</f>
        <v>222.5696308044341</v>
      </c>
      <c r="AD45" s="191">
        <f>IF('Input Laying'!AF53=0,0,(IF('Input Laying'!N53&gt;0,1,IF('Input Laying'!O53&gt;0,0,1))))+AD44</f>
        <v>0</v>
      </c>
      <c r="AE45" s="191">
        <v>55</v>
      </c>
      <c r="AF45" s="191">
        <f t="shared" si="19"/>
        <v>90.356178521997279</v>
      </c>
      <c r="AG45" s="191">
        <f t="shared" si="16"/>
        <v>89.906178521997276</v>
      </c>
      <c r="AH45" s="191">
        <f t="shared" si="16"/>
        <v>89.456178521997273</v>
      </c>
      <c r="AI45" s="191">
        <f t="shared" si="11"/>
        <v>87.956178521997273</v>
      </c>
      <c r="AJ45" s="191">
        <f t="shared" si="16"/>
        <v>87.506178521997271</v>
      </c>
      <c r="AK45" s="191">
        <f t="shared" si="16"/>
        <v>87.056178521997268</v>
      </c>
      <c r="AL45" s="191">
        <f t="shared" si="16"/>
        <v>86.606178521997265</v>
      </c>
      <c r="AM45" s="191">
        <f t="shared" si="17"/>
        <v>63.655254871975345</v>
      </c>
      <c r="AN45" s="191">
        <f t="shared" si="20"/>
        <v>63.355254871975347</v>
      </c>
      <c r="AO45" s="191">
        <f t="shared" si="20"/>
        <v>63.05525487197535</v>
      </c>
      <c r="AP45" s="191">
        <f t="shared" si="20"/>
        <v>62.755254871975353</v>
      </c>
      <c r="AQ45" s="191">
        <f t="shared" si="20"/>
        <v>62.455254871975356</v>
      </c>
      <c r="AR45" s="191">
        <f t="shared" si="20"/>
        <v>62.155254871975359</v>
      </c>
      <c r="AS45" s="191">
        <f t="shared" si="20"/>
        <v>61.855254871975362</v>
      </c>
      <c r="AT45" s="191">
        <f t="shared" si="18"/>
        <v>6.3249324965398088</v>
      </c>
      <c r="AU45" s="191">
        <f t="shared" si="5"/>
        <v>227.16288792108881</v>
      </c>
      <c r="AV45" s="191">
        <v>55</v>
      </c>
      <c r="AW45" s="191">
        <f t="shared" si="9"/>
        <v>402.61519011528094</v>
      </c>
      <c r="AX45" s="191">
        <f t="shared" si="10"/>
        <v>14.026479312450427</v>
      </c>
      <c r="AZ45" s="191">
        <v>55</v>
      </c>
      <c r="BA45" s="191">
        <f>IF('Egg grading'!C49="",IF('Egg grading'!B49="","",'Egg grading'!B49),'Egg grading'!C49)</f>
        <v>63.655254871975345</v>
      </c>
      <c r="BC45" s="191" t="str">
        <f>IF(BC44="",'Egg grading'!K49,BC44+'Egg grading'!K49)</f>
        <v/>
      </c>
      <c r="BD45" s="191" t="str">
        <f>IF(BD44="",'Egg grading'!L49,BD44+'Egg grading'!L49)</f>
        <v/>
      </c>
      <c r="BE45" s="191" t="str">
        <f>IF(BE44="",'Egg grading'!M49,BE44+'Egg grading'!M49)</f>
        <v/>
      </c>
      <c r="BF45" s="191" t="str">
        <f>IF(BF44="",'Egg grading'!N49,BF44+'Egg grading'!N49)</f>
        <v/>
      </c>
    </row>
    <row r="46" spans="1:58" x14ac:dyDescent="0.2">
      <c r="A46" s="194">
        <f>'Production data'!B53</f>
        <v>56</v>
      </c>
      <c r="B46" s="191" t="e">
        <f>IF('Production data'!C53="",#N/A,'Production data'!C53)</f>
        <v>#N/A</v>
      </c>
      <c r="C46" s="191" t="e">
        <f>IF(OR('Input Laying'!E54=0,'Input Laying'!D53=0),#N/A,'Input Laying'!E54/'Input Laying'!D53*100*25)</f>
        <v>#N/A</v>
      </c>
      <c r="D46" s="191">
        <f>IF(OR('Production data'!D53="",'Production data'!D53=0),0,'Production data'!D53)</f>
        <v>0</v>
      </c>
      <c r="E46" s="191">
        <f>IF(OR(Std!B59="",Std!B59=0),0,Std!B59)</f>
        <v>89.998605852268298</v>
      </c>
      <c r="F46" s="193" t="e">
        <f>IF('Production data'!H53="",#N/A,'Production data'!H53)</f>
        <v>#N/A</v>
      </c>
      <c r="G46" s="193">
        <f>IF(OR(Std!C59="",Std!C59=0),#N/A,Std!C59)</f>
        <v>63.68611659004501</v>
      </c>
      <c r="H46" s="191" t="e">
        <f t="shared" si="14"/>
        <v>#N/A</v>
      </c>
      <c r="I46" s="191">
        <f>('Input Laying'!AH54-1000)/25</f>
        <v>-40</v>
      </c>
      <c r="J46" s="191">
        <f>IF((Std!D59-1000)/25&lt;15,#N/A,(Std!D59-1000)/25)</f>
        <v>37.461896030397227</v>
      </c>
      <c r="K46" s="191" t="e">
        <f>IF('Production data'!P53="",#N/A,'Production data'!P53)</f>
        <v>#N/A</v>
      </c>
      <c r="L46" s="191" t="e">
        <f>IF('Production data'!L53="",#N/A,'Production data'!L53)</f>
        <v>#N/A</v>
      </c>
      <c r="M46" s="191">
        <f>IF(Std!E59=0,#N/A,Std!E59)</f>
        <v>57.316617052490663</v>
      </c>
      <c r="O46" s="191" t="e">
        <f>IF('Input Laying'!V54=0,NA(),IF('Input Laying'!V54="",NA(),'Input Laying'!W54/'Input Laying'!O54*100))</f>
        <v>#N/A</v>
      </c>
      <c r="P46" s="191" t="e">
        <f>IF('Input Laying'!T54="",#N/A,'Input Laying'!T54/'Input Laying'!N54*100)</f>
        <v>#N/A</v>
      </c>
      <c r="Q46" s="191" t="e">
        <f>IF('Input Laying'!U54="",#N/A,'Input Laying'!U54/'Input Laying'!N54*100)</f>
        <v>#N/A</v>
      </c>
      <c r="R46" s="191" t="str">
        <f>IF('Input Laying'!V54="",#N/A,'Production data'!W53)</f>
        <v/>
      </c>
      <c r="S46" s="191">
        <f>'Input Laying'!D54*7+'Graph values'!S45</f>
        <v>0</v>
      </c>
      <c r="T46" s="191" t="str">
        <f>IF(OR('Input Laying'!AF54="",'Input Laying'!D54=0,'Input Laying'!O54=0),"#N/A",'Input Laying'!AF54/'Input Laying'!D54/(AD46*7)*1000)</f>
        <v>#N/A</v>
      </c>
      <c r="U46" s="191" t="e">
        <f>IF('Production data'!U53="",#N/A,'Production data'!U53)</f>
        <v>#N/A</v>
      </c>
      <c r="V46" s="191" t="e">
        <f>IF('Production data'!V53="",#N/A,'Production data'!V53)</f>
        <v>#N/A</v>
      </c>
      <c r="W46" s="191" t="e">
        <f>IF('Production data'!S53="",#N/A,'Production data'!S53)</f>
        <v>#N/A</v>
      </c>
      <c r="X46" s="191" t="e">
        <f>IF('Production data'!T53="",#N/A,'Production data'!T53)</f>
        <v>#N/A</v>
      </c>
      <c r="Y46" s="191" t="e">
        <f>IF('Input Laying'!E54="",#N/A,'Production data'!F53)</f>
        <v>#N/A</v>
      </c>
      <c r="Z46" s="191">
        <f>IF('Production data'!G53="",#N/A,'Production data'!G53)</f>
        <v>228.63366486787524</v>
      </c>
      <c r="AD46" s="191">
        <f>IF('Input Laying'!AF54=0,0,(IF('Input Laying'!N54&gt;0,1,IF('Input Laying'!O54&gt;0,0,1))))+AD45</f>
        <v>0</v>
      </c>
      <c r="AE46" s="191">
        <v>56</v>
      </c>
      <c r="AF46" s="191">
        <f t="shared" si="19"/>
        <v>89.998605852268298</v>
      </c>
      <c r="AG46" s="191">
        <f t="shared" ref="AG46:AL61" si="21">AF46-0.45</f>
        <v>89.548605852268295</v>
      </c>
      <c r="AH46" s="191">
        <f t="shared" si="21"/>
        <v>89.098605852268292</v>
      </c>
      <c r="AI46" s="191">
        <f t="shared" si="11"/>
        <v>87.598605852268292</v>
      </c>
      <c r="AJ46" s="191">
        <f t="shared" si="21"/>
        <v>87.14860585226829</v>
      </c>
      <c r="AK46" s="191">
        <f t="shared" si="21"/>
        <v>86.698605852268287</v>
      </c>
      <c r="AL46" s="191">
        <f t="shared" si="21"/>
        <v>86.248605852268284</v>
      </c>
      <c r="AM46" s="191">
        <f t="shared" si="17"/>
        <v>63.68611659004501</v>
      </c>
      <c r="AN46" s="191">
        <f t="shared" si="20"/>
        <v>63.386116590045013</v>
      </c>
      <c r="AO46" s="191">
        <f t="shared" si="20"/>
        <v>63.086116590045016</v>
      </c>
      <c r="AP46" s="191">
        <f t="shared" si="20"/>
        <v>62.786116590045019</v>
      </c>
      <c r="AQ46" s="191">
        <f t="shared" si="20"/>
        <v>62.486116590045022</v>
      </c>
      <c r="AR46" s="191">
        <f t="shared" si="20"/>
        <v>62.186116590045025</v>
      </c>
      <c r="AS46" s="191">
        <f t="shared" si="20"/>
        <v>61.886116590045027</v>
      </c>
      <c r="AT46" s="191">
        <f t="shared" si="18"/>
        <v>6.299902409658781</v>
      </c>
      <c r="AU46" s="191">
        <f t="shared" si="5"/>
        <v>233.46279033074759</v>
      </c>
      <c r="AV46" s="191">
        <v>56</v>
      </c>
      <c r="AW46" s="191">
        <f t="shared" si="9"/>
        <v>401.21631936743466</v>
      </c>
      <c r="AX46" s="191">
        <f t="shared" si="10"/>
        <v>14.427695631817862</v>
      </c>
      <c r="AZ46" s="191">
        <v>56</v>
      </c>
      <c r="BA46" s="191">
        <f>IF('Egg grading'!C50="",IF('Egg grading'!B50="","",'Egg grading'!B50),'Egg grading'!C50)</f>
        <v>63.68611659004501</v>
      </c>
      <c r="BC46" s="191" t="str">
        <f>IF(BC45="",'Egg grading'!K50,BC45+'Egg grading'!K50)</f>
        <v/>
      </c>
      <c r="BD46" s="191" t="str">
        <f>IF(BD45="",'Egg grading'!L50,BD45+'Egg grading'!L50)</f>
        <v/>
      </c>
      <c r="BE46" s="191" t="str">
        <f>IF(BE45="",'Egg grading'!M50,BE45+'Egg grading'!M50)</f>
        <v/>
      </c>
      <c r="BF46" s="191" t="str">
        <f>IF(BF45="",'Egg grading'!N50,BF45+'Egg grading'!N50)</f>
        <v/>
      </c>
    </row>
    <row r="47" spans="1:58" x14ac:dyDescent="0.2">
      <c r="A47" s="194">
        <f>'Production data'!B54</f>
        <v>57</v>
      </c>
      <c r="B47" s="191" t="e">
        <f>IF('Production data'!C54="",#N/A,'Production data'!C54)</f>
        <v>#N/A</v>
      </c>
      <c r="C47" s="191" t="e">
        <f>IF(OR('Input Laying'!E55=0,'Input Laying'!D54=0),#N/A,'Input Laying'!E55/'Input Laying'!D54*100*25)</f>
        <v>#N/A</v>
      </c>
      <c r="D47" s="191">
        <f>IF(OR('Production data'!D54="",'Production data'!D54=0),0,'Production data'!D54)</f>
        <v>0</v>
      </c>
      <c r="E47" s="191">
        <f>IF(OR(Std!B60="",Std!B60=0),0,Std!B60)</f>
        <v>89.625624982248567</v>
      </c>
      <c r="F47" s="193" t="e">
        <f>IF('Production data'!H54="",#N/A,'Production data'!H54)</f>
        <v>#N/A</v>
      </c>
      <c r="G47" s="193">
        <f>IF(OR(Std!C60="",Std!C60=0),#N/A,Std!C60)</f>
        <v>63.716978308114676</v>
      </c>
      <c r="H47" s="191" t="e">
        <f t="shared" si="14"/>
        <v>#N/A</v>
      </c>
      <c r="I47" s="191">
        <f>('Input Laying'!AH55-1000)/25</f>
        <v>-40</v>
      </c>
      <c r="J47" s="191">
        <f>IF((Std!D60-1000)/25&lt;15,#N/A,(Std!D60-1000)/25)</f>
        <v>37.551008108182359</v>
      </c>
      <c r="K47" s="191" t="e">
        <f>IF('Production data'!P54="",#N/A,'Production data'!P54)</f>
        <v>#N/A</v>
      </c>
      <c r="L47" s="191" t="e">
        <f>IF('Production data'!L54="",#N/A,'Production data'!L54)</f>
        <v>#N/A</v>
      </c>
      <c r="M47" s="191">
        <f>IF(Std!E60=0,#N/A,Std!E60)</f>
        <v>57.106740028451533</v>
      </c>
      <c r="O47" s="191" t="e">
        <f>IF('Input Laying'!V55=0,NA(),IF('Input Laying'!V55="",NA(),'Input Laying'!W55/'Input Laying'!O55*100))</f>
        <v>#N/A</v>
      </c>
      <c r="P47" s="191" t="e">
        <f>IF('Input Laying'!T55="",#N/A,'Input Laying'!T55/'Input Laying'!N55*100)</f>
        <v>#N/A</v>
      </c>
      <c r="Q47" s="191" t="e">
        <f>IF('Input Laying'!U55="",#N/A,'Input Laying'!U55/'Input Laying'!N55*100)</f>
        <v>#N/A</v>
      </c>
      <c r="R47" s="191" t="str">
        <f>IF('Input Laying'!V55="",#N/A,'Production data'!W54)</f>
        <v/>
      </c>
      <c r="S47" s="191">
        <f>'Input Laying'!D55*7+'Graph values'!S46</f>
        <v>0</v>
      </c>
      <c r="T47" s="191" t="str">
        <f>IF(OR('Input Laying'!AF55="",'Input Laying'!D55=0,'Input Laying'!O55=0),"#N/A",'Input Laying'!AF55/'Input Laying'!D55/(AD47*7)*1000)</f>
        <v>#N/A</v>
      </c>
      <c r="U47" s="191" t="e">
        <f>IF('Production data'!U54="",#N/A,'Production data'!U54)</f>
        <v>#N/A</v>
      </c>
      <c r="V47" s="191" t="e">
        <f>IF('Production data'!V54="",#N/A,'Production data'!V54)</f>
        <v>#N/A</v>
      </c>
      <c r="W47" s="191" t="e">
        <f>IF('Production data'!S54="",#N/A,'Production data'!S54)</f>
        <v>#N/A</v>
      </c>
      <c r="X47" s="191" t="e">
        <f>IF('Production data'!T54="",#N/A,'Production data'!T54)</f>
        <v>#N/A</v>
      </c>
      <c r="Y47" s="191" t="e">
        <f>IF('Input Laying'!E55="",#N/A,'Production data'!F54)</f>
        <v>#N/A</v>
      </c>
      <c r="Z47" s="191">
        <f>IF('Production data'!G54="",#N/A,'Production data'!G54)</f>
        <v>234.66654493668034</v>
      </c>
      <c r="AD47" s="191">
        <f>IF('Input Laying'!AF55=0,0,(IF('Input Laying'!N55&gt;0,1,IF('Input Laying'!O55&gt;0,0,1))))+AD46</f>
        <v>0</v>
      </c>
      <c r="AE47" s="191">
        <v>57</v>
      </c>
      <c r="AF47" s="191">
        <f t="shared" si="19"/>
        <v>89.625624982248567</v>
      </c>
      <c r="AG47" s="191">
        <f t="shared" si="21"/>
        <v>89.175624982248564</v>
      </c>
      <c r="AH47" s="191">
        <f t="shared" si="21"/>
        <v>88.725624982248561</v>
      </c>
      <c r="AI47" s="191">
        <f t="shared" si="11"/>
        <v>87.225624982248561</v>
      </c>
      <c r="AJ47" s="191">
        <f t="shared" si="21"/>
        <v>86.775624982248559</v>
      </c>
      <c r="AK47" s="191">
        <f t="shared" si="21"/>
        <v>86.325624982248556</v>
      </c>
      <c r="AL47" s="191">
        <f t="shared" si="21"/>
        <v>85.875624982248553</v>
      </c>
      <c r="AM47" s="191">
        <f t="shared" si="17"/>
        <v>63.716978308114676</v>
      </c>
      <c r="AN47" s="191">
        <f t="shared" si="20"/>
        <v>63.416978308114679</v>
      </c>
      <c r="AO47" s="191">
        <f t="shared" si="20"/>
        <v>63.116978308114682</v>
      </c>
      <c r="AP47" s="191">
        <f t="shared" si="20"/>
        <v>62.816978308114685</v>
      </c>
      <c r="AQ47" s="191">
        <f t="shared" si="20"/>
        <v>62.516978308114687</v>
      </c>
      <c r="AR47" s="191">
        <f t="shared" si="20"/>
        <v>62.21697830811469</v>
      </c>
      <c r="AS47" s="191">
        <f t="shared" si="20"/>
        <v>61.916978308114693</v>
      </c>
      <c r="AT47" s="191">
        <f t="shared" si="18"/>
        <v>6.2737937487573996</v>
      </c>
      <c r="AU47" s="191">
        <f t="shared" si="5"/>
        <v>239.73658407950501</v>
      </c>
      <c r="AV47" s="191">
        <v>57</v>
      </c>
      <c r="AW47" s="191">
        <f t="shared" si="9"/>
        <v>399.74718019916071</v>
      </c>
      <c r="AX47" s="191">
        <f t="shared" si="10"/>
        <v>14.827442812017022</v>
      </c>
      <c r="AZ47" s="191">
        <v>57</v>
      </c>
      <c r="BA47" s="191">
        <f>IF('Egg grading'!C51="",IF('Egg grading'!B51="","",'Egg grading'!B51),'Egg grading'!C51)</f>
        <v>63.716978308114676</v>
      </c>
      <c r="BC47" s="191" t="str">
        <f>IF(BC46="",'Egg grading'!K51,BC46+'Egg grading'!K51)</f>
        <v/>
      </c>
      <c r="BD47" s="191" t="str">
        <f>IF(BD46="",'Egg grading'!L51,BD46+'Egg grading'!L51)</f>
        <v/>
      </c>
      <c r="BE47" s="191" t="str">
        <f>IF(BE46="",'Egg grading'!M51,BE46+'Egg grading'!M51)</f>
        <v/>
      </c>
      <c r="BF47" s="191" t="str">
        <f>IF(BF46="",'Egg grading'!N51,BF46+'Egg grading'!N51)</f>
        <v/>
      </c>
    </row>
    <row r="48" spans="1:58" x14ac:dyDescent="0.2">
      <c r="A48" s="194">
        <f>'Production data'!B55</f>
        <v>58</v>
      </c>
      <c r="B48" s="191" t="e">
        <f>IF('Production data'!C55="",#N/A,'Production data'!C55)</f>
        <v>#N/A</v>
      </c>
      <c r="C48" s="191" t="e">
        <f>IF(OR('Input Laying'!E56=0,'Input Laying'!D55=0),#N/A,'Input Laying'!E56/'Input Laying'!D55*100*25)</f>
        <v>#N/A</v>
      </c>
      <c r="D48" s="191">
        <f>IF(OR('Production data'!D55="",'Production data'!D55=0),0,'Production data'!D55)</f>
        <v>0</v>
      </c>
      <c r="E48" s="191">
        <f>IF(OR(Std!B61="",Std!B61=0),0,Std!B61)</f>
        <v>89.23847024345315</v>
      </c>
      <c r="F48" s="193" t="e">
        <f>IF('Production data'!H55="",#N/A,'Production data'!H55)</f>
        <v>#N/A</v>
      </c>
      <c r="G48" s="193">
        <f>IF(OR(Std!C61="",Std!C61=0),#N/A,Std!C61)</f>
        <v>63.747840026184335</v>
      </c>
      <c r="H48" s="191" t="e">
        <f t="shared" si="14"/>
        <v>#N/A</v>
      </c>
      <c r="I48" s="191">
        <f>('Input Laying'!AH56-1000)/25</f>
        <v>-40</v>
      </c>
      <c r="J48" s="191">
        <f>IF((Std!D61-1000)/25&lt;15,#N/A,(Std!D61-1000)/25)</f>
        <v>37.635376420206512</v>
      </c>
      <c r="K48" s="191" t="e">
        <f>IF('Production data'!P55="",#N/A,'Production data'!P55)</f>
        <v>#N/A</v>
      </c>
      <c r="L48" s="191" t="e">
        <f>IF('Production data'!L55="",#N/A,'Production data'!L55)</f>
        <v>#N/A</v>
      </c>
      <c r="M48" s="191">
        <f>IF(Std!E61=0,#N/A,Std!E61)</f>
        <v>56.887597252610618</v>
      </c>
      <c r="O48" s="191" t="e">
        <f>IF('Input Laying'!V56=0,NA(),IF('Input Laying'!V56="",NA(),'Input Laying'!W56/'Input Laying'!O56*100))</f>
        <v>#N/A</v>
      </c>
      <c r="P48" s="191" t="e">
        <f>IF('Input Laying'!T56="",#N/A,'Input Laying'!T56/'Input Laying'!N56*100)</f>
        <v>#N/A</v>
      </c>
      <c r="Q48" s="191" t="e">
        <f>IF('Input Laying'!U56="",#N/A,'Input Laying'!U56/'Input Laying'!N56*100)</f>
        <v>#N/A</v>
      </c>
      <c r="R48" s="191" t="str">
        <f>IF('Input Laying'!V56="",#N/A,'Production data'!W55)</f>
        <v/>
      </c>
      <c r="S48" s="191">
        <f>'Input Laying'!D56*7+'Graph values'!S47</f>
        <v>0</v>
      </c>
      <c r="T48" s="191" t="str">
        <f>IF(OR('Input Laying'!AF56="",'Input Laying'!D56=0,'Input Laying'!O56=0),"#N/A",'Input Laying'!AF56/'Input Laying'!D56/(AD48*7)*1000)</f>
        <v>#N/A</v>
      </c>
      <c r="U48" s="191" t="e">
        <f>IF('Production data'!U55="",#N/A,'Production data'!U55)</f>
        <v>#N/A</v>
      </c>
      <c r="V48" s="191" t="e">
        <f>IF('Production data'!V55="",#N/A,'Production data'!V55)</f>
        <v>#N/A</v>
      </c>
      <c r="W48" s="191" t="e">
        <f>IF('Production data'!S55="",#N/A,'Production data'!S55)</f>
        <v>#N/A</v>
      </c>
      <c r="X48" s="191" t="e">
        <f>IF('Production data'!T55="",#N/A,'Production data'!T55)</f>
        <v>#N/A</v>
      </c>
      <c r="Y48" s="191" t="e">
        <f>IF('Input Laying'!E56="",#N/A,'Production data'!F55)</f>
        <v>#N/A</v>
      </c>
      <c r="Z48" s="191">
        <f>IF('Production data'!G55="",#N/A,'Production data'!G55)</f>
        <v>240.6673680205073</v>
      </c>
      <c r="AD48" s="191">
        <f>IF('Input Laying'!AF56=0,0,(IF('Input Laying'!N56&gt;0,1,IF('Input Laying'!O56&gt;0,0,1))))+AD47</f>
        <v>0</v>
      </c>
      <c r="AE48" s="191">
        <v>58</v>
      </c>
      <c r="AF48" s="191">
        <f t="shared" si="19"/>
        <v>89.23847024345315</v>
      </c>
      <c r="AG48" s="191">
        <f t="shared" si="21"/>
        <v>88.788470243453148</v>
      </c>
      <c r="AH48" s="191">
        <f t="shared" si="21"/>
        <v>88.338470243453145</v>
      </c>
      <c r="AI48" s="191">
        <f t="shared" si="11"/>
        <v>86.838470243453145</v>
      </c>
      <c r="AJ48" s="191">
        <f t="shared" si="21"/>
        <v>86.388470243453142</v>
      </c>
      <c r="AK48" s="191">
        <f t="shared" si="21"/>
        <v>85.938470243453139</v>
      </c>
      <c r="AL48" s="191">
        <f t="shared" si="21"/>
        <v>85.488470243453136</v>
      </c>
      <c r="AM48" s="191">
        <f t="shared" si="17"/>
        <v>63.747840026184335</v>
      </c>
      <c r="AN48" s="191">
        <f t="shared" si="20"/>
        <v>63.447840026184338</v>
      </c>
      <c r="AO48" s="191">
        <f t="shared" si="20"/>
        <v>63.14784002618434</v>
      </c>
      <c r="AP48" s="191">
        <f t="shared" si="20"/>
        <v>62.847840026184343</v>
      </c>
      <c r="AQ48" s="191">
        <f t="shared" si="20"/>
        <v>62.547840026184346</v>
      </c>
      <c r="AR48" s="191">
        <f t="shared" si="20"/>
        <v>62.247840026184349</v>
      </c>
      <c r="AS48" s="191">
        <f t="shared" si="20"/>
        <v>61.947840026184352</v>
      </c>
      <c r="AT48" s="191">
        <f t="shared" si="18"/>
        <v>6.2466929170417211</v>
      </c>
      <c r="AU48" s="191">
        <f t="shared" si="5"/>
        <v>245.98327699654672</v>
      </c>
      <c r="AV48" s="191">
        <v>58</v>
      </c>
      <c r="AW48" s="191">
        <f t="shared" si="9"/>
        <v>398.21318076827436</v>
      </c>
      <c r="AX48" s="191">
        <f t="shared" si="10"/>
        <v>15.225655992785297</v>
      </c>
      <c r="AZ48" s="191">
        <v>58</v>
      </c>
      <c r="BA48" s="191">
        <f>IF('Egg grading'!C52="",IF('Egg grading'!B52="","",'Egg grading'!B52),'Egg grading'!C52)</f>
        <v>63.747840026184335</v>
      </c>
      <c r="BC48" s="191" t="str">
        <f>IF(BC47="",'Egg grading'!K52,BC47+'Egg grading'!K52)</f>
        <v/>
      </c>
      <c r="BD48" s="191" t="str">
        <f>IF(BD47="",'Egg grading'!L52,BD47+'Egg grading'!L52)</f>
        <v/>
      </c>
      <c r="BE48" s="191" t="str">
        <f>IF(BE47="",'Egg grading'!M52,BE47+'Egg grading'!M52)</f>
        <v/>
      </c>
      <c r="BF48" s="191" t="str">
        <f>IF(BF47="",'Egg grading'!N52,BF47+'Egg grading'!N52)</f>
        <v/>
      </c>
    </row>
    <row r="49" spans="1:58" x14ac:dyDescent="0.2">
      <c r="A49" s="194">
        <f>'Production data'!B56</f>
        <v>59</v>
      </c>
      <c r="B49" s="191" t="e">
        <f>IF('Production data'!C56="",#N/A,'Production data'!C56)</f>
        <v>#N/A</v>
      </c>
      <c r="C49" s="191" t="e">
        <f>IF(OR('Input Laying'!E57=0,'Input Laying'!D56=0),#N/A,'Input Laying'!E57/'Input Laying'!D56*100*25)</f>
        <v>#N/A</v>
      </c>
      <c r="D49" s="191">
        <f>IF(OR('Production data'!D56="",'Production data'!D56=0),0,'Production data'!D56)</f>
        <v>0</v>
      </c>
      <c r="E49" s="191">
        <f>IF(OR(Std!B62="",Std!B62=0),0,Std!B62)</f>
        <v>88.838330541652724</v>
      </c>
      <c r="F49" s="193" t="e">
        <f>IF('Production data'!H56="",#N/A,'Production data'!H56)</f>
        <v>#N/A</v>
      </c>
      <c r="G49" s="193">
        <f>IF(OR(Std!C62="",Std!C62=0),#N/A,Std!C62)</f>
        <v>63.778701744254001</v>
      </c>
      <c r="H49" s="191" t="e">
        <f t="shared" si="14"/>
        <v>#N/A</v>
      </c>
      <c r="I49" s="191">
        <f>('Input Laying'!AH57-1000)/25</f>
        <v>-40</v>
      </c>
      <c r="J49" s="191">
        <f>IF((Std!D62-1000)/25&lt;15,#N/A,(Std!D62-1000)/25)</f>
        <v>37.715162063064234</v>
      </c>
      <c r="K49" s="191" t="e">
        <f>IF('Production data'!P56="",#N/A,'Production data'!P56)</f>
        <v>#N/A</v>
      </c>
      <c r="L49" s="191" t="e">
        <f>IF('Production data'!L56="",#N/A,'Production data'!L56)</f>
        <v>#N/A</v>
      </c>
      <c r="M49" s="191">
        <f>IF(Std!E62=0,#N/A,Std!E62)</f>
        <v>56.659933870735202</v>
      </c>
      <c r="O49" s="191" t="e">
        <f>IF('Input Laying'!V57=0,NA(),IF('Input Laying'!V57="",NA(),'Input Laying'!W57/'Input Laying'!O57*100))</f>
        <v>#N/A</v>
      </c>
      <c r="P49" s="191" t="e">
        <f>IF('Input Laying'!T57="",#N/A,'Input Laying'!T57/'Input Laying'!N57*100)</f>
        <v>#N/A</v>
      </c>
      <c r="Q49" s="191" t="e">
        <f>IF('Input Laying'!U57="",#N/A,'Input Laying'!U57/'Input Laying'!N57*100)</f>
        <v>#N/A</v>
      </c>
      <c r="R49" s="191" t="str">
        <f>IF('Input Laying'!V57="",#N/A,'Production data'!W56)</f>
        <v/>
      </c>
      <c r="S49" s="191">
        <f>'Input Laying'!D57*7+'Graph values'!S48</f>
        <v>0</v>
      </c>
      <c r="T49" s="191" t="str">
        <f>IF(OR('Input Laying'!AF57="",'Input Laying'!D57=0,'Input Laying'!O57=0),"#N/A",'Input Laying'!AF57/'Input Laying'!D57/(AD49*7)*1000)</f>
        <v>#N/A</v>
      </c>
      <c r="U49" s="191" t="e">
        <f>IF('Production data'!U56="",#N/A,'Production data'!U56)</f>
        <v>#N/A</v>
      </c>
      <c r="V49" s="191" t="e">
        <f>IF('Production data'!V56="",#N/A,'Production data'!V56)</f>
        <v>#N/A</v>
      </c>
      <c r="W49" s="191" t="e">
        <f>IF('Production data'!S56="",#N/A,'Production data'!S56)</f>
        <v>#N/A</v>
      </c>
      <c r="X49" s="191" t="e">
        <f>IF('Production data'!T56="",#N/A,'Production data'!T56)</f>
        <v>#N/A</v>
      </c>
      <c r="Y49" s="191" t="e">
        <f>IF('Input Laying'!E57="",#N/A,'Production data'!F56)</f>
        <v>#N/A</v>
      </c>
      <c r="Z49" s="191">
        <f>IF('Production data'!G56="",#N/A,'Production data'!G56)</f>
        <v>246.63531385430221</v>
      </c>
      <c r="AD49" s="191">
        <f>IF('Input Laying'!AF57=0,0,(IF('Input Laying'!N57&gt;0,1,IF('Input Laying'!O57&gt;0,0,1))))+AD48</f>
        <v>0</v>
      </c>
      <c r="AE49" s="191">
        <v>59</v>
      </c>
      <c r="AF49" s="191">
        <f t="shared" si="19"/>
        <v>88.838330541652724</v>
      </c>
      <c r="AG49" s="191">
        <f t="shared" si="21"/>
        <v>88.388330541652721</v>
      </c>
      <c r="AH49" s="191">
        <f t="shared" si="21"/>
        <v>87.938330541652718</v>
      </c>
      <c r="AI49" s="191">
        <f t="shared" si="11"/>
        <v>86.438330541652718</v>
      </c>
      <c r="AJ49" s="191">
        <f t="shared" si="21"/>
        <v>85.988330541652715</v>
      </c>
      <c r="AK49" s="191">
        <f t="shared" si="21"/>
        <v>85.538330541652712</v>
      </c>
      <c r="AL49" s="191">
        <f t="shared" si="21"/>
        <v>85.088330541652709</v>
      </c>
      <c r="AM49" s="191">
        <f t="shared" si="17"/>
        <v>63.778701744254001</v>
      </c>
      <c r="AN49" s="191">
        <f t="shared" si="20"/>
        <v>63.478701744254003</v>
      </c>
      <c r="AO49" s="191">
        <f t="shared" si="20"/>
        <v>63.178701744254006</v>
      </c>
      <c r="AP49" s="191">
        <f t="shared" si="20"/>
        <v>62.878701744254009</v>
      </c>
      <c r="AQ49" s="191">
        <f t="shared" si="20"/>
        <v>62.578701744254012</v>
      </c>
      <c r="AR49" s="191">
        <f t="shared" si="20"/>
        <v>62.278701744254015</v>
      </c>
      <c r="AS49" s="191">
        <f t="shared" si="20"/>
        <v>61.978701744254018</v>
      </c>
      <c r="AT49" s="191">
        <f t="shared" si="18"/>
        <v>6.2186831379156908</v>
      </c>
      <c r="AU49" s="191">
        <f t="shared" si="5"/>
        <v>252.20196013446241</v>
      </c>
      <c r="AV49" s="191">
        <v>59</v>
      </c>
      <c r="AW49" s="191">
        <f t="shared" si="9"/>
        <v>396.61953709514643</v>
      </c>
      <c r="AX49" s="191">
        <f t="shared" si="10"/>
        <v>15.622275529880444</v>
      </c>
      <c r="AZ49" s="191">
        <v>59</v>
      </c>
      <c r="BA49" s="191">
        <f>IF('Egg grading'!C53="",IF('Egg grading'!B53="","",'Egg grading'!B53),'Egg grading'!C53)</f>
        <v>63.778701744254001</v>
      </c>
      <c r="BC49" s="191" t="str">
        <f>IF(BC48="",'Egg grading'!K53,BC48+'Egg grading'!K53)</f>
        <v/>
      </c>
      <c r="BD49" s="191" t="str">
        <f>IF(BD48="",'Egg grading'!L53,BD48+'Egg grading'!L53)</f>
        <v/>
      </c>
      <c r="BE49" s="191" t="str">
        <f>IF(BE48="",'Egg grading'!M53,BE48+'Egg grading'!M53)</f>
        <v/>
      </c>
      <c r="BF49" s="191" t="str">
        <f>IF(BF48="",'Egg grading'!N53,BF48+'Egg grading'!N53)</f>
        <v/>
      </c>
    </row>
    <row r="50" spans="1:58" x14ac:dyDescent="0.2">
      <c r="A50" s="194">
        <f>'Production data'!B57</f>
        <v>60</v>
      </c>
      <c r="B50" s="191" t="e">
        <f>IF('Production data'!C57="",#N/A,'Production data'!C57)</f>
        <v>#N/A</v>
      </c>
      <c r="C50" s="191" t="e">
        <f>IF(OR('Input Laying'!E58=0,'Input Laying'!D57=0),#N/A,'Input Laying'!E58/'Input Laying'!D57*100*25)</f>
        <v>#N/A</v>
      </c>
      <c r="D50" s="191">
        <f>IF(OR('Production data'!D57="",'Production data'!D57=0),0,'Production data'!D57)</f>
        <v>0</v>
      </c>
      <c r="E50" s="191">
        <f>IF(OR(Std!B63="",Std!B63=0),0,Std!B63)</f>
        <v>88.426349356873871</v>
      </c>
      <c r="F50" s="193" t="e">
        <f>IF('Production data'!H57="",#N/A,'Production data'!H57)</f>
        <v>#N/A</v>
      </c>
      <c r="G50" s="193">
        <f>IF(OR(Std!C63="",Std!C63=0),#N/A,Std!C63)</f>
        <v>63.809563462323666</v>
      </c>
      <c r="H50" s="191" t="e">
        <f t="shared" si="14"/>
        <v>#N/A</v>
      </c>
      <c r="I50" s="191">
        <f>('Input Laying'!AH58-1000)/25</f>
        <v>-40</v>
      </c>
      <c r="J50" s="191">
        <f>IF((Std!D63-1000)/25&lt;15,#N/A,(Std!D63-1000)/25)</f>
        <v>37.790525968711172</v>
      </c>
      <c r="K50" s="191" t="e">
        <f>IF('Production data'!P57="",#N/A,'Production data'!P57)</f>
        <v>#N/A</v>
      </c>
      <c r="L50" s="191" t="e">
        <f>IF('Production data'!L57="",#N/A,'Production data'!L57)</f>
        <v>#N/A</v>
      </c>
      <c r="M50" s="191">
        <f>IF(Std!E63=0,#N/A,Std!E63)</f>
        <v>56.424467510290469</v>
      </c>
      <c r="O50" s="191" t="e">
        <f>IF('Input Laying'!V58=0,NA(),IF('Input Laying'!V58="",NA(),'Input Laying'!W58/'Input Laying'!O58*100))</f>
        <v>#N/A</v>
      </c>
      <c r="P50" s="191" t="e">
        <f>IF('Input Laying'!T58="",#N/A,'Input Laying'!T58/'Input Laying'!N58*100)</f>
        <v>#N/A</v>
      </c>
      <c r="Q50" s="191" t="e">
        <f>IF('Input Laying'!U58="",#N/A,'Input Laying'!U58/'Input Laying'!N58*100)</f>
        <v>#N/A</v>
      </c>
      <c r="R50" s="191" t="str">
        <f>IF('Input Laying'!V58="",#N/A,'Production data'!W57)</f>
        <v/>
      </c>
      <c r="S50" s="191">
        <f>'Input Laying'!D58*7+'Graph values'!S49</f>
        <v>0</v>
      </c>
      <c r="T50" s="191" t="str">
        <f>IF(OR('Input Laying'!AF58="",'Input Laying'!D58=0,'Input Laying'!O58=0),"#N/A",'Input Laying'!AF58/'Input Laying'!D58/(AD50*7)*1000)</f>
        <v>#N/A</v>
      </c>
      <c r="U50" s="191" t="e">
        <f>IF('Production data'!U57="",#N/A,'Production data'!U57)</f>
        <v>#N/A</v>
      </c>
      <c r="V50" s="191" t="e">
        <f>IF('Production data'!V57="",#N/A,'Production data'!V57)</f>
        <v>#N/A</v>
      </c>
      <c r="W50" s="191" t="e">
        <f>IF('Production data'!S57="",#N/A,'Production data'!S57)</f>
        <v>#N/A</v>
      </c>
      <c r="X50" s="191" t="e">
        <f>IF('Production data'!T57="",#N/A,'Production data'!T57)</f>
        <v>#N/A</v>
      </c>
      <c r="Y50" s="191" t="e">
        <f>IF('Input Laying'!E58="",#N/A,'Production data'!F57)</f>
        <v>#N/A</v>
      </c>
      <c r="Z50" s="191">
        <f>IF('Production data'!G57="",#N/A,'Production data'!G57)</f>
        <v>252.56964153018174</v>
      </c>
      <c r="AD50" s="191">
        <f>IF('Input Laying'!AF58=0,0,(IF('Input Laying'!N58&gt;0,1,IF('Input Laying'!O58&gt;0,0,1))))+AD49</f>
        <v>0</v>
      </c>
      <c r="AE50" s="191">
        <v>60</v>
      </c>
      <c r="AF50" s="191">
        <f t="shared" si="19"/>
        <v>88.426349356873871</v>
      </c>
      <c r="AG50" s="191">
        <f t="shared" si="21"/>
        <v>87.976349356873868</v>
      </c>
      <c r="AH50" s="191">
        <f t="shared" si="21"/>
        <v>87.526349356873865</v>
      </c>
      <c r="AI50" s="191">
        <f t="shared" si="11"/>
        <v>86.026349356873865</v>
      </c>
      <c r="AJ50" s="191">
        <f t="shared" si="21"/>
        <v>85.576349356873862</v>
      </c>
      <c r="AK50" s="191">
        <f t="shared" si="21"/>
        <v>85.12634935687386</v>
      </c>
      <c r="AL50" s="191">
        <f t="shared" si="21"/>
        <v>84.676349356873857</v>
      </c>
      <c r="AM50" s="191">
        <f t="shared" si="17"/>
        <v>63.809563462323666</v>
      </c>
      <c r="AN50" s="191">
        <f t="shared" si="20"/>
        <v>63.509563462323669</v>
      </c>
      <c r="AO50" s="191">
        <f t="shared" si="20"/>
        <v>63.209563462323672</v>
      </c>
      <c r="AP50" s="191">
        <f t="shared" si="20"/>
        <v>62.909563462323675</v>
      </c>
      <c r="AQ50" s="191">
        <f t="shared" si="20"/>
        <v>62.609563462323678</v>
      </c>
      <c r="AR50" s="191">
        <f t="shared" si="20"/>
        <v>62.30956346232368</v>
      </c>
      <c r="AS50" s="191">
        <f t="shared" si="20"/>
        <v>62.009563462323683</v>
      </c>
      <c r="AT50" s="191">
        <f t="shared" si="18"/>
        <v>6.1898444549811709</v>
      </c>
      <c r="AU50" s="191">
        <f t="shared" si="5"/>
        <v>258.39180458944361</v>
      </c>
      <c r="AV50" s="191">
        <v>60</v>
      </c>
      <c r="AW50" s="191">
        <f t="shared" si="9"/>
        <v>394.97127257203329</v>
      </c>
      <c r="AX50" s="191">
        <f t="shared" si="10"/>
        <v>16.017246802452476</v>
      </c>
      <c r="AZ50" s="191">
        <v>60</v>
      </c>
      <c r="BA50" s="191">
        <f>IF('Egg grading'!C54="",IF('Egg grading'!B54="","",'Egg grading'!B54),'Egg grading'!C54)</f>
        <v>63.809563462323666</v>
      </c>
      <c r="BC50" s="191" t="str">
        <f>IF(BC49="",'Egg grading'!K54,BC49+'Egg grading'!K54)</f>
        <v/>
      </c>
      <c r="BD50" s="191" t="str">
        <f>IF(BD49="",'Egg grading'!L54,BD49+'Egg grading'!L54)</f>
        <v/>
      </c>
      <c r="BE50" s="191" t="str">
        <f>IF(BE49="",'Egg grading'!M54,BE49+'Egg grading'!M54)</f>
        <v/>
      </c>
      <c r="BF50" s="191" t="str">
        <f>IF(BF49="",'Egg grading'!N54,BF49+'Egg grading'!N54)</f>
        <v/>
      </c>
    </row>
    <row r="51" spans="1:58" x14ac:dyDescent="0.2">
      <c r="A51" s="194">
        <f>'Production data'!B58</f>
        <v>61</v>
      </c>
      <c r="B51" s="191" t="e">
        <f>IF('Production data'!C58="",#N/A,'Production data'!C58)</f>
        <v>#N/A</v>
      </c>
      <c r="C51" s="191" t="e">
        <f>IF(OR('Input Laying'!E59=0,'Input Laying'!D58=0),#N/A,'Input Laying'!E59/'Input Laying'!D58*100*25)</f>
        <v>#N/A</v>
      </c>
      <c r="D51" s="191">
        <f>IF(OR('Production data'!D58="",'Production data'!D58=0),0,'Production data'!D58)</f>
        <v>0</v>
      </c>
      <c r="E51" s="191">
        <f>IF(OR(Std!B64="",Std!B64=0),0,Std!B64)</f>
        <v>88.003624743398731</v>
      </c>
      <c r="F51" s="193" t="e">
        <f>IF('Production data'!H58="",#N/A,'Production data'!H58)</f>
        <v>#N/A</v>
      </c>
      <c r="G51" s="193">
        <f>IF(OR(Std!C64="",Std!C64=0),#N/A,Std!C64)</f>
        <v>63.840425180393325</v>
      </c>
      <c r="H51" s="191" t="e">
        <f t="shared" si="14"/>
        <v>#N/A</v>
      </c>
      <c r="I51" s="191">
        <f>('Input Laying'!AH59-1000)/25</f>
        <v>-40</v>
      </c>
      <c r="J51" s="191">
        <f>IF((Std!D64-1000)/25&lt;15,#N/A,(Std!D64-1000)/25)</f>
        <v>37.861628904463984</v>
      </c>
      <c r="K51" s="191" t="e">
        <f>IF('Production data'!P58="",#N/A,'Production data'!P58)</f>
        <v>#N/A</v>
      </c>
      <c r="L51" s="191" t="e">
        <f>IF('Production data'!L58="",#N/A,'Production data'!L58)</f>
        <v>#N/A</v>
      </c>
      <c r="M51" s="191">
        <f>IF(Std!E64=0,#N/A,Std!E64)</f>
        <v>56.18188821034358</v>
      </c>
      <c r="O51" s="191" t="e">
        <f>IF('Input Laying'!V59=0,NA(),IF('Input Laying'!V59="",NA(),'Input Laying'!W59/'Input Laying'!O59*100))</f>
        <v>#N/A</v>
      </c>
      <c r="P51" s="191" t="e">
        <f>IF('Input Laying'!T59="",#N/A,'Input Laying'!T59/'Input Laying'!N59*100)</f>
        <v>#N/A</v>
      </c>
      <c r="Q51" s="191" t="e">
        <f>IF('Input Laying'!U59="",#N/A,'Input Laying'!U59/'Input Laying'!N59*100)</f>
        <v>#N/A</v>
      </c>
      <c r="R51" s="191" t="str">
        <f>IF('Input Laying'!V59="",#N/A,'Production data'!W58)</f>
        <v/>
      </c>
      <c r="S51" s="191">
        <f>'Input Laying'!D59*7+'Graph values'!S50</f>
        <v>0</v>
      </c>
      <c r="T51" s="191" t="str">
        <f>IF(OR('Input Laying'!AF59="",'Input Laying'!D59=0,'Input Laying'!O59=0),"#N/A",'Input Laying'!AF59/'Input Laying'!D59/(AD51*7)*1000)</f>
        <v>#N/A</v>
      </c>
      <c r="U51" s="191" t="e">
        <f>IF('Production data'!U58="",#N/A,'Production data'!U58)</f>
        <v>#N/A</v>
      </c>
      <c r="V51" s="191" t="e">
        <f>IF('Production data'!V58="",#N/A,'Production data'!V58)</f>
        <v>#N/A</v>
      </c>
      <c r="W51" s="191" t="e">
        <f>IF('Production data'!S58="",#N/A,'Production data'!S58)</f>
        <v>#N/A</v>
      </c>
      <c r="X51" s="191" t="e">
        <f>IF('Production data'!T58="",#N/A,'Production data'!T58)</f>
        <v>#N/A</v>
      </c>
      <c r="Y51" s="191" t="e">
        <f>IF('Input Laying'!E59="",#N/A,'Production data'!F58)</f>
        <v>#N/A</v>
      </c>
      <c r="Z51" s="191">
        <f>IF('Production data'!G58="",#N/A,'Production data'!G58)</f>
        <v>258.46968614457836</v>
      </c>
      <c r="AD51" s="191">
        <f>IF('Input Laying'!AF59=0,0,(IF('Input Laying'!N59&gt;0,1,IF('Input Laying'!O59&gt;0,0,1))))+AD50</f>
        <v>0</v>
      </c>
      <c r="AE51" s="191">
        <v>61</v>
      </c>
      <c r="AF51" s="191">
        <f t="shared" si="19"/>
        <v>88.003624743398731</v>
      </c>
      <c r="AG51" s="191">
        <f t="shared" si="21"/>
        <v>87.553624743398728</v>
      </c>
      <c r="AH51" s="191">
        <f t="shared" si="21"/>
        <v>87.103624743398726</v>
      </c>
      <c r="AI51" s="191">
        <f t="shared" si="11"/>
        <v>85.603624743398726</v>
      </c>
      <c r="AJ51" s="191">
        <f t="shared" si="21"/>
        <v>85.153624743398723</v>
      </c>
      <c r="AK51" s="191">
        <f t="shared" si="21"/>
        <v>84.70362474339872</v>
      </c>
      <c r="AL51" s="191">
        <f t="shared" si="21"/>
        <v>84.253624743398717</v>
      </c>
      <c r="AM51" s="191">
        <f t="shared" si="17"/>
        <v>63.840425180393325</v>
      </c>
      <c r="AN51" s="191">
        <f t="shared" si="20"/>
        <v>63.540425180393328</v>
      </c>
      <c r="AO51" s="191">
        <f t="shared" si="20"/>
        <v>63.240425180393331</v>
      </c>
      <c r="AP51" s="191">
        <f t="shared" si="20"/>
        <v>62.940425180393333</v>
      </c>
      <c r="AQ51" s="191">
        <f t="shared" si="20"/>
        <v>62.640425180393336</v>
      </c>
      <c r="AR51" s="191">
        <f t="shared" si="20"/>
        <v>62.340425180393339</v>
      </c>
      <c r="AS51" s="191">
        <f t="shared" si="20"/>
        <v>62.040425180393342</v>
      </c>
      <c r="AT51" s="191">
        <f t="shared" si="18"/>
        <v>6.1602537320379112</v>
      </c>
      <c r="AU51" s="191">
        <f t="shared" si="5"/>
        <v>264.55205832148152</v>
      </c>
      <c r="AV51" s="191">
        <v>61</v>
      </c>
      <c r="AW51" s="191">
        <f t="shared" si="9"/>
        <v>393.27321747240507</v>
      </c>
      <c r="AX51" s="191">
        <f t="shared" si="10"/>
        <v>16.410520019924881</v>
      </c>
      <c r="AZ51" s="191">
        <v>61</v>
      </c>
      <c r="BA51" s="191">
        <f>IF('Egg grading'!C55="",IF('Egg grading'!B55="","",'Egg grading'!B55),'Egg grading'!C55)</f>
        <v>63.840425180393325</v>
      </c>
      <c r="BC51" s="191" t="str">
        <f>IF(BC50="",'Egg grading'!K55,BC50+'Egg grading'!K55)</f>
        <v/>
      </c>
      <c r="BD51" s="191" t="str">
        <f>IF(BD50="",'Egg grading'!L55,BD50+'Egg grading'!L55)</f>
        <v/>
      </c>
      <c r="BE51" s="191" t="str">
        <f>IF(BE50="",'Egg grading'!M55,BE50+'Egg grading'!M55)</f>
        <v/>
      </c>
      <c r="BF51" s="191" t="str">
        <f>IF(BF50="",'Egg grading'!N55,BF50+'Egg grading'!N55)</f>
        <v/>
      </c>
    </row>
    <row r="52" spans="1:58" x14ac:dyDescent="0.2">
      <c r="A52" s="194">
        <f>'Production data'!B59</f>
        <v>62</v>
      </c>
      <c r="B52" s="191" t="e">
        <f>IF('Production data'!C59="",#N/A,'Production data'!C59)</f>
        <v>#N/A</v>
      </c>
      <c r="C52" s="191" t="e">
        <f>IF(OR('Input Laying'!E60=0,'Input Laying'!D59=0),#N/A,'Input Laying'!E60/'Input Laying'!D59*100*25)</f>
        <v>#N/A</v>
      </c>
      <c r="D52" s="191">
        <f>IF(OR('Production data'!D59="",'Production data'!D59=0),0,'Production data'!D59)</f>
        <v>0</v>
      </c>
      <c r="E52" s="191">
        <f>IF(OR(Std!B65="",Std!B65=0),0,Std!B65)</f>
        <v>87.571209329765423</v>
      </c>
      <c r="F52" s="193" t="e">
        <f>IF('Production data'!H59="",#N/A,'Production data'!H59)</f>
        <v>#N/A</v>
      </c>
      <c r="G52" s="193">
        <f>IF(OR(Std!C65="",Std!C65=0),#N/A,Std!C65)</f>
        <v>63.871286898462991</v>
      </c>
      <c r="H52" s="191" t="e">
        <f t="shared" si="14"/>
        <v>#N/A</v>
      </c>
      <c r="I52" s="191">
        <f>('Input Laying'!AH60-1000)/25</f>
        <v>-40</v>
      </c>
      <c r="J52" s="191">
        <f>IF((Std!D65-1000)/25&lt;15,#N/A,(Std!D65-1000)/25)</f>
        <v>37.928631473000443</v>
      </c>
      <c r="K52" s="191" t="e">
        <f>IF('Production data'!P59="",#N/A,'Production data'!P59)</f>
        <v>#N/A</v>
      </c>
      <c r="L52" s="191" t="e">
        <f>IF('Production data'!L59="",#N/A,'Production data'!L59)</f>
        <v>#N/A</v>
      </c>
      <c r="M52" s="191">
        <f>IF(Std!E65=0,#N/A,Std!E65)</f>
        <v>55.93285835146807</v>
      </c>
      <c r="O52" s="191" t="e">
        <f>IF('Input Laying'!V60=0,NA(),IF('Input Laying'!V60="",NA(),'Input Laying'!W60/'Input Laying'!O60*100))</f>
        <v>#N/A</v>
      </c>
      <c r="P52" s="191" t="e">
        <f>IF('Input Laying'!T60="",#N/A,'Input Laying'!T60/'Input Laying'!N60*100)</f>
        <v>#N/A</v>
      </c>
      <c r="Q52" s="191" t="e">
        <f>IF('Input Laying'!U60="",#N/A,'Input Laying'!U60/'Input Laying'!N60*100)</f>
        <v>#N/A</v>
      </c>
      <c r="R52" s="191" t="str">
        <f>IF('Input Laying'!V60="",#N/A,'Production data'!W59)</f>
        <v/>
      </c>
      <c r="S52" s="191">
        <f>'Input Laying'!D60*7+'Graph values'!S51</f>
        <v>0</v>
      </c>
      <c r="T52" s="191" t="str">
        <f>IF(OR('Input Laying'!AF60="",'Input Laying'!D60=0,'Input Laying'!O60=0),"#N/A",'Input Laying'!AF60/'Input Laying'!D60/(AD52*7)*1000)</f>
        <v>#N/A</v>
      </c>
      <c r="U52" s="191" t="e">
        <f>IF('Production data'!U59="",#N/A,'Production data'!U59)</f>
        <v>#N/A</v>
      </c>
      <c r="V52" s="191" t="e">
        <f>IF('Production data'!V59="",#N/A,'Production data'!V59)</f>
        <v>#N/A</v>
      </c>
      <c r="W52" s="191" t="e">
        <f>IF('Production data'!S59="",#N/A,'Production data'!S59)</f>
        <v>#N/A</v>
      </c>
      <c r="X52" s="191" t="e">
        <f>IF('Production data'!T59="",#N/A,'Production data'!T59)</f>
        <v>#N/A</v>
      </c>
      <c r="Y52" s="191" t="e">
        <f>IF('Input Laying'!E60="",#N/A,'Production data'!F59)</f>
        <v>#N/A</v>
      </c>
      <c r="Z52" s="191">
        <f>IF('Production data'!G59="",#N/A,'Production data'!G59)</f>
        <v>264.33485546064873</v>
      </c>
      <c r="AD52" s="191">
        <f>IF('Input Laying'!AF60=0,0,(IF('Input Laying'!N60&gt;0,1,IF('Input Laying'!O60&gt;0,0,1))))+AD51</f>
        <v>0</v>
      </c>
      <c r="AE52" s="191">
        <v>62</v>
      </c>
      <c r="AF52" s="191">
        <f t="shared" si="19"/>
        <v>87.571209329765423</v>
      </c>
      <c r="AG52" s="191">
        <f t="shared" si="21"/>
        <v>87.121209329765421</v>
      </c>
      <c r="AH52" s="191">
        <f t="shared" si="21"/>
        <v>86.671209329765418</v>
      </c>
      <c r="AI52" s="191">
        <f t="shared" si="11"/>
        <v>85.171209329765418</v>
      </c>
      <c r="AJ52" s="191">
        <f t="shared" si="21"/>
        <v>84.721209329765415</v>
      </c>
      <c r="AK52" s="191">
        <f t="shared" si="21"/>
        <v>84.271209329765412</v>
      </c>
      <c r="AL52" s="191">
        <f t="shared" si="21"/>
        <v>83.821209329765409</v>
      </c>
      <c r="AM52" s="191">
        <f t="shared" si="17"/>
        <v>63.871286898462991</v>
      </c>
      <c r="AN52" s="191">
        <f t="shared" si="20"/>
        <v>63.571286898462994</v>
      </c>
      <c r="AO52" s="191">
        <f t="shared" si="20"/>
        <v>63.271286898462996</v>
      </c>
      <c r="AP52" s="191">
        <f t="shared" si="20"/>
        <v>62.971286898462999</v>
      </c>
      <c r="AQ52" s="191">
        <f t="shared" si="20"/>
        <v>62.671286898463002</v>
      </c>
      <c r="AR52" s="191">
        <f t="shared" si="20"/>
        <v>62.371286898463005</v>
      </c>
      <c r="AS52" s="191">
        <f t="shared" si="20"/>
        <v>62.071286898463008</v>
      </c>
      <c r="AT52" s="191">
        <f t="shared" si="18"/>
        <v>6.1299846530835795</v>
      </c>
      <c r="AU52" s="191">
        <f t="shared" si="5"/>
        <v>270.68204297456509</v>
      </c>
      <c r="AV52" s="191">
        <v>62</v>
      </c>
      <c r="AW52" s="191">
        <f t="shared" si="9"/>
        <v>391.53000846027646</v>
      </c>
      <c r="AX52" s="191">
        <f t="shared" si="10"/>
        <v>16.802050028385157</v>
      </c>
      <c r="AZ52" s="191">
        <v>62</v>
      </c>
      <c r="BA52" s="191">
        <f>IF('Egg grading'!C56="",IF('Egg grading'!B56="","",'Egg grading'!B56),'Egg grading'!C56)</f>
        <v>63.871286898462991</v>
      </c>
      <c r="BC52" s="191" t="str">
        <f>IF(BC51="",'Egg grading'!K56,BC51+'Egg grading'!K56)</f>
        <v/>
      </c>
      <c r="BD52" s="191" t="str">
        <f>IF(BD51="",'Egg grading'!L56,BD51+'Egg grading'!L56)</f>
        <v/>
      </c>
      <c r="BE52" s="191" t="str">
        <f>IF(BE51="",'Egg grading'!M56,BE51+'Egg grading'!M56)</f>
        <v/>
      </c>
      <c r="BF52" s="191" t="str">
        <f>IF(BF51="",'Egg grading'!N56,BF51+'Egg grading'!N56)</f>
        <v/>
      </c>
    </row>
    <row r="53" spans="1:58" x14ac:dyDescent="0.2">
      <c r="A53" s="194">
        <f>'Production data'!B60</f>
        <v>63</v>
      </c>
      <c r="B53" s="191" t="e">
        <f>IF('Production data'!C60="",#N/A,'Production data'!C60)</f>
        <v>#N/A</v>
      </c>
      <c r="C53" s="191" t="e">
        <f>IF(OR('Input Laying'!E61=0,'Input Laying'!D60=0),#N/A,'Input Laying'!E61/'Input Laying'!D60*100*25)</f>
        <v>#N/A</v>
      </c>
      <c r="D53" s="191">
        <f>IF(OR('Production data'!D60="",'Production data'!D60=0),0,'Production data'!D60)</f>
        <v>0</v>
      </c>
      <c r="E53" s="191">
        <f>IF(OR(Std!B66="",Std!B66=0),0,Std!B66)</f>
        <v>87.130110318767734</v>
      </c>
      <c r="F53" s="193" t="e">
        <f>IF('Production data'!H60="",#N/A,'Production data'!H60)</f>
        <v>#N/A</v>
      </c>
      <c r="G53" s="193">
        <f>IF(OR(Std!C66="",Std!C66=0),#N/A,Std!C66)</f>
        <v>63.902148616532656</v>
      </c>
      <c r="H53" s="191" t="e">
        <f t="shared" si="14"/>
        <v>#N/A</v>
      </c>
      <c r="I53" s="191">
        <f>('Input Laying'!AH61-1000)/25</f>
        <v>-40</v>
      </c>
      <c r="J53" s="191">
        <f>IF((Std!D66-1000)/25&lt;15,#N/A,(Std!D66-1000)/25)</f>
        <v>37.991694112359347</v>
      </c>
      <c r="K53" s="191" t="e">
        <f>IF('Production data'!P60="",#N/A,'Production data'!P60)</f>
        <v>#N/A</v>
      </c>
      <c r="L53" s="191" t="e">
        <f>IF('Production data'!L60="",#N/A,'Production data'!L60)</f>
        <v>#N/A</v>
      </c>
      <c r="M53" s="191">
        <f>IF(Std!E66=0,#N/A,Std!E66)</f>
        <v>55.678012585647814</v>
      </c>
      <c r="O53" s="191" t="e">
        <f>IF('Input Laying'!V61=0,NA(),IF('Input Laying'!V61="",NA(),'Input Laying'!W61/'Input Laying'!O61*100))</f>
        <v>#N/A</v>
      </c>
      <c r="P53" s="191" t="e">
        <f>IF('Input Laying'!T61="",#N/A,'Input Laying'!T61/'Input Laying'!N61*100)</f>
        <v>#N/A</v>
      </c>
      <c r="Q53" s="191" t="e">
        <f>IF('Input Laying'!U61="",#N/A,'Input Laying'!U61/'Input Laying'!N61*100)</f>
        <v>#N/A</v>
      </c>
      <c r="R53" s="191" t="str">
        <f>IF('Input Laying'!V61="",#N/A,'Production data'!W60)</f>
        <v/>
      </c>
      <c r="S53" s="191">
        <f>'Input Laying'!D61*7+'Graph values'!S52</f>
        <v>0</v>
      </c>
      <c r="T53" s="191" t="str">
        <f>IF(OR('Input Laying'!AF61="",'Input Laying'!D61=0,'Input Laying'!O61=0),"#N/A",'Input Laying'!AF61/'Input Laying'!D61/(AD53*7)*1000)</f>
        <v>#N/A</v>
      </c>
      <c r="U53" s="191" t="e">
        <f>IF('Production data'!U60="",#N/A,'Production data'!U60)</f>
        <v>#N/A</v>
      </c>
      <c r="V53" s="191" t="e">
        <f>IF('Production data'!V60="",#N/A,'Production data'!V60)</f>
        <v>#N/A</v>
      </c>
      <c r="W53" s="191" t="e">
        <f>IF('Production data'!S60="",#N/A,'Production data'!S60)</f>
        <v>#N/A</v>
      </c>
      <c r="X53" s="191" t="e">
        <f>IF('Production data'!T60="",#N/A,'Production data'!T60)</f>
        <v>#N/A</v>
      </c>
      <c r="Y53" s="191" t="e">
        <f>IF('Input Laying'!E61="",#N/A,'Production data'!F60)</f>
        <v>#N/A</v>
      </c>
      <c r="Z53" s="191">
        <f>IF('Production data'!G60="",#N/A,'Production data'!G60)</f>
        <v>270.16462658594509</v>
      </c>
      <c r="AD53" s="191">
        <f>IF('Input Laying'!AF61=0,0,(IF('Input Laying'!N61&gt;0,1,IF('Input Laying'!O61&gt;0,0,1))))+AD52</f>
        <v>0</v>
      </c>
      <c r="AE53" s="191">
        <v>63</v>
      </c>
      <c r="AF53" s="191">
        <f t="shared" si="19"/>
        <v>87.130110318767734</v>
      </c>
      <c r="AG53" s="191">
        <f t="shared" si="21"/>
        <v>86.680110318767731</v>
      </c>
      <c r="AH53" s="191">
        <f t="shared" si="21"/>
        <v>86.230110318767728</v>
      </c>
      <c r="AI53" s="191">
        <f t="shared" si="11"/>
        <v>84.730110318767728</v>
      </c>
      <c r="AJ53" s="191">
        <f t="shared" si="21"/>
        <v>84.280110318767726</v>
      </c>
      <c r="AK53" s="191">
        <f t="shared" si="21"/>
        <v>83.830110318767723</v>
      </c>
      <c r="AL53" s="191">
        <f t="shared" si="21"/>
        <v>83.38011031876772</v>
      </c>
      <c r="AM53" s="191">
        <f t="shared" si="17"/>
        <v>63.902148616532656</v>
      </c>
      <c r="AN53" s="191">
        <f t="shared" si="20"/>
        <v>63.602148616532659</v>
      </c>
      <c r="AO53" s="191">
        <f t="shared" si="20"/>
        <v>63.302148616532662</v>
      </c>
      <c r="AP53" s="191">
        <f t="shared" si="20"/>
        <v>63.002148616532665</v>
      </c>
      <c r="AQ53" s="191">
        <f t="shared" si="20"/>
        <v>62.702148616532668</v>
      </c>
      <c r="AR53" s="191">
        <f t="shared" si="20"/>
        <v>62.402148616532671</v>
      </c>
      <c r="AS53" s="191">
        <f t="shared" si="20"/>
        <v>62.102148616532673</v>
      </c>
      <c r="AT53" s="191">
        <f t="shared" si="18"/>
        <v>6.0991077223137413</v>
      </c>
      <c r="AU53" s="191">
        <f t="shared" si="5"/>
        <v>276.78115069687885</v>
      </c>
      <c r="AV53" s="191">
        <v>63</v>
      </c>
      <c r="AW53" s="191">
        <f t="shared" si="9"/>
        <v>389.74608809953469</v>
      </c>
      <c r="AX53" s="191">
        <f t="shared" si="10"/>
        <v>17.191796116484692</v>
      </c>
      <c r="AZ53" s="191">
        <v>63</v>
      </c>
      <c r="BA53" s="191">
        <f>IF('Egg grading'!C57="",IF('Egg grading'!B57="","",'Egg grading'!B57),'Egg grading'!C57)</f>
        <v>63.902148616532656</v>
      </c>
      <c r="BC53" s="191" t="str">
        <f>IF(BC52="",'Egg grading'!K57,BC52+'Egg grading'!K57)</f>
        <v/>
      </c>
      <c r="BD53" s="191" t="str">
        <f>IF(BD52="",'Egg grading'!L57,BD52+'Egg grading'!L57)</f>
        <v/>
      </c>
      <c r="BE53" s="191" t="str">
        <f>IF(BE52="",'Egg grading'!M57,BE52+'Egg grading'!M57)</f>
        <v/>
      </c>
      <c r="BF53" s="191" t="str">
        <f>IF(BF52="",'Egg grading'!N57,BF52+'Egg grading'!N57)</f>
        <v/>
      </c>
    </row>
    <row r="54" spans="1:58" x14ac:dyDescent="0.2">
      <c r="A54" s="194">
        <f>'Production data'!B61</f>
        <v>64</v>
      </c>
      <c r="B54" s="191" t="e">
        <f>IF('Production data'!C61="",#N/A,'Production data'!C61)</f>
        <v>#N/A</v>
      </c>
      <c r="C54" s="191" t="e">
        <f>IF(OR('Input Laying'!E62=0,'Input Laying'!D61=0),#N/A,'Input Laying'!E62/'Input Laying'!D61*100*25)</f>
        <v>#N/A</v>
      </c>
      <c r="D54" s="191">
        <f>IF(OR('Production data'!D61="",'Production data'!D61=0),0,'Production data'!D61)</f>
        <v>0</v>
      </c>
      <c r="E54" s="191">
        <f>IF(OR(Std!B67="",Std!B67=0),0,Std!B67)</f>
        <v>86.681289487455103</v>
      </c>
      <c r="F54" s="193" t="e">
        <f>IF('Production data'!H61="",#N/A,'Production data'!H61)</f>
        <v>#N/A</v>
      </c>
      <c r="G54" s="193">
        <f>IF(OR(Std!C67="",Std!C67=0),#N/A,Std!C67)</f>
        <v>63.933010334602315</v>
      </c>
      <c r="H54" s="191" t="e">
        <f t="shared" si="14"/>
        <v>#N/A</v>
      </c>
      <c r="I54" s="191">
        <f>('Input Laying'!AH62-1000)/25</f>
        <v>-40</v>
      </c>
      <c r="J54" s="191">
        <f>IF((Std!D67-1000)/25&lt;15,#N/A,(Std!D67-1000)/25)</f>
        <v>38.050977095940532</v>
      </c>
      <c r="K54" s="191" t="e">
        <f>IF('Production data'!P61="",#N/A,'Production data'!P61)</f>
        <v>#N/A</v>
      </c>
      <c r="L54" s="191" t="e">
        <f>IF('Production data'!L61="",#N/A,'Production data'!L61)</f>
        <v>#N/A</v>
      </c>
      <c r="M54" s="191">
        <f>IF(Std!E67=0,#N/A,Std!E67)</f>
        <v>55.417957766181225</v>
      </c>
      <c r="O54" s="191" t="e">
        <f>IF('Input Laying'!V62=0,NA(),IF('Input Laying'!V62="",NA(),'Input Laying'!W62/'Input Laying'!O62*100))</f>
        <v>#N/A</v>
      </c>
      <c r="P54" s="191" t="e">
        <f>IF('Input Laying'!T62="",#N/A,'Input Laying'!T62/'Input Laying'!N62*100)</f>
        <v>#N/A</v>
      </c>
      <c r="Q54" s="191" t="e">
        <f>IF('Input Laying'!U62="",#N/A,'Input Laying'!U62/'Input Laying'!N62*100)</f>
        <v>#N/A</v>
      </c>
      <c r="R54" s="191" t="str">
        <f>IF('Input Laying'!V62="",#N/A,'Production data'!W61)</f>
        <v/>
      </c>
      <c r="S54" s="191">
        <f>'Input Laying'!D62*7+'Graph values'!S53</f>
        <v>0</v>
      </c>
      <c r="T54" s="191" t="str">
        <f>IF(OR('Input Laying'!AF62="",'Input Laying'!D62=0,'Input Laying'!O62=0),"#N/A",'Input Laying'!AF62/'Input Laying'!D62/(AD54*7)*1000)</f>
        <v>#N/A</v>
      </c>
      <c r="U54" s="191" t="e">
        <f>IF('Production data'!U61="",#N/A,'Production data'!U61)</f>
        <v>#N/A</v>
      </c>
      <c r="V54" s="191" t="e">
        <f>IF('Production data'!V61="",#N/A,'Production data'!V61)</f>
        <v>#N/A</v>
      </c>
      <c r="W54" s="191" t="e">
        <f>IF('Production data'!S61="",#N/A,'Production data'!S61)</f>
        <v>#N/A</v>
      </c>
      <c r="X54" s="191" t="e">
        <f>IF('Production data'!T61="",#N/A,'Production data'!T61)</f>
        <v>#N/A</v>
      </c>
      <c r="Y54" s="191" t="e">
        <f>IF('Input Laying'!E62="",#N/A,'Production data'!F61)</f>
        <v>#N/A</v>
      </c>
      <c r="Z54" s="191">
        <f>IF('Production data'!G61="",#N/A,'Production data'!G61)</f>
        <v>275.95854266534974</v>
      </c>
      <c r="AD54" s="191">
        <f>IF('Input Laying'!AF62=0,0,(IF('Input Laying'!N62&gt;0,1,IF('Input Laying'!O62&gt;0,0,1))))+AD53</f>
        <v>0</v>
      </c>
      <c r="AE54" s="191">
        <v>64</v>
      </c>
      <c r="AF54" s="191">
        <f t="shared" si="19"/>
        <v>86.681289487455103</v>
      </c>
      <c r="AG54" s="191">
        <f t="shared" si="21"/>
        <v>86.231289487455101</v>
      </c>
      <c r="AH54" s="191">
        <f t="shared" si="21"/>
        <v>85.781289487455098</v>
      </c>
      <c r="AI54" s="191">
        <f t="shared" si="11"/>
        <v>84.281289487455098</v>
      </c>
      <c r="AJ54" s="191">
        <f t="shared" si="21"/>
        <v>83.831289487455095</v>
      </c>
      <c r="AK54" s="191">
        <f t="shared" si="21"/>
        <v>83.381289487455092</v>
      </c>
      <c r="AL54" s="191">
        <f t="shared" si="21"/>
        <v>82.931289487455089</v>
      </c>
      <c r="AM54" s="191">
        <f t="shared" si="17"/>
        <v>63.933010334602315</v>
      </c>
      <c r="AN54" s="191">
        <f t="shared" si="20"/>
        <v>63.633010334602318</v>
      </c>
      <c r="AO54" s="191">
        <f t="shared" si="20"/>
        <v>63.333010334602321</v>
      </c>
      <c r="AP54" s="191">
        <f t="shared" si="20"/>
        <v>63.033010334602324</v>
      </c>
      <c r="AQ54" s="191">
        <f t="shared" si="20"/>
        <v>62.733010334602326</v>
      </c>
      <c r="AR54" s="191">
        <f t="shared" si="20"/>
        <v>62.433010334602329</v>
      </c>
      <c r="AS54" s="191">
        <f t="shared" si="20"/>
        <v>62.133010334602332</v>
      </c>
      <c r="AT54" s="191">
        <f t="shared" si="18"/>
        <v>6.0676902641218566</v>
      </c>
      <c r="AU54" s="191">
        <f t="shared" si="5"/>
        <v>282.84884096100069</v>
      </c>
      <c r="AV54" s="191">
        <v>64</v>
      </c>
      <c r="AW54" s="191">
        <f t="shared" si="9"/>
        <v>387.92570436326855</v>
      </c>
      <c r="AX54" s="191">
        <f t="shared" si="10"/>
        <v>17.579721820847961</v>
      </c>
      <c r="AZ54" s="191">
        <v>64</v>
      </c>
      <c r="BA54" s="191">
        <f>IF('Egg grading'!C58="",IF('Egg grading'!B58="","",'Egg grading'!B58),'Egg grading'!C58)</f>
        <v>63.933010334602315</v>
      </c>
      <c r="BC54" s="191" t="str">
        <f>IF(BC53="",'Egg grading'!K58,BC53+'Egg grading'!K58)</f>
        <v/>
      </c>
      <c r="BD54" s="191" t="str">
        <f>IF(BD53="",'Egg grading'!L58,BD53+'Egg grading'!L58)</f>
        <v/>
      </c>
      <c r="BE54" s="191" t="str">
        <f>IF(BE53="",'Egg grading'!M58,BE53+'Egg grading'!M58)</f>
        <v/>
      </c>
      <c r="BF54" s="191" t="str">
        <f>IF(BF53="",'Egg grading'!N58,BF53+'Egg grading'!N58)</f>
        <v/>
      </c>
    </row>
    <row r="55" spans="1:58" x14ac:dyDescent="0.2">
      <c r="A55" s="194">
        <f>'Production data'!B62</f>
        <v>65</v>
      </c>
      <c r="B55" s="191" t="e">
        <f>IF('Production data'!C62="",#N/A,'Production data'!C62)</f>
        <v>#N/A</v>
      </c>
      <c r="C55" s="191" t="e">
        <f>IF(OR('Input Laying'!E63=0,'Input Laying'!D62=0),#N/A,'Input Laying'!E63/'Input Laying'!D62*100*25)</f>
        <v>#N/A</v>
      </c>
      <c r="D55" s="191">
        <f>IF(OR('Production data'!D62="",'Production data'!D62=0),0,'Production data'!D62)</f>
        <v>0</v>
      </c>
      <c r="E55" s="191">
        <f>IF(OR(Std!B68="",Std!B68=0),0,Std!B68)</f>
        <v>86.225663187132866</v>
      </c>
      <c r="F55" s="193" t="e">
        <f>IF('Production data'!H62="",#N/A,'Production data'!H62)</f>
        <v>#N/A</v>
      </c>
      <c r="G55" s="193">
        <f>IF(OR(Std!C68="",Std!C68=0),#N/A,Std!C68)</f>
        <v>63.963872052671981</v>
      </c>
      <c r="H55" s="191" t="e">
        <f t="shared" si="14"/>
        <v>#N/A</v>
      </c>
      <c r="I55" s="191">
        <f>('Input Laying'!AH63-1000)/25</f>
        <v>-40</v>
      </c>
      <c r="J55" s="191">
        <f>IF((Std!D68-1000)/25&lt;15,#N/A,(Std!D68-1000)/25)</f>
        <v>38.106640532505033</v>
      </c>
      <c r="K55" s="191" t="e">
        <f>IF('Production data'!P62="",#N/A,'Production data'!P62)</f>
        <v>#N/A</v>
      </c>
      <c r="L55" s="191" t="e">
        <f>IF('Production data'!L62="",#N/A,'Production data'!L62)</f>
        <v>#N/A</v>
      </c>
      <c r="M55" s="191">
        <f>IF(Std!E68=0,#N/A,Std!E68)</f>
        <v>55.15327287758555</v>
      </c>
      <c r="O55" s="191" t="e">
        <f>IF('Input Laying'!V63=0,NA(),IF('Input Laying'!V63="",NA(),'Input Laying'!W63/'Input Laying'!O63*100))</f>
        <v>#N/A</v>
      </c>
      <c r="P55" s="191" t="e">
        <f>IF('Input Laying'!T63="",#N/A,'Input Laying'!T63/'Input Laying'!N63*100)</f>
        <v>#N/A</v>
      </c>
      <c r="Q55" s="191" t="e">
        <f>IF('Input Laying'!U63="",#N/A,'Input Laying'!U63/'Input Laying'!N63*100)</f>
        <v>#N/A</v>
      </c>
      <c r="R55" s="191" t="str">
        <f>IF('Input Laying'!V63="",#N/A,'Production data'!W62)</f>
        <v/>
      </c>
      <c r="S55" s="191">
        <f>'Input Laying'!D63*7+'Graph values'!S54</f>
        <v>0</v>
      </c>
      <c r="T55" s="191" t="str">
        <f>IF(OR('Input Laying'!AF63="",'Input Laying'!D63=0,'Input Laying'!O63=0),"#N/A",'Input Laying'!AF63/'Input Laying'!D63/(AD55*7)*1000)</f>
        <v>#N/A</v>
      </c>
      <c r="U55" s="191" t="e">
        <f>IF('Production data'!U62="",#N/A,'Production data'!U62)</f>
        <v>#N/A</v>
      </c>
      <c r="V55" s="191" t="e">
        <f>IF('Production data'!V62="",#N/A,'Production data'!V62)</f>
        <v>#N/A</v>
      </c>
      <c r="W55" s="191" t="e">
        <f>IF('Production data'!S62="",#N/A,'Production data'!S62)</f>
        <v>#N/A</v>
      </c>
      <c r="X55" s="191" t="e">
        <f>IF('Production data'!T62="",#N/A,'Production data'!T62)</f>
        <v>#N/A</v>
      </c>
      <c r="Y55" s="191" t="e">
        <f>IF('Input Laying'!E63="",#N/A,'Production data'!F62)</f>
        <v>#N/A</v>
      </c>
      <c r="Z55" s="191">
        <f>IF('Production data'!G62="",#N/A,'Production data'!G62)</f>
        <v>281.71620958927264</v>
      </c>
      <c r="AD55" s="191">
        <f>IF('Input Laying'!AF63=0,0,(IF('Input Laying'!N63&gt;0,1,IF('Input Laying'!O63&gt;0,0,1))))+AD54</f>
        <v>0</v>
      </c>
      <c r="AE55" s="191">
        <v>65</v>
      </c>
      <c r="AF55" s="191">
        <f t="shared" si="19"/>
        <v>86.225663187132866</v>
      </c>
      <c r="AG55" s="191">
        <f t="shared" si="21"/>
        <v>85.775663187132864</v>
      </c>
      <c r="AH55" s="191">
        <f t="shared" si="21"/>
        <v>85.325663187132861</v>
      </c>
      <c r="AI55" s="191">
        <f t="shared" si="11"/>
        <v>83.825663187132861</v>
      </c>
      <c r="AJ55" s="191">
        <f t="shared" si="21"/>
        <v>83.375663187132858</v>
      </c>
      <c r="AK55" s="191">
        <f t="shared" si="21"/>
        <v>82.925663187132855</v>
      </c>
      <c r="AL55" s="191">
        <f t="shared" si="21"/>
        <v>82.475663187132852</v>
      </c>
      <c r="AM55" s="191">
        <f t="shared" si="17"/>
        <v>63.963872052671981</v>
      </c>
      <c r="AN55" s="191">
        <f t="shared" si="20"/>
        <v>63.663872052671984</v>
      </c>
      <c r="AO55" s="191">
        <f t="shared" si="20"/>
        <v>63.363872052671987</v>
      </c>
      <c r="AP55" s="191">
        <f t="shared" si="20"/>
        <v>63.063872052671989</v>
      </c>
      <c r="AQ55" s="191">
        <f t="shared" si="20"/>
        <v>62.763872052671992</v>
      </c>
      <c r="AR55" s="191">
        <f t="shared" si="20"/>
        <v>62.463872052671995</v>
      </c>
      <c r="AS55" s="191">
        <f t="shared" si="20"/>
        <v>62.163872052671998</v>
      </c>
      <c r="AT55" s="191">
        <f t="shared" si="18"/>
        <v>6.0357964230993</v>
      </c>
      <c r="AU55" s="191">
        <f t="shared" si="5"/>
        <v>288.88463738410002</v>
      </c>
      <c r="AV55" s="191">
        <v>65</v>
      </c>
      <c r="AW55" s="191">
        <f t="shared" si="9"/>
        <v>386.07291014309885</v>
      </c>
      <c r="AX55" s="191">
        <f t="shared" si="10"/>
        <v>17.96579473099106</v>
      </c>
      <c r="AZ55" s="191">
        <v>65</v>
      </c>
      <c r="BA55" s="191">
        <f>IF('Egg grading'!C59="",IF('Egg grading'!B59="","",'Egg grading'!B59),'Egg grading'!C59)</f>
        <v>63.963872052671981</v>
      </c>
      <c r="BC55" s="191" t="str">
        <f>IF(BC54="",'Egg grading'!K59,BC54+'Egg grading'!K59)</f>
        <v/>
      </c>
      <c r="BD55" s="191" t="str">
        <f>IF(BD54="",'Egg grading'!L59,BD54+'Egg grading'!L59)</f>
        <v/>
      </c>
      <c r="BE55" s="191" t="str">
        <f>IF(BE54="",'Egg grading'!M59,BE54+'Egg grading'!M59)</f>
        <v/>
      </c>
      <c r="BF55" s="191" t="str">
        <f>IF(BF54="",'Egg grading'!N59,BF54+'Egg grading'!N59)</f>
        <v/>
      </c>
    </row>
    <row r="56" spans="1:58" x14ac:dyDescent="0.2">
      <c r="A56" s="194">
        <f>'Production data'!B63</f>
        <v>66</v>
      </c>
      <c r="B56" s="191" t="e">
        <f>IF('Production data'!C63="",#N/A,'Production data'!C63)</f>
        <v>#N/A</v>
      </c>
      <c r="C56" s="191" t="e">
        <f>IF(OR('Input Laying'!E64=0,'Input Laying'!D63=0),#N/A,'Input Laying'!E64/'Input Laying'!D63*100*25)</f>
        <v>#N/A</v>
      </c>
      <c r="D56" s="191">
        <f>IF(OR('Production data'!D63="",'Production data'!D63=0),0,'Production data'!D63)</f>
        <v>0</v>
      </c>
      <c r="E56" s="191">
        <f>IF(OR(Std!B69="",Std!B69=0),0,Std!B69)</f>
        <v>85.764102343362055</v>
      </c>
      <c r="F56" s="193" t="e">
        <f>IF('Production data'!H63="",#N/A,'Production data'!H63)</f>
        <v>#N/A</v>
      </c>
      <c r="G56" s="193">
        <f>IF(OR(Std!C69="",Std!C69=0),#N/A,Std!C69)</f>
        <v>63.994733770741647</v>
      </c>
      <c r="H56" s="191" t="e">
        <f t="shared" si="14"/>
        <v>#N/A</v>
      </c>
      <c r="I56" s="191">
        <f>('Input Laying'!AH64-1000)/25</f>
        <v>-40</v>
      </c>
      <c r="J56" s="191">
        <f>IF((Std!D69-1000)/25&lt;15,#N/A,(Std!D69-1000)/25)</f>
        <v>38.158844366174748</v>
      </c>
      <c r="K56" s="191" t="e">
        <f>IF('Production data'!P63="",#N/A,'Production data'!P63)</f>
        <v>#N/A</v>
      </c>
      <c r="L56" s="191" t="e">
        <f>IF('Production data'!L63="",#N/A,'Production data'!L63)</f>
        <v>#N/A</v>
      </c>
      <c r="M56" s="191">
        <f>IF(Std!E69=0,#N/A,Std!E69)</f>
        <v>54.884508965500942</v>
      </c>
      <c r="O56" s="191" t="e">
        <f>IF('Input Laying'!V64=0,NA(),IF('Input Laying'!V64="",NA(),'Input Laying'!W64/'Input Laying'!O64*100))</f>
        <v>#N/A</v>
      </c>
      <c r="P56" s="191" t="e">
        <f>IF('Input Laying'!T64="",#N/A,'Input Laying'!T64/'Input Laying'!N64*100)</f>
        <v>#N/A</v>
      </c>
      <c r="Q56" s="191" t="e">
        <f>IF('Input Laying'!U64="",#N/A,'Input Laying'!U64/'Input Laying'!N64*100)</f>
        <v>#N/A</v>
      </c>
      <c r="R56" s="191" t="str">
        <f>IF('Input Laying'!V64="",#N/A,'Production data'!W63)</f>
        <v/>
      </c>
      <c r="S56" s="191">
        <f>'Input Laying'!D64*7+'Graph values'!S55</f>
        <v>0</v>
      </c>
      <c r="T56" s="191" t="str">
        <f>IF(OR('Input Laying'!AF64="",'Input Laying'!D64=0,'Input Laying'!O64=0),"#N/A",'Input Laying'!AF64/'Input Laying'!D64/(AD56*7)*1000)</f>
        <v>#N/A</v>
      </c>
      <c r="U56" s="191" t="e">
        <f>IF('Production data'!U63="",#N/A,'Production data'!U63)</f>
        <v>#N/A</v>
      </c>
      <c r="V56" s="191" t="e">
        <f>IF('Production data'!V63="",#N/A,'Production data'!V63)</f>
        <v>#N/A</v>
      </c>
      <c r="W56" s="191" t="e">
        <f>IF('Production data'!S63="",#N/A,'Production data'!S63)</f>
        <v>#N/A</v>
      </c>
      <c r="X56" s="191" t="e">
        <f>IF('Production data'!T63="",#N/A,'Production data'!T63)</f>
        <v>#N/A</v>
      </c>
      <c r="Y56" s="191" t="e">
        <f>IF('Input Laying'!E64="",#N/A,'Production data'!F63)</f>
        <v>#N/A</v>
      </c>
      <c r="Z56" s="191">
        <f>IF('Production data'!G63="",#N/A,'Production data'!G63)</f>
        <v>287.43729271711175</v>
      </c>
      <c r="AD56" s="191">
        <f>IF('Input Laying'!AF64=0,0,(IF('Input Laying'!N64&gt;0,1,IF('Input Laying'!O64&gt;0,0,1))))+AD55</f>
        <v>0</v>
      </c>
      <c r="AE56" s="191">
        <v>66</v>
      </c>
      <c r="AF56" s="191">
        <f t="shared" si="19"/>
        <v>85.764102343362055</v>
      </c>
      <c r="AG56" s="191">
        <f t="shared" si="21"/>
        <v>85.314102343362052</v>
      </c>
      <c r="AH56" s="191">
        <f t="shared" si="21"/>
        <v>84.864102343362049</v>
      </c>
      <c r="AI56" s="191">
        <f t="shared" si="11"/>
        <v>83.364102343362049</v>
      </c>
      <c r="AJ56" s="191">
        <f t="shared" si="21"/>
        <v>82.914102343362046</v>
      </c>
      <c r="AK56" s="191">
        <f t="shared" si="21"/>
        <v>82.464102343362043</v>
      </c>
      <c r="AL56" s="191">
        <f t="shared" si="21"/>
        <v>82.01410234336204</v>
      </c>
      <c r="AM56" s="191">
        <f t="shared" si="17"/>
        <v>63.994733770741647</v>
      </c>
      <c r="AN56" s="191">
        <f t="shared" ref="AN56:AS70" si="22">AM56-0.3</f>
        <v>63.694733770741649</v>
      </c>
      <c r="AO56" s="191">
        <f t="shared" si="22"/>
        <v>63.394733770741652</v>
      </c>
      <c r="AP56" s="191">
        <f t="shared" si="22"/>
        <v>63.094733770741655</v>
      </c>
      <c r="AQ56" s="191">
        <f t="shared" si="22"/>
        <v>62.794733770741658</v>
      </c>
      <c r="AR56" s="191">
        <f t="shared" si="22"/>
        <v>62.494733770741661</v>
      </c>
      <c r="AS56" s="191">
        <f t="shared" si="22"/>
        <v>62.194733770741664</v>
      </c>
      <c r="AT56" s="191">
        <f t="shared" si="18"/>
        <v>6.0034871640353433</v>
      </c>
      <c r="AU56" s="191">
        <f t="shared" si="5"/>
        <v>294.88812454813535</v>
      </c>
      <c r="AV56" s="191">
        <v>66</v>
      </c>
      <c r="AW56" s="191">
        <f t="shared" si="9"/>
        <v>384.19156275850662</v>
      </c>
      <c r="AX56" s="191">
        <f t="shared" si="10"/>
        <v>18.349986293749566</v>
      </c>
      <c r="AZ56" s="191">
        <v>66</v>
      </c>
      <c r="BA56" s="191">
        <f>IF('Egg grading'!C60="",IF('Egg grading'!B60="","",'Egg grading'!B60),'Egg grading'!C60)</f>
        <v>63.994733770741647</v>
      </c>
      <c r="BC56" s="191" t="str">
        <f>IF(BC55="",'Egg grading'!K60,BC55+'Egg grading'!K60)</f>
        <v/>
      </c>
      <c r="BD56" s="191" t="str">
        <f>IF(BD55="",'Egg grading'!L60,BD55+'Egg grading'!L60)</f>
        <v/>
      </c>
      <c r="BE56" s="191" t="str">
        <f>IF(BE55="",'Egg grading'!M60,BE55+'Egg grading'!M60)</f>
        <v/>
      </c>
      <c r="BF56" s="191" t="str">
        <f>IF(BF55="",'Egg grading'!N60,BF55+'Egg grading'!N60)</f>
        <v/>
      </c>
    </row>
    <row r="57" spans="1:58" x14ac:dyDescent="0.2">
      <c r="A57" s="194">
        <f>'Production data'!B64</f>
        <v>67</v>
      </c>
      <c r="B57" s="191" t="e">
        <f>IF('Production data'!C64="",#N/A,'Production data'!C64)</f>
        <v>#N/A</v>
      </c>
      <c r="C57" s="191" t="e">
        <f>IF(OR('Input Laying'!E65=0,'Input Laying'!D64=0),#N/A,'Input Laying'!E65/'Input Laying'!D64*100*25)</f>
        <v>#N/A</v>
      </c>
      <c r="D57" s="191">
        <f>IF(OR('Production data'!D64="",'Production data'!D64=0),0,'Production data'!D64)</f>
        <v>0</v>
      </c>
      <c r="E57" s="191">
        <f>IF(OR(Std!B70="",Std!B70=0),0,Std!B70)</f>
        <v>85.297432455959438</v>
      </c>
      <c r="F57" s="193" t="e">
        <f>IF('Production data'!H64="",#N/A,'Production data'!H64)</f>
        <v>#N/A</v>
      </c>
      <c r="G57" s="193">
        <f>IF(OR(Std!C70="",Std!C70=0),#N/A,Std!C70)</f>
        <v>64.025595488811305</v>
      </c>
      <c r="H57" s="191" t="e">
        <f t="shared" si="14"/>
        <v>#N/A</v>
      </c>
      <c r="I57" s="191">
        <f>('Input Laying'!AH65-1000)/25</f>
        <v>-40</v>
      </c>
      <c r="J57" s="191">
        <f>IF((Std!D70-1000)/25&lt;15,#N/A,(Std!D70-1000)/25)</f>
        <v>38.207748376432804</v>
      </c>
      <c r="K57" s="191" t="e">
        <f>IF('Production data'!P64="",#N/A,'Production data'!P64)</f>
        <v>#N/A</v>
      </c>
      <c r="L57" s="191" t="e">
        <f>IF('Production data'!L64="",#N/A,'Production data'!L64)</f>
        <v>#N/A</v>
      </c>
      <c r="M57" s="191">
        <f>IF(Std!E70=0,#N/A,Std!E70)</f>
        <v>54.612189066594638</v>
      </c>
      <c r="O57" s="191" t="e">
        <f>IF('Input Laying'!V65=0,NA(),IF('Input Laying'!V65="",NA(),'Input Laying'!W65/'Input Laying'!O65*100))</f>
        <v>#N/A</v>
      </c>
      <c r="P57" s="191" t="e">
        <f>IF('Input Laying'!T65="",#N/A,'Input Laying'!T65/'Input Laying'!N65*100)</f>
        <v>#N/A</v>
      </c>
      <c r="Q57" s="191" t="e">
        <f>IF('Input Laying'!U65="",#N/A,'Input Laying'!U65/'Input Laying'!N65*100)</f>
        <v>#N/A</v>
      </c>
      <c r="R57" s="191" t="str">
        <f>IF('Input Laying'!V65="",#N/A,'Production data'!W64)</f>
        <v/>
      </c>
      <c r="S57" s="191">
        <f>'Input Laying'!D65*7+'Graph values'!S56</f>
        <v>0</v>
      </c>
      <c r="T57" s="191" t="str">
        <f>IF(OR('Input Laying'!AF65="",'Input Laying'!D65=0,'Input Laying'!O65=0),"#N/A",'Input Laying'!AF65/'Input Laying'!D65/(AD57*7)*1000)</f>
        <v>#N/A</v>
      </c>
      <c r="U57" s="191" t="e">
        <f>IF('Production data'!U64="",#N/A,'Production data'!U64)</f>
        <v>#N/A</v>
      </c>
      <c r="V57" s="191" t="e">
        <f>IF('Production data'!V64="",#N/A,'Production data'!V64)</f>
        <v>#N/A</v>
      </c>
      <c r="W57" s="191" t="e">
        <f>IF('Production data'!S64="",#N/A,'Production data'!S64)</f>
        <v>#N/A</v>
      </c>
      <c r="X57" s="191" t="e">
        <f>IF('Production data'!T64="",#N/A,'Production data'!T64)</f>
        <v>#N/A</v>
      </c>
      <c r="Y57" s="191" t="e">
        <f>IF('Input Laying'!E65="",#N/A,'Production data'!F64)</f>
        <v>#N/A</v>
      </c>
      <c r="Z57" s="191">
        <f>IF('Production data'!G64="",#N/A,'Production data'!G64)</f>
        <v>293.12151361597688</v>
      </c>
      <c r="AD57" s="191">
        <f>IF('Input Laying'!AF65=0,0,(IF('Input Laying'!N65&gt;0,1,IF('Input Laying'!O65&gt;0,0,1))))+AD56</f>
        <v>0</v>
      </c>
      <c r="AE57" s="191">
        <v>67</v>
      </c>
      <c r="AF57" s="191">
        <f t="shared" si="19"/>
        <v>85.297432455959438</v>
      </c>
      <c r="AG57" s="191">
        <f t="shared" si="21"/>
        <v>84.847432455959435</v>
      </c>
      <c r="AH57" s="191">
        <f t="shared" si="21"/>
        <v>84.397432455959432</v>
      </c>
      <c r="AI57" s="191">
        <f t="shared" si="11"/>
        <v>82.897432455959432</v>
      </c>
      <c r="AJ57" s="191">
        <f t="shared" si="21"/>
        <v>82.447432455959429</v>
      </c>
      <c r="AK57" s="191">
        <f t="shared" si="21"/>
        <v>81.997432455959427</v>
      </c>
      <c r="AL57" s="191">
        <f t="shared" si="21"/>
        <v>81.547432455959424</v>
      </c>
      <c r="AM57" s="191">
        <f t="shared" si="17"/>
        <v>64.025595488811305</v>
      </c>
      <c r="AN57" s="191">
        <f t="shared" si="22"/>
        <v>63.725595488811308</v>
      </c>
      <c r="AO57" s="191">
        <f t="shared" si="22"/>
        <v>63.425595488811311</v>
      </c>
      <c r="AP57" s="191">
        <f t="shared" si="22"/>
        <v>63.125595488811314</v>
      </c>
      <c r="AQ57" s="191">
        <f t="shared" si="22"/>
        <v>62.825595488811317</v>
      </c>
      <c r="AR57" s="191">
        <f t="shared" si="22"/>
        <v>62.525595488811319</v>
      </c>
      <c r="AS57" s="191">
        <f t="shared" si="22"/>
        <v>62.225595488811322</v>
      </c>
      <c r="AT57" s="191">
        <f t="shared" si="18"/>
        <v>5.9708202719171606</v>
      </c>
      <c r="AU57" s="191">
        <f t="shared" si="5"/>
        <v>300.8589448200525</v>
      </c>
      <c r="AV57" s="191">
        <v>67</v>
      </c>
      <c r="AW57" s="191">
        <f t="shared" si="9"/>
        <v>382.28532346616248</v>
      </c>
      <c r="AX57" s="191">
        <f t="shared" si="10"/>
        <v>18.73227161721573</v>
      </c>
      <c r="AZ57" s="191">
        <v>67</v>
      </c>
      <c r="BA57" s="191">
        <f>IF('Egg grading'!C61="",IF('Egg grading'!B61="","",'Egg grading'!B61),'Egg grading'!C61)</f>
        <v>64.025595488811305</v>
      </c>
      <c r="BC57" s="191" t="str">
        <f>IF(BC56="",'Egg grading'!K61,BC56+'Egg grading'!K61)</f>
        <v/>
      </c>
      <c r="BD57" s="191" t="str">
        <f>IF(BD56="",'Egg grading'!L61,BD56+'Egg grading'!L61)</f>
        <v/>
      </c>
      <c r="BE57" s="191" t="str">
        <f>IF(BE56="",'Egg grading'!M61,BE56+'Egg grading'!M61)</f>
        <v/>
      </c>
      <c r="BF57" s="191" t="str">
        <f>IF(BF56="",'Egg grading'!N61,BF56+'Egg grading'!N61)</f>
        <v/>
      </c>
    </row>
    <row r="58" spans="1:58" x14ac:dyDescent="0.2">
      <c r="A58" s="194">
        <f>'Production data'!B65</f>
        <v>68</v>
      </c>
      <c r="B58" s="191" t="e">
        <f>IF('Production data'!C65="",#N/A,'Production data'!C65)</f>
        <v>#N/A</v>
      </c>
      <c r="C58" s="191" t="e">
        <f>IF(OR('Input Laying'!E66=0,'Input Laying'!D65=0),#N/A,'Input Laying'!E66/'Input Laying'!D65*100*25)</f>
        <v>#N/A</v>
      </c>
      <c r="D58" s="191">
        <f>IF(OR('Production data'!D65="",'Production data'!D65=0),0,'Production data'!D65)</f>
        <v>0</v>
      </c>
      <c r="E58" s="191">
        <f>IF(OR(Std!B71="",Std!B71=0),0,Std!B71)</f>
        <v>84.826433598997625</v>
      </c>
      <c r="F58" s="193" t="e">
        <f>IF('Production data'!H65="",#N/A,'Production data'!H65)</f>
        <v>#N/A</v>
      </c>
      <c r="G58" s="193">
        <f>IF(OR(Std!C71="",Std!C71=0),#N/A,Std!C71)</f>
        <v>64.056457206880978</v>
      </c>
      <c r="H58" s="191" t="e">
        <f t="shared" si="14"/>
        <v>#N/A</v>
      </c>
      <c r="I58" s="191">
        <f>('Input Laying'!AH66-1000)/25</f>
        <v>-40</v>
      </c>
      <c r="J58" s="191">
        <f>IF((Std!D71-1000)/25&lt;15,#N/A,(Std!D71-1000)/25)</f>
        <v>38.253512178123302</v>
      </c>
      <c r="K58" s="191" t="e">
        <f>IF('Production data'!P65="",#N/A,'Production data'!P65)</f>
        <v>#N/A</v>
      </c>
      <c r="L58" s="191" t="e">
        <f>IF('Production data'!L65="",#N/A,'Production data'!L65)</f>
        <v>#N/A</v>
      </c>
      <c r="M58" s="191">
        <f>IF(Std!E71=0,#N/A,Std!E71)</f>
        <v>54.336808138465223</v>
      </c>
      <c r="O58" s="191" t="e">
        <f>IF('Input Laying'!V66=0,NA(),IF('Input Laying'!V66="",NA(),'Input Laying'!W66/'Input Laying'!O66*100))</f>
        <v>#N/A</v>
      </c>
      <c r="P58" s="191" t="e">
        <f>IF('Input Laying'!T66="",#N/A,'Input Laying'!T66/'Input Laying'!N66*100)</f>
        <v>#N/A</v>
      </c>
      <c r="Q58" s="191" t="e">
        <f>IF('Input Laying'!U66="",#N/A,'Input Laying'!U66/'Input Laying'!N66*100)</f>
        <v>#N/A</v>
      </c>
      <c r="R58" s="191" t="str">
        <f>IF('Input Laying'!V66="",#N/A,'Production data'!W65)</f>
        <v/>
      </c>
      <c r="S58" s="191">
        <f>'Input Laying'!D66*7+'Graph values'!S57</f>
        <v>0</v>
      </c>
      <c r="T58" s="191" t="str">
        <f>IF(OR('Input Laying'!AF66="",'Input Laying'!D66=0,'Input Laying'!O66=0),"#N/A",'Input Laying'!AF66/'Input Laying'!D66/(AD58*7)*1000)</f>
        <v>#N/A</v>
      </c>
      <c r="U58" s="191" t="e">
        <f>IF('Production data'!U65="",#N/A,'Production data'!U65)</f>
        <v>#N/A</v>
      </c>
      <c r="V58" s="191" t="e">
        <f>IF('Production data'!V65="",#N/A,'Production data'!V65)</f>
        <v>#N/A</v>
      </c>
      <c r="W58" s="191" t="e">
        <f>IF('Production data'!S65="",#N/A,'Production data'!S65)</f>
        <v>#N/A</v>
      </c>
      <c r="X58" s="191" t="e">
        <f>IF('Production data'!T65="",#N/A,'Production data'!T65)</f>
        <v>#N/A</v>
      </c>
      <c r="Y58" s="191" t="e">
        <f>IF('Input Laying'!E66="",#N/A,'Production data'!F65)</f>
        <v>#N/A</v>
      </c>
      <c r="Z58" s="191">
        <f>IF('Production data'!G65="",#N/A,'Production data'!G65)</f>
        <v>298.76864681467623</v>
      </c>
      <c r="AD58" s="191">
        <f>IF('Input Laying'!AF66=0,0,(IF('Input Laying'!N66&gt;0,1,IF('Input Laying'!O66&gt;0,0,1))))+AD57</f>
        <v>0</v>
      </c>
      <c r="AE58" s="191">
        <v>68</v>
      </c>
      <c r="AF58" s="191">
        <f t="shared" si="19"/>
        <v>84.826433598997625</v>
      </c>
      <c r="AG58" s="191">
        <f t="shared" si="21"/>
        <v>84.376433598997622</v>
      </c>
      <c r="AH58" s="191">
        <f t="shared" si="21"/>
        <v>83.926433598997619</v>
      </c>
      <c r="AI58" s="191">
        <f t="shared" si="11"/>
        <v>82.426433598997619</v>
      </c>
      <c r="AJ58" s="191">
        <f t="shared" si="21"/>
        <v>81.976433598997616</v>
      </c>
      <c r="AK58" s="191">
        <f t="shared" si="21"/>
        <v>81.526433598997613</v>
      </c>
      <c r="AL58" s="191">
        <f t="shared" si="21"/>
        <v>81.07643359899761</v>
      </c>
      <c r="AM58" s="191">
        <f t="shared" si="17"/>
        <v>64.056457206880978</v>
      </c>
      <c r="AN58" s="191">
        <f t="shared" si="22"/>
        <v>63.756457206880981</v>
      </c>
      <c r="AO58" s="191">
        <f t="shared" si="22"/>
        <v>63.456457206880984</v>
      </c>
      <c r="AP58" s="191">
        <f t="shared" si="22"/>
        <v>63.156457206880987</v>
      </c>
      <c r="AQ58" s="191">
        <f t="shared" si="22"/>
        <v>62.856457206880989</v>
      </c>
      <c r="AR58" s="191">
        <f t="shared" si="22"/>
        <v>62.556457206880992</v>
      </c>
      <c r="AS58" s="191">
        <f t="shared" si="22"/>
        <v>62.256457206880995</v>
      </c>
      <c r="AT58" s="191">
        <f t="shared" si="18"/>
        <v>5.9378503519298338</v>
      </c>
      <c r="AU58" s="191">
        <f t="shared" si="5"/>
        <v>306.79679517198235</v>
      </c>
      <c r="AV58" s="191">
        <v>68</v>
      </c>
      <c r="AW58" s="191">
        <f t="shared" si="9"/>
        <v>380.35765696925654</v>
      </c>
      <c r="AX58" s="191">
        <f t="shared" si="10"/>
        <v>19.112629274184986</v>
      </c>
      <c r="AZ58" s="191">
        <v>68</v>
      </c>
      <c r="BA58" s="191">
        <f>IF('Egg grading'!C62="",IF('Egg grading'!B62="","",'Egg grading'!B62),'Egg grading'!C62)</f>
        <v>64.056457206880978</v>
      </c>
      <c r="BC58" s="191" t="str">
        <f>IF(BC57="",'Egg grading'!K62,BC57+'Egg grading'!K62)</f>
        <v/>
      </c>
      <c r="BD58" s="191" t="str">
        <f>IF(BD57="",'Egg grading'!L62,BD57+'Egg grading'!L62)</f>
        <v/>
      </c>
      <c r="BE58" s="191" t="str">
        <f>IF(BE57="",'Egg grading'!M62,BE57+'Egg grading'!M62)</f>
        <v/>
      </c>
      <c r="BF58" s="191" t="str">
        <f>IF(BF57="",'Egg grading'!N62,BF57+'Egg grading'!N62)</f>
        <v/>
      </c>
    </row>
    <row r="59" spans="1:58" x14ac:dyDescent="0.2">
      <c r="A59" s="194">
        <f>'Production data'!B66</f>
        <v>69</v>
      </c>
      <c r="B59" s="191" t="e">
        <f>IF('Production data'!C66="",#N/A,'Production data'!C66)</f>
        <v>#N/A</v>
      </c>
      <c r="C59" s="191" t="e">
        <f>IF(OR('Input Laying'!E67=0,'Input Laying'!D66=0),#N/A,'Input Laying'!E67/'Input Laying'!D66*100*25)</f>
        <v>#N/A</v>
      </c>
      <c r="D59" s="191">
        <f>IF(OR('Production data'!D66="",'Production data'!D66=0),0,'Production data'!D66)</f>
        <v>0</v>
      </c>
      <c r="E59" s="191">
        <f>IF(OR(Std!B72="",Std!B72=0),0,Std!B72)</f>
        <v>84.351840420804891</v>
      </c>
      <c r="F59" s="193" t="e">
        <f>IF('Production data'!H66="",#N/A,'Production data'!H66)</f>
        <v>#N/A</v>
      </c>
      <c r="G59" s="193">
        <f>IF(OR(Std!C72="",Std!C72=0),#N/A,Std!C72)</f>
        <v>64.087318924950637</v>
      </c>
      <c r="H59" s="191" t="e">
        <f t="shared" si="14"/>
        <v>#N/A</v>
      </c>
      <c r="I59" s="191">
        <f>('Input Laying'!AH67-1000)/25</f>
        <v>-40</v>
      </c>
      <c r="J59" s="191">
        <f>IF((Std!D72-1000)/25&lt;15,#N/A,(Std!D72-1000)/25)</f>
        <v>38.29629522145143</v>
      </c>
      <c r="K59" s="191" t="e">
        <f>IF('Production data'!P66="",#N/A,'Production data'!P66)</f>
        <v>#N/A</v>
      </c>
      <c r="L59" s="191" t="e">
        <f>IF('Production data'!L66="",#N/A,'Production data'!L66)</f>
        <v>#N/A</v>
      </c>
      <c r="M59" s="191">
        <f>IF(Std!E72=0,#N/A,Std!E72)</f>
        <v>54.058832989546652</v>
      </c>
      <c r="O59" s="191" t="e">
        <f>IF('Input Laying'!V67=0,NA(),IF('Input Laying'!V67="",NA(),'Input Laying'!W67/'Input Laying'!O67*100))</f>
        <v>#N/A</v>
      </c>
      <c r="P59" s="191" t="e">
        <f>IF('Input Laying'!T67="",#N/A,'Input Laying'!T67/'Input Laying'!N67*100)</f>
        <v>#N/A</v>
      </c>
      <c r="Q59" s="191" t="e">
        <f>IF('Input Laying'!U67="",#N/A,'Input Laying'!U67/'Input Laying'!N67*100)</f>
        <v>#N/A</v>
      </c>
      <c r="R59" s="191" t="str">
        <f>IF('Input Laying'!V67="",#N/A,'Production data'!W66)</f>
        <v/>
      </c>
      <c r="S59" s="191">
        <f>'Input Laying'!D67*7+'Graph values'!S58</f>
        <v>0</v>
      </c>
      <c r="T59" s="191" t="str">
        <f>IF(OR('Input Laying'!AF67="",'Input Laying'!D67=0,'Input Laying'!O67=0),"#N/A",'Input Laying'!AF67/'Input Laying'!D67/(AD59*7)*1000)</f>
        <v>#N/A</v>
      </c>
      <c r="U59" s="191" t="e">
        <f>IF('Production data'!U66="",#N/A,'Production data'!U66)</f>
        <v>#N/A</v>
      </c>
      <c r="V59" s="191" t="e">
        <f>IF('Production data'!V66="",#N/A,'Production data'!V66)</f>
        <v>#N/A</v>
      </c>
      <c r="W59" s="191" t="e">
        <f>IF('Production data'!S66="",#N/A,'Production data'!S66)</f>
        <v>#N/A</v>
      </c>
      <c r="X59" s="191" t="e">
        <f>IF('Production data'!T66="",#N/A,'Production data'!T66)</f>
        <v>#N/A</v>
      </c>
      <c r="Y59" s="191" t="e">
        <f>IF('Input Laying'!E67="",#N/A,'Production data'!F66)</f>
        <v>#N/A</v>
      </c>
      <c r="Z59" s="191">
        <f>IF('Production data'!G66="",#N/A,'Production data'!G66)</f>
        <v>304.37851657296608</v>
      </c>
      <c r="AD59" s="191">
        <f>IF('Input Laying'!AF67=0,0,(IF('Input Laying'!N67&gt;0,1,IF('Input Laying'!O67&gt;0,0,1))))+AD58</f>
        <v>0</v>
      </c>
      <c r="AE59" s="191">
        <v>69</v>
      </c>
      <c r="AF59" s="191">
        <f t="shared" si="19"/>
        <v>84.351840420804891</v>
      </c>
      <c r="AG59" s="191">
        <f t="shared" si="21"/>
        <v>83.901840420804888</v>
      </c>
      <c r="AH59" s="191">
        <f t="shared" si="21"/>
        <v>83.451840420804885</v>
      </c>
      <c r="AI59" s="191">
        <f t="shared" si="11"/>
        <v>81.951840420804885</v>
      </c>
      <c r="AJ59" s="191">
        <f t="shared" si="21"/>
        <v>81.501840420804882</v>
      </c>
      <c r="AK59" s="191">
        <f t="shared" si="21"/>
        <v>81.051840420804879</v>
      </c>
      <c r="AL59" s="191">
        <f t="shared" si="21"/>
        <v>80.601840420804876</v>
      </c>
      <c r="AM59" s="191">
        <f t="shared" si="17"/>
        <v>64.087318924950637</v>
      </c>
      <c r="AN59" s="191">
        <f t="shared" si="22"/>
        <v>63.78731892495064</v>
      </c>
      <c r="AO59" s="191">
        <f t="shared" si="22"/>
        <v>63.487318924950642</v>
      </c>
      <c r="AP59" s="191">
        <f t="shared" si="22"/>
        <v>63.187318924950645</v>
      </c>
      <c r="AQ59" s="191">
        <f t="shared" si="22"/>
        <v>62.887318924950648</v>
      </c>
      <c r="AR59" s="191">
        <f t="shared" si="22"/>
        <v>62.587318924950651</v>
      </c>
      <c r="AS59" s="191">
        <f t="shared" si="22"/>
        <v>62.287318924950654</v>
      </c>
      <c r="AT59" s="191">
        <f t="shared" si="18"/>
        <v>5.9046288294563416</v>
      </c>
      <c r="AU59" s="191">
        <f t="shared" si="5"/>
        <v>312.70142400143868</v>
      </c>
      <c r="AV59" s="191">
        <v>69</v>
      </c>
      <c r="AW59" s="191">
        <f t="shared" si="9"/>
        <v>378.41183092682655</v>
      </c>
      <c r="AX59" s="191">
        <f t="shared" si="10"/>
        <v>19.491041105111812</v>
      </c>
      <c r="AZ59" s="191">
        <v>69</v>
      </c>
      <c r="BA59" s="191">
        <f>IF('Egg grading'!C63="",IF('Egg grading'!B63="","",'Egg grading'!B63),'Egg grading'!C63)</f>
        <v>64.087318924950637</v>
      </c>
      <c r="BC59" s="191" t="str">
        <f>IF(BC58="",'Egg grading'!K63,BC58+'Egg grading'!K63)</f>
        <v/>
      </c>
      <c r="BD59" s="191" t="str">
        <f>IF(BD58="",'Egg grading'!L63,BD58+'Egg grading'!L63)</f>
        <v/>
      </c>
      <c r="BE59" s="191" t="str">
        <f>IF(BE58="",'Egg grading'!M63,BE58+'Egg grading'!M63)</f>
        <v/>
      </c>
      <c r="BF59" s="191" t="str">
        <f>IF(BF58="",'Egg grading'!N63,BF58+'Egg grading'!N63)</f>
        <v/>
      </c>
    </row>
    <row r="60" spans="1:58" x14ac:dyDescent="0.2">
      <c r="A60" s="194">
        <f>'Production data'!B67</f>
        <v>70</v>
      </c>
      <c r="B60" s="191" t="e">
        <f>IF('Production data'!C67="",#N/A,'Production data'!C67)</f>
        <v>#N/A</v>
      </c>
      <c r="C60" s="191" t="e">
        <f>IF(OR('Input Laying'!E68=0,'Input Laying'!D67=0),#N/A,'Input Laying'!E68/'Input Laying'!D67*100*25)</f>
        <v>#N/A</v>
      </c>
      <c r="D60" s="191">
        <f>IF(OR('Production data'!D67="",'Production data'!D67=0),0,'Production data'!D67)</f>
        <v>0</v>
      </c>
      <c r="E60" s="191">
        <f>IF(OR(Std!B73="",Std!B73=0),0,Std!B73)</f>
        <v>83.874342143965322</v>
      </c>
      <c r="F60" s="193" t="e">
        <f>IF('Production data'!H67="",#N/A,'Production data'!H67)</f>
        <v>#N/A</v>
      </c>
      <c r="G60" s="193">
        <f>IF(OR(Std!C73="",Std!C73=0),#N/A,Std!C73)</f>
        <v>64.118180643020295</v>
      </c>
      <c r="H60" s="191" t="e">
        <f t="shared" si="14"/>
        <v>#N/A</v>
      </c>
      <c r="I60" s="191">
        <f>('Input Laying'!AH68-1000)/25</f>
        <v>-40</v>
      </c>
      <c r="J60" s="191">
        <f>IF((Std!D73-1000)/25&lt;15,#N/A,(Std!D73-1000)/25)</f>
        <v>38.336256791983445</v>
      </c>
      <c r="K60" s="191" t="e">
        <f>IF('Production data'!P67="",#N/A,'Production data'!P67)</f>
        <v>#N/A</v>
      </c>
      <c r="L60" s="191" t="e">
        <f>IF('Production data'!L67="",#N/A,'Production data'!L67)</f>
        <v>#N/A</v>
      </c>
      <c r="M60" s="191">
        <f>IF(Std!E73=0,#N/A,Std!E73)</f>
        <v>53.778702209012593</v>
      </c>
      <c r="O60" s="191" t="e">
        <f>IF('Input Laying'!V68=0,NA(),IF('Input Laying'!V68="",NA(),'Input Laying'!W68/'Input Laying'!O68*100))</f>
        <v>#N/A</v>
      </c>
      <c r="P60" s="191" t="e">
        <f>IF('Input Laying'!T68="",#N/A,'Input Laying'!T68/'Input Laying'!N68*100)</f>
        <v>#N/A</v>
      </c>
      <c r="Q60" s="191" t="e">
        <f>IF('Input Laying'!U68="",#N/A,'Input Laying'!U68/'Input Laying'!N68*100)</f>
        <v>#N/A</v>
      </c>
      <c r="R60" s="191" t="str">
        <f>IF('Input Laying'!V68="",#N/A,'Production data'!W67)</f>
        <v/>
      </c>
      <c r="S60" s="191">
        <f>'Input Laying'!D68*7+'Graph values'!S59</f>
        <v>0</v>
      </c>
      <c r="T60" s="191" t="str">
        <f>IF(OR('Input Laying'!AF68="",'Input Laying'!D68=0,'Input Laying'!O68=0),"#N/A",'Input Laying'!AF68/'Input Laying'!D68/(AD60*7)*1000)</f>
        <v>#N/A</v>
      </c>
      <c r="U60" s="191" t="e">
        <f>IF('Production data'!U67="",#N/A,'Production data'!U67)</f>
        <v>#N/A</v>
      </c>
      <c r="V60" s="191" t="e">
        <f>IF('Production data'!V67="",#N/A,'Production data'!V67)</f>
        <v>#N/A</v>
      </c>
      <c r="W60" s="191" t="e">
        <f>IF('Production data'!S67="",#N/A,'Production data'!S67)</f>
        <v>#N/A</v>
      </c>
      <c r="X60" s="191" t="e">
        <f>IF('Production data'!T67="",#N/A,'Production data'!T67)</f>
        <v>#N/A</v>
      </c>
      <c r="Y60" s="191" t="e">
        <f>IF('Input Laying'!E68="",#N/A,'Production data'!F67)</f>
        <v>#N/A</v>
      </c>
      <c r="Z60" s="191">
        <f>IF('Production data'!G67="",#N/A,'Production data'!G67)</f>
        <v>309.95099366606371</v>
      </c>
      <c r="AD60" s="191">
        <f>IF('Input Laying'!AF68=0,0,(IF('Input Laying'!N68&gt;0,1,IF('Input Laying'!O68&gt;0,0,1))))+AD59</f>
        <v>0</v>
      </c>
      <c r="AE60" s="191">
        <v>70</v>
      </c>
      <c r="AF60" s="191">
        <f t="shared" si="19"/>
        <v>83.874342143965322</v>
      </c>
      <c r="AG60" s="191">
        <f t="shared" si="21"/>
        <v>83.424342143965319</v>
      </c>
      <c r="AH60" s="191">
        <f t="shared" si="21"/>
        <v>82.974342143965316</v>
      </c>
      <c r="AI60" s="191">
        <f t="shared" si="11"/>
        <v>81.474342143965316</v>
      </c>
      <c r="AJ60" s="191">
        <f t="shared" si="21"/>
        <v>81.024342143965313</v>
      </c>
      <c r="AK60" s="191">
        <f t="shared" si="21"/>
        <v>80.57434214396531</v>
      </c>
      <c r="AL60" s="191">
        <f t="shared" si="21"/>
        <v>80.124342143965308</v>
      </c>
      <c r="AM60" s="191">
        <f t="shared" si="17"/>
        <v>64.118180643020295</v>
      </c>
      <c r="AN60" s="191">
        <f t="shared" si="22"/>
        <v>63.818180643020298</v>
      </c>
      <c r="AO60" s="191">
        <f t="shared" si="22"/>
        <v>63.518180643020301</v>
      </c>
      <c r="AP60" s="191">
        <f t="shared" si="22"/>
        <v>63.218180643020304</v>
      </c>
      <c r="AQ60" s="191">
        <f t="shared" si="22"/>
        <v>62.918180643020307</v>
      </c>
      <c r="AR60" s="191">
        <f t="shared" si="22"/>
        <v>62.61818064302031</v>
      </c>
      <c r="AS60" s="191">
        <f t="shared" si="22"/>
        <v>62.318180643020312</v>
      </c>
      <c r="AT60" s="191">
        <f t="shared" si="18"/>
        <v>5.8712039500775726</v>
      </c>
      <c r="AU60" s="191">
        <f t="shared" si="5"/>
        <v>318.57262795151627</v>
      </c>
      <c r="AV60" s="191">
        <v>70</v>
      </c>
      <c r="AW60" s="191">
        <f t="shared" si="9"/>
        <v>376.45091546308817</v>
      </c>
      <c r="AX60" s="191">
        <f t="shared" si="10"/>
        <v>19.8674920205749</v>
      </c>
      <c r="AZ60" s="191">
        <v>70</v>
      </c>
      <c r="BA60" s="191">
        <f>IF('Egg grading'!C64="",IF('Egg grading'!B64="","",'Egg grading'!B64),'Egg grading'!C64)</f>
        <v>64.118180643020295</v>
      </c>
      <c r="BC60" s="191" t="str">
        <f>IF(BC59="",'Egg grading'!K64,BC59+'Egg grading'!K64)</f>
        <v/>
      </c>
      <c r="BD60" s="191" t="str">
        <f>IF(BD59="",'Egg grading'!L64,BD59+'Egg grading'!L64)</f>
        <v/>
      </c>
      <c r="BE60" s="191" t="str">
        <f>IF(BE59="",'Egg grading'!M64,BE59+'Egg grading'!M64)</f>
        <v/>
      </c>
      <c r="BF60" s="191" t="str">
        <f>IF(BF59="",'Egg grading'!N64,BF59+'Egg grading'!N64)</f>
        <v/>
      </c>
    </row>
    <row r="61" spans="1:58" x14ac:dyDescent="0.2">
      <c r="A61" s="194">
        <f>'Production data'!B68</f>
        <v>71</v>
      </c>
      <c r="B61" s="191" t="e">
        <f>IF('Production data'!C68="",#N/A,'Production data'!C68)</f>
        <v>#N/A</v>
      </c>
      <c r="C61" s="191" t="e">
        <f>IF(OR('Input Laying'!E69=0,'Input Laying'!D68=0),#N/A,'Input Laying'!E69/'Input Laying'!D68*100*25)</f>
        <v>#N/A</v>
      </c>
      <c r="D61" s="191">
        <f>IF(OR('Production data'!D68="",'Production data'!D68=0),0,'Production data'!D68)</f>
        <v>0</v>
      </c>
      <c r="E61" s="191">
        <f>IF(OR(Std!B74="",Std!B74=0),0,Std!B74)</f>
        <v>83.394582565318686</v>
      </c>
      <c r="F61" s="193" t="e">
        <f>IF('Production data'!H68="",#N/A,'Production data'!H68)</f>
        <v>#N/A</v>
      </c>
      <c r="G61" s="193">
        <f>IF(OR(Std!C74="",Std!C74=0),#N/A,Std!C74)</f>
        <v>64.149042361089968</v>
      </c>
      <c r="H61" s="191" t="e">
        <f t="shared" si="14"/>
        <v>#N/A</v>
      </c>
      <c r="I61" s="191">
        <f>('Input Laying'!AH69-1000)/25</f>
        <v>-40</v>
      </c>
      <c r="J61" s="191">
        <f>IF((Std!D74-1000)/25&lt;15,#N/A,(Std!D74-1000)/25)</f>
        <v>38.373556010646659</v>
      </c>
      <c r="K61" s="191" t="e">
        <f>IF('Production data'!P68="",#N/A,'Production data'!P68)</f>
        <v>#N/A</v>
      </c>
      <c r="L61" s="191" t="e">
        <f>IF('Production data'!L68="",#N/A,'Production data'!L68)</f>
        <v>#N/A</v>
      </c>
      <c r="M61" s="191">
        <f>IF(Std!E74=0,#N/A,Std!E74)</f>
        <v>53.496826096680437</v>
      </c>
      <c r="O61" s="191" t="e">
        <f>IF('Input Laying'!V69=0,NA(),IF('Input Laying'!V69="",NA(),'Input Laying'!W69/'Input Laying'!O69*100))</f>
        <v>#N/A</v>
      </c>
      <c r="P61" s="191" t="e">
        <f>IF('Input Laying'!T69="",#N/A,'Input Laying'!T69/'Input Laying'!N69*100)</f>
        <v>#N/A</v>
      </c>
      <c r="Q61" s="191" t="e">
        <f>IF('Input Laying'!U69="",#N/A,'Input Laying'!U69/'Input Laying'!N69*100)</f>
        <v>#N/A</v>
      </c>
      <c r="R61" s="191" t="str">
        <f>IF('Input Laying'!V69="",#N/A,'Production data'!W68)</f>
        <v/>
      </c>
      <c r="S61" s="191">
        <f>'Input Laying'!D69*7+'Graph values'!S60</f>
        <v>0</v>
      </c>
      <c r="T61" s="191" t="str">
        <f>IF(OR('Input Laying'!AF69="",'Input Laying'!D69=0,'Input Laying'!O69=0),"#N/A",'Input Laying'!AF69/'Input Laying'!D69/(AD61*7)*1000)</f>
        <v>#N/A</v>
      </c>
      <c r="U61" s="191" t="e">
        <f>IF('Production data'!U68="",#N/A,'Production data'!U68)</f>
        <v>#N/A</v>
      </c>
      <c r="V61" s="191" t="e">
        <f>IF('Production data'!V68="",#N/A,'Production data'!V68)</f>
        <v>#N/A</v>
      </c>
      <c r="W61" s="191" t="e">
        <f>IF('Production data'!S68="",#N/A,'Production data'!S68)</f>
        <v>#N/A</v>
      </c>
      <c r="X61" s="191" t="e">
        <f>IF('Production data'!T68="",#N/A,'Production data'!T68)</f>
        <v>#N/A</v>
      </c>
      <c r="Y61" s="191" t="e">
        <f>IF('Input Laying'!E69="",#N/A,'Production data'!F68)</f>
        <v>#N/A</v>
      </c>
      <c r="Z61" s="191">
        <f>IF('Production data'!G68="",#N/A,'Production data'!G68)</f>
        <v>315.48599218442297</v>
      </c>
      <c r="AD61" s="191">
        <f>IF('Input Laying'!AF69=0,0,(IF('Input Laying'!N69&gt;0,1,IF('Input Laying'!O69&gt;0,0,1))))+AD60</f>
        <v>0</v>
      </c>
      <c r="AE61" s="191">
        <v>71</v>
      </c>
      <c r="AF61" s="191">
        <f t="shared" si="19"/>
        <v>83.394582565318686</v>
      </c>
      <c r="AG61" s="191">
        <f t="shared" si="21"/>
        <v>82.944582565318683</v>
      </c>
      <c r="AH61" s="191">
        <f t="shared" si="21"/>
        <v>82.49458256531868</v>
      </c>
      <c r="AI61" s="191">
        <f t="shared" si="11"/>
        <v>80.99458256531868</v>
      </c>
      <c r="AJ61" s="191">
        <f t="shared" si="21"/>
        <v>80.544582565318677</v>
      </c>
      <c r="AK61" s="191">
        <f t="shared" si="21"/>
        <v>80.094582565318674</v>
      </c>
      <c r="AL61" s="191">
        <f t="shared" si="21"/>
        <v>79.644582565318672</v>
      </c>
      <c r="AM61" s="191">
        <f t="shared" si="17"/>
        <v>64.149042361089968</v>
      </c>
      <c r="AN61" s="191">
        <f t="shared" si="22"/>
        <v>63.849042361089971</v>
      </c>
      <c r="AO61" s="191">
        <f t="shared" si="22"/>
        <v>63.549042361089974</v>
      </c>
      <c r="AP61" s="191">
        <f t="shared" si="22"/>
        <v>63.249042361089977</v>
      </c>
      <c r="AQ61" s="191">
        <f t="shared" si="22"/>
        <v>62.94904236108998</v>
      </c>
      <c r="AR61" s="191">
        <f t="shared" si="22"/>
        <v>62.649042361089982</v>
      </c>
      <c r="AS61" s="191">
        <f t="shared" si="22"/>
        <v>62.349042361089985</v>
      </c>
      <c r="AT61" s="191">
        <f t="shared" si="18"/>
        <v>5.8376207795723074</v>
      </c>
      <c r="AU61" s="191">
        <f t="shared" si="5"/>
        <v>324.41024873108859</v>
      </c>
      <c r="AV61" s="191">
        <v>71</v>
      </c>
      <c r="AW61" s="191">
        <f t="shared" si="9"/>
        <v>374.47778267676307</v>
      </c>
      <c r="AX61" s="191">
        <f t="shared" si="10"/>
        <v>20.241969803251664</v>
      </c>
      <c r="AZ61" s="191">
        <v>71</v>
      </c>
      <c r="BA61" s="191">
        <f>IF('Egg grading'!C65="",IF('Egg grading'!B65="","",'Egg grading'!B65),'Egg grading'!C65)</f>
        <v>64.149042361089968</v>
      </c>
      <c r="BC61" s="191" t="str">
        <f>IF(BC60="",'Egg grading'!K65,BC60+'Egg grading'!K65)</f>
        <v/>
      </c>
      <c r="BD61" s="191" t="str">
        <f>IF(BD60="",'Egg grading'!L65,BD60+'Egg grading'!L65)</f>
        <v/>
      </c>
      <c r="BE61" s="191" t="str">
        <f>IF(BE60="",'Egg grading'!M65,BE60+'Egg grading'!M65)</f>
        <v/>
      </c>
      <c r="BF61" s="191" t="str">
        <f>IF(BF60="",'Egg grading'!N65,BF60+'Egg grading'!N65)</f>
        <v/>
      </c>
    </row>
    <row r="62" spans="1:58" x14ac:dyDescent="0.2">
      <c r="A62" s="194">
        <f>'Production data'!B69</f>
        <v>72</v>
      </c>
      <c r="B62" s="191" t="e">
        <f>IF('Production data'!C69="",#N/A,'Production data'!C69)</f>
        <v>#N/A</v>
      </c>
      <c r="C62" s="191" t="e">
        <f>IF(OR('Input Laying'!E70=0,'Input Laying'!D69=0),#N/A,'Input Laying'!E70/'Input Laying'!D69*100*25)</f>
        <v>#N/A</v>
      </c>
      <c r="D62" s="191">
        <f>IF(OR('Production data'!D69="",'Production data'!D69=0),0,'Production data'!D69)</f>
        <v>0</v>
      </c>
      <c r="E62" s="191">
        <f>IF(OR(Std!B75="",Std!B75=0),0,Std!B75)</f>
        <v>82.913160055960603</v>
      </c>
      <c r="F62" s="193" t="e">
        <f>IF('Production data'!H69="",#N/A,'Production data'!H69)</f>
        <v>#N/A</v>
      </c>
      <c r="G62" s="193">
        <f>IF(OR(Std!C75="",Std!C75=0),#N/A,Std!C75)</f>
        <v>64.179904079159627</v>
      </c>
      <c r="H62" s="191" t="e">
        <f t="shared" si="14"/>
        <v>#N/A</v>
      </c>
      <c r="I62" s="191">
        <f>('Input Laying'!AH70-1000)/25</f>
        <v>-40</v>
      </c>
      <c r="J62" s="191">
        <f>IF((Std!D75-1000)/25&lt;15,#N/A,(Std!D75-1000)/25)</f>
        <v>38.408351833729448</v>
      </c>
      <c r="K62" s="191" t="e">
        <f>IF('Production data'!P69="",#N/A,'Production data'!P69)</f>
        <v>#N/A</v>
      </c>
      <c r="L62" s="191" t="e">
        <f>IF('Production data'!L69="",#N/A,'Production data'!L69)</f>
        <v>#N/A</v>
      </c>
      <c r="M62" s="191">
        <f>IF(Std!E75=0,#N/A,Std!E75)</f>
        <v>53.213586592915611</v>
      </c>
      <c r="O62" s="191" t="e">
        <f>IF('Input Laying'!V70=0,NA(),IF('Input Laying'!V70="",NA(),'Input Laying'!W70/'Input Laying'!O70*100))</f>
        <v>#N/A</v>
      </c>
      <c r="P62" s="191" t="e">
        <f>IF('Input Laying'!T70="",#N/A,'Input Laying'!T70/'Input Laying'!N70*100)</f>
        <v>#N/A</v>
      </c>
      <c r="Q62" s="191" t="e">
        <f>IF('Input Laying'!U70="",#N/A,'Input Laying'!U70/'Input Laying'!N70*100)</f>
        <v>#N/A</v>
      </c>
      <c r="R62" s="191" t="str">
        <f>IF('Input Laying'!V70="",#N/A,'Production data'!W69)</f>
        <v/>
      </c>
      <c r="S62" s="191">
        <f>'Input Laying'!D70*7+'Graph values'!S61</f>
        <v>0</v>
      </c>
      <c r="T62" s="191" t="str">
        <f>IF(OR('Input Laying'!AF70="",'Input Laying'!D70=0,'Input Laying'!O70=0),"#N/A",'Input Laying'!AF70/'Input Laying'!D70/(AD62*7)*1000)</f>
        <v>#N/A</v>
      </c>
      <c r="U62" s="191" t="e">
        <f>IF('Production data'!U69="",#N/A,'Production data'!U69)</f>
        <v>#N/A</v>
      </c>
      <c r="V62" s="191" t="e">
        <f>IF('Production data'!V69="",#N/A,'Production data'!V69)</f>
        <v>#N/A</v>
      </c>
      <c r="W62" s="191" t="e">
        <f>IF('Production data'!S69="",#N/A,'Production data'!S69)</f>
        <v>#N/A</v>
      </c>
      <c r="X62" s="191" t="e">
        <f>IF('Production data'!T69="",#N/A,'Production data'!T69)</f>
        <v>#N/A</v>
      </c>
      <c r="Y62" s="191" t="e">
        <f>IF('Input Laying'!E70="",#N/A,'Production data'!F69)</f>
        <v>#N/A</v>
      </c>
      <c r="Z62" s="191">
        <f>IF('Production data'!G69="",#N/A,'Production data'!G69)</f>
        <v>320.98346634877339</v>
      </c>
      <c r="AD62" s="191">
        <f>IF('Input Laying'!AF70=0,0,(IF('Input Laying'!N70&gt;0,1,IF('Input Laying'!O70&gt;0,0,1))))+AD61</f>
        <v>0</v>
      </c>
      <c r="AE62" s="191">
        <v>72</v>
      </c>
      <c r="AF62" s="191">
        <f t="shared" si="19"/>
        <v>82.913160055960603</v>
      </c>
      <c r="AG62" s="191">
        <f t="shared" ref="AG62:AL70" si="23">AF62-0.45</f>
        <v>82.4631600559606</v>
      </c>
      <c r="AH62" s="191">
        <f t="shared" si="23"/>
        <v>82.013160055960597</v>
      </c>
      <c r="AI62" s="191">
        <f t="shared" si="11"/>
        <v>80.513160055960597</v>
      </c>
      <c r="AJ62" s="191">
        <f t="shared" si="23"/>
        <v>80.063160055960594</v>
      </c>
      <c r="AK62" s="191">
        <f t="shared" si="23"/>
        <v>79.613160055960591</v>
      </c>
      <c r="AL62" s="191">
        <f t="shared" si="23"/>
        <v>79.163160055960589</v>
      </c>
      <c r="AM62" s="191">
        <f t="shared" si="17"/>
        <v>64.179904079159627</v>
      </c>
      <c r="AN62" s="191">
        <f t="shared" si="22"/>
        <v>63.87990407915963</v>
      </c>
      <c r="AO62" s="191">
        <f t="shared" si="22"/>
        <v>63.579904079159633</v>
      </c>
      <c r="AP62" s="191">
        <f t="shared" si="22"/>
        <v>63.279904079159635</v>
      </c>
      <c r="AQ62" s="191">
        <f t="shared" si="22"/>
        <v>62.979904079159638</v>
      </c>
      <c r="AR62" s="191">
        <f t="shared" si="22"/>
        <v>62.679904079159641</v>
      </c>
      <c r="AS62" s="191">
        <f t="shared" si="22"/>
        <v>62.379904079159644</v>
      </c>
      <c r="AT62" s="191">
        <f t="shared" si="18"/>
        <v>5.8039212039172421</v>
      </c>
      <c r="AU62" s="191">
        <f t="shared" si="5"/>
        <v>330.21416993500583</v>
      </c>
      <c r="AV62" s="191">
        <v>72</v>
      </c>
      <c r="AW62" s="191">
        <f t="shared" si="9"/>
        <v>372.4951061504093</v>
      </c>
      <c r="AX62" s="191">
        <f t="shared" si="10"/>
        <v>20.614464909402074</v>
      </c>
      <c r="AZ62" s="191">
        <v>72</v>
      </c>
      <c r="BA62" s="191">
        <f>IF('Egg grading'!C66="",IF('Egg grading'!B66="","",'Egg grading'!B66),'Egg grading'!C66)</f>
        <v>64.179904079159627</v>
      </c>
      <c r="BC62" s="191" t="str">
        <f>IF(BC61="",'Egg grading'!K66,BC61+'Egg grading'!K66)</f>
        <v/>
      </c>
      <c r="BD62" s="191" t="str">
        <f>IF(BD61="",'Egg grading'!L66,BD61+'Egg grading'!L66)</f>
        <v/>
      </c>
      <c r="BE62" s="191" t="str">
        <f>IF(BE61="",'Egg grading'!M66,BE61+'Egg grading'!M66)</f>
        <v/>
      </c>
      <c r="BF62" s="191" t="str">
        <f>IF(BF61="",'Egg grading'!N66,BF61+'Egg grading'!N66)</f>
        <v/>
      </c>
    </row>
    <row r="63" spans="1:58" x14ac:dyDescent="0.2">
      <c r="A63" s="194">
        <f>'Production data'!B70</f>
        <v>73</v>
      </c>
      <c r="B63" s="191" t="e">
        <f>IF('Production data'!C70="",#N/A,'Production data'!C70)</f>
        <v>#N/A</v>
      </c>
      <c r="C63" s="191" t="e">
        <f>IF(OR('Input Laying'!E71=0,'Input Laying'!D70=0),#N/A,'Input Laying'!E71/'Input Laying'!D70*100*25)</f>
        <v>#N/A</v>
      </c>
      <c r="D63" s="191">
        <f>IF(OR('Production data'!D70="",'Production data'!D70=0),0,'Production data'!D70)</f>
        <v>0</v>
      </c>
      <c r="E63" s="191">
        <f>IF(OR(Std!B76="",Std!B76=0),0,Std!B76)</f>
        <v>82.430627561242446</v>
      </c>
      <c r="F63" s="193" t="e">
        <f>IF('Production data'!H70="",#N/A,'Production data'!H70)</f>
        <v>#N/A</v>
      </c>
      <c r="G63" s="193">
        <f>IF(OR(Std!C76="",Std!C76=0),#N/A,Std!C76)</f>
        <v>64.210765797229286</v>
      </c>
      <c r="H63" s="191" t="e">
        <f t="shared" si="14"/>
        <v>#N/A</v>
      </c>
      <c r="I63" s="191">
        <f>('Input Laying'!AH71-1000)/25</f>
        <v>-40</v>
      </c>
      <c r="J63" s="191">
        <f>IF((Std!D76-1000)/25&lt;15,#N/A,(Std!D76-1000)/25)</f>
        <v>38.440803052881286</v>
      </c>
      <c r="K63" s="191" t="e">
        <f>IF('Production data'!P70="",#N/A,'Production data'!P70)</f>
        <v>#N/A</v>
      </c>
      <c r="L63" s="191" t="e">
        <f>IF('Production data'!L70="",#N/A,'Production data'!L70)</f>
        <v>#N/A</v>
      </c>
      <c r="M63" s="191">
        <f>IF(Std!E76=0,#N/A,Std!E76)</f>
        <v>52.929337208535713</v>
      </c>
      <c r="O63" s="191" t="e">
        <f>IF('Input Laying'!V71=0,NA(),IF('Input Laying'!V71="",NA(),'Input Laying'!W71/'Input Laying'!O71*100))</f>
        <v>#N/A</v>
      </c>
      <c r="P63" s="191" t="e">
        <f>IF('Input Laying'!T71="",#N/A,'Input Laying'!T71/'Input Laying'!N71*100)</f>
        <v>#N/A</v>
      </c>
      <c r="Q63" s="191" t="e">
        <f>IF('Input Laying'!U71="",#N/A,'Input Laying'!U71/'Input Laying'!N71*100)</f>
        <v>#N/A</v>
      </c>
      <c r="R63" s="191" t="str">
        <f>IF('Input Laying'!V71="",#N/A,'Production data'!W70)</f>
        <v/>
      </c>
      <c r="S63" s="191">
        <f>'Input Laying'!D71*7+'Graph values'!S62</f>
        <v>0</v>
      </c>
      <c r="T63" s="191" t="str">
        <f>IF(OR('Input Laying'!AF71="",'Input Laying'!D71=0,'Input Laying'!O71=0),"#N/A",'Input Laying'!AF71/'Input Laying'!D71/(AD63*7)*1000)</f>
        <v>#N/A</v>
      </c>
      <c r="U63" s="191" t="e">
        <f>IF('Production data'!U70="",#N/A,'Production data'!U70)</f>
        <v>#N/A</v>
      </c>
      <c r="V63" s="191" t="e">
        <f>IF('Production data'!V70="",#N/A,'Production data'!V70)</f>
        <v>#N/A</v>
      </c>
      <c r="W63" s="191" t="e">
        <f>IF('Production data'!S70="",#N/A,'Production data'!S70)</f>
        <v>#N/A</v>
      </c>
      <c r="X63" s="191" t="e">
        <f>IF('Production data'!T70="",#N/A,'Production data'!T70)</f>
        <v>#N/A</v>
      </c>
      <c r="Y63" s="191" t="e">
        <f>IF('Input Laying'!E71="",#N/A,'Production data'!F70)</f>
        <v>#N/A</v>
      </c>
      <c r="Z63" s="191">
        <f>IF('Production data'!G70="",#N/A,'Production data'!G70)</f>
        <v>326.44340734042186</v>
      </c>
      <c r="AD63" s="191">
        <f>IF('Input Laying'!AF71=0,0,(IF('Input Laying'!N71&gt;0,1,IF('Input Laying'!O71&gt;0,0,1))))+AD62</f>
        <v>0</v>
      </c>
      <c r="AE63" s="191">
        <v>73</v>
      </c>
      <c r="AF63" s="191">
        <f t="shared" si="19"/>
        <v>82.430627561242446</v>
      </c>
      <c r="AG63" s="191">
        <f t="shared" si="23"/>
        <v>81.980627561242443</v>
      </c>
      <c r="AH63" s="191">
        <f t="shared" si="23"/>
        <v>81.53062756124244</v>
      </c>
      <c r="AI63" s="191">
        <f t="shared" si="11"/>
        <v>80.03062756124244</v>
      </c>
      <c r="AJ63" s="191">
        <f t="shared" si="23"/>
        <v>79.580627561242437</v>
      </c>
      <c r="AK63" s="191">
        <f t="shared" si="23"/>
        <v>79.130627561242434</v>
      </c>
      <c r="AL63" s="191">
        <f t="shared" si="23"/>
        <v>78.680627561242432</v>
      </c>
      <c r="AM63" s="191">
        <f t="shared" si="17"/>
        <v>64.210765797229286</v>
      </c>
      <c r="AN63" s="191">
        <f t="shared" si="22"/>
        <v>63.910765797229288</v>
      </c>
      <c r="AO63" s="191">
        <f t="shared" si="22"/>
        <v>63.610765797229291</v>
      </c>
      <c r="AP63" s="191">
        <f t="shared" si="22"/>
        <v>63.310765797229294</v>
      </c>
      <c r="AQ63" s="191">
        <f t="shared" si="22"/>
        <v>63.010765797229297</v>
      </c>
      <c r="AR63" s="191">
        <f t="shared" si="22"/>
        <v>62.7107657972293</v>
      </c>
      <c r="AS63" s="191">
        <f t="shared" si="22"/>
        <v>62.410765797229303</v>
      </c>
      <c r="AT63" s="191">
        <f t="shared" si="18"/>
        <v>5.770143929286971</v>
      </c>
      <c r="AU63" s="191">
        <f t="shared" si="5"/>
        <v>335.9843138642928</v>
      </c>
      <c r="AV63" s="191">
        <v>73</v>
      </c>
      <c r="AW63" s="191">
        <f t="shared" si="9"/>
        <v>370.50536045975002</v>
      </c>
      <c r="AX63" s="191">
        <f t="shared" si="10"/>
        <v>20.984970269861822</v>
      </c>
      <c r="AZ63" s="191">
        <v>73</v>
      </c>
      <c r="BA63" s="191">
        <f>IF('Egg grading'!C67="",IF('Egg grading'!B67="","",'Egg grading'!B67),'Egg grading'!C67)</f>
        <v>64.210765797229286</v>
      </c>
      <c r="BC63" s="191" t="str">
        <f>IF(BC62="",'Egg grading'!K67,BC62+'Egg grading'!K67)</f>
        <v/>
      </c>
      <c r="BD63" s="191" t="str">
        <f>IF(BD62="",'Egg grading'!L67,BD62+'Egg grading'!L67)</f>
        <v/>
      </c>
      <c r="BE63" s="191" t="str">
        <f>IF(BE62="",'Egg grading'!M67,BE62+'Egg grading'!M67)</f>
        <v/>
      </c>
      <c r="BF63" s="191" t="str">
        <f>IF(BF62="",'Egg grading'!N67,BF62+'Egg grading'!N67)</f>
        <v/>
      </c>
    </row>
    <row r="64" spans="1:58" x14ac:dyDescent="0.2">
      <c r="A64" s="194">
        <f>'Production data'!B71</f>
        <v>74</v>
      </c>
      <c r="B64" s="191" t="e">
        <f>IF('Production data'!C71="",#N/A,'Production data'!C71)</f>
        <v>#N/A</v>
      </c>
      <c r="C64" s="191" t="e">
        <f>IF(OR('Input Laying'!E72=0,'Input Laying'!D71=0),#N/A,'Input Laying'!E72/'Input Laying'!D71*100*25)</f>
        <v>#N/A</v>
      </c>
      <c r="D64" s="191">
        <f>IF(OR('Production data'!D71="",'Production data'!D71=0),0,'Production data'!D71)</f>
        <v>0</v>
      </c>
      <c r="E64" s="191">
        <f>IF(OR(Std!B77="",Std!B77=0),0,Std!B77)</f>
        <v>81.947492600771255</v>
      </c>
      <c r="F64" s="193" t="e">
        <f>IF('Production data'!H71="",#N/A,'Production data'!H71)</f>
        <v>#N/A</v>
      </c>
      <c r="G64" s="193">
        <f>IF(OR(Std!C77="",Std!C77=0),#N/A,Std!C77)</f>
        <v>64.241627515298958</v>
      </c>
      <c r="H64" s="191" t="e">
        <f t="shared" si="14"/>
        <v>#N/A</v>
      </c>
      <c r="I64" s="191">
        <f>('Input Laying'!AH72-1000)/25</f>
        <v>-40</v>
      </c>
      <c r="J64" s="191">
        <f>IF((Std!D77-1000)/25&lt;15,#N/A,(Std!D77-1000)/25)</f>
        <v>38.471068295112609</v>
      </c>
      <c r="K64" s="191" t="e">
        <f>IF('Production data'!P71="",#N/A,'Production data'!P71)</f>
        <v>#N/A</v>
      </c>
      <c r="L64" s="191" t="e">
        <f>IF('Production data'!L71="",#N/A,'Production data'!L71)</f>
        <v>#N/A</v>
      </c>
      <c r="M64" s="191">
        <f>IF(Std!E77=0,#N/A,Std!E77)</f>
        <v>52.644402954714643</v>
      </c>
      <c r="O64" s="191" t="e">
        <f>IF('Input Laying'!V72=0,NA(),IF('Input Laying'!V72="",NA(),'Input Laying'!W72/'Input Laying'!O72*100))</f>
        <v>#N/A</v>
      </c>
      <c r="P64" s="191" t="e">
        <f>IF('Input Laying'!T72="",#N/A,'Input Laying'!T72/'Input Laying'!N72*100)</f>
        <v>#N/A</v>
      </c>
      <c r="Q64" s="191" t="e">
        <f>IF('Input Laying'!U72="",#N/A,'Input Laying'!U72/'Input Laying'!N72*100)</f>
        <v>#N/A</v>
      </c>
      <c r="R64" s="191" t="str">
        <f>IF('Input Laying'!V72="",#N/A,'Production data'!W71)</f>
        <v/>
      </c>
      <c r="S64" s="191">
        <f>'Input Laying'!D72*7+'Graph values'!S63</f>
        <v>0</v>
      </c>
      <c r="T64" s="191" t="str">
        <f>IF(OR('Input Laying'!AF72="",'Input Laying'!D72=0,'Input Laying'!O72=0),"#N/A",'Input Laying'!AF72/'Input Laying'!D72/(AD64*7)*1000)</f>
        <v>#N/A</v>
      </c>
      <c r="U64" s="191" t="e">
        <f>IF('Production data'!U71="",#N/A,'Production data'!U71)</f>
        <v>#N/A</v>
      </c>
      <c r="V64" s="191" t="e">
        <f>IF('Production data'!V71="",#N/A,'Production data'!V71)</f>
        <v>#N/A</v>
      </c>
      <c r="W64" s="191" t="e">
        <f>IF('Production data'!S71="",#N/A,'Production data'!S71)</f>
        <v>#N/A</v>
      </c>
      <c r="X64" s="191" t="e">
        <f>IF('Production data'!T71="",#N/A,'Production data'!T71)</f>
        <v>#N/A</v>
      </c>
      <c r="Y64" s="191" t="e">
        <f>IF('Input Laying'!E72="",#N/A,'Production data'!F71)</f>
        <v>#N/A</v>
      </c>
      <c r="Z64" s="191">
        <f>IF('Production data'!G71="",#N/A,'Production data'!G71)</f>
        <v>331.86584014681785</v>
      </c>
      <c r="AD64" s="191">
        <f>IF('Input Laying'!AF72=0,0,(IF('Input Laying'!N72&gt;0,1,IF('Input Laying'!O72&gt;0,0,1))))+AD63</f>
        <v>0</v>
      </c>
      <c r="AE64" s="191">
        <v>74</v>
      </c>
      <c r="AF64" s="191">
        <f t="shared" si="19"/>
        <v>81.947492600771255</v>
      </c>
      <c r="AG64" s="191">
        <f t="shared" si="23"/>
        <v>81.497492600771253</v>
      </c>
      <c r="AH64" s="191">
        <f t="shared" si="23"/>
        <v>81.04749260077125</v>
      </c>
      <c r="AI64" s="191">
        <f t="shared" si="11"/>
        <v>79.54749260077125</v>
      </c>
      <c r="AJ64" s="191">
        <f t="shared" si="23"/>
        <v>79.097492600771247</v>
      </c>
      <c r="AK64" s="191">
        <f t="shared" si="23"/>
        <v>78.647492600771244</v>
      </c>
      <c r="AL64" s="191">
        <f t="shared" si="23"/>
        <v>78.197492600771241</v>
      </c>
      <c r="AM64" s="191">
        <f t="shared" si="17"/>
        <v>64.241627515298958</v>
      </c>
      <c r="AN64" s="191">
        <f t="shared" si="22"/>
        <v>63.941627515298961</v>
      </c>
      <c r="AO64" s="191">
        <f t="shared" si="22"/>
        <v>63.641627515298964</v>
      </c>
      <c r="AP64" s="191">
        <f t="shared" si="22"/>
        <v>63.341627515298967</v>
      </c>
      <c r="AQ64" s="191">
        <f t="shared" si="22"/>
        <v>63.04162751529897</v>
      </c>
      <c r="AR64" s="191">
        <f t="shared" si="22"/>
        <v>62.741627515298973</v>
      </c>
      <c r="AS64" s="191">
        <f t="shared" si="22"/>
        <v>62.441627515298975</v>
      </c>
      <c r="AT64" s="191">
        <f t="shared" si="18"/>
        <v>5.7363244820539876</v>
      </c>
      <c r="AU64" s="191">
        <f t="shared" si="5"/>
        <v>341.72063834634679</v>
      </c>
      <c r="AV64" s="191">
        <v>74</v>
      </c>
      <c r="AW64" s="191">
        <f t="shared" si="9"/>
        <v>368.51082068300252</v>
      </c>
      <c r="AX64" s="191">
        <f t="shared" si="10"/>
        <v>21.353481090544825</v>
      </c>
      <c r="AZ64" s="191">
        <v>74</v>
      </c>
      <c r="BA64" s="191">
        <f>IF('Egg grading'!C68="",IF('Egg grading'!B68="","",'Egg grading'!B68),'Egg grading'!C68)</f>
        <v>64.241627515298958</v>
      </c>
      <c r="BC64" s="191" t="str">
        <f>IF(BC63="",'Egg grading'!K68,BC63+'Egg grading'!K68)</f>
        <v/>
      </c>
      <c r="BD64" s="191" t="str">
        <f>IF(BD63="",'Egg grading'!L68,BD63+'Egg grading'!L68)</f>
        <v/>
      </c>
      <c r="BE64" s="191" t="str">
        <f>IF(BE63="",'Egg grading'!M68,BE63+'Egg grading'!M68)</f>
        <v/>
      </c>
      <c r="BF64" s="191" t="str">
        <f>IF(BF63="",'Egg grading'!N68,BF63+'Egg grading'!N68)</f>
        <v/>
      </c>
    </row>
    <row r="65" spans="1:58" x14ac:dyDescent="0.2">
      <c r="A65" s="194">
        <f>'Production data'!B72</f>
        <v>75</v>
      </c>
      <c r="B65" s="191" t="e">
        <f>IF('Production data'!C72="",#N/A,'Production data'!C72)</f>
        <v>#N/A</v>
      </c>
      <c r="C65" s="191" t="e">
        <f>IF(OR('Input Laying'!E73=0,'Input Laying'!D72=0),#N/A,'Input Laying'!E73/'Input Laying'!D72*100*25)</f>
        <v>#N/A</v>
      </c>
      <c r="D65" s="191">
        <f>IF(OR('Production data'!D72="",'Production data'!D72=0),0,'Production data'!D72)</f>
        <v>0</v>
      </c>
      <c r="E65" s="191">
        <f>IF(OR(Std!B78="",Std!B78=0),0,Std!B78)</f>
        <v>81.464217268409868</v>
      </c>
      <c r="F65" s="193" t="e">
        <f>IF('Production data'!H72="",#N/A,'Production data'!H72)</f>
        <v>#N/A</v>
      </c>
      <c r="G65" s="193">
        <f>IF(OR(Std!C78="",Std!C78=0),#N/A,Std!C78)</f>
        <v>64.272489233368617</v>
      </c>
      <c r="H65" s="191" t="e">
        <f t="shared" si="14"/>
        <v>#N/A</v>
      </c>
      <c r="I65" s="191">
        <f>('Input Laying'!AH73-1000)/25</f>
        <v>-40</v>
      </c>
      <c r="J65" s="191">
        <f>IF((Std!D78-1000)/25&lt;15,#N/A,(Std!D78-1000)/25)</f>
        <v>38.499306022795032</v>
      </c>
      <c r="K65" s="191" t="e">
        <f>IF('Production data'!P72="",#N/A,'Production data'!P72)</f>
        <v>#N/A</v>
      </c>
      <c r="L65" s="191" t="e">
        <f>IF('Production data'!L72="",#N/A,'Production data'!L72)</f>
        <v>#N/A</v>
      </c>
      <c r="M65" s="191">
        <f>IF(Std!E78=0,#N/A,Std!E78)</f>
        <v>52.35908027288675</v>
      </c>
      <c r="O65" s="191" t="e">
        <f>IF('Input Laying'!V73=0,NA(),IF('Input Laying'!V73="",NA(),'Input Laying'!W73/'Input Laying'!O73*100))</f>
        <v>#N/A</v>
      </c>
      <c r="P65" s="191" t="e">
        <f>IF('Input Laying'!T73="",#N/A,'Input Laying'!T73/'Input Laying'!N73*100)</f>
        <v>#N/A</v>
      </c>
      <c r="Q65" s="191" t="e">
        <f>IF('Input Laying'!U73="",#N/A,'Input Laying'!U73/'Input Laying'!N73*100)</f>
        <v>#N/A</v>
      </c>
      <c r="R65" s="191" t="str">
        <f>IF('Input Laying'!V73="",#N/A,'Production data'!W72)</f>
        <v/>
      </c>
      <c r="S65" s="191">
        <f>'Input Laying'!D73*7+'Graph values'!S64</f>
        <v>0</v>
      </c>
      <c r="T65" s="191" t="str">
        <f>IF(OR('Input Laying'!AF73="",'Input Laying'!D73=0,'Input Laying'!O73=0),"#N/A",'Input Laying'!AF73/'Input Laying'!D73/(AD65*7)*1000)</f>
        <v>#N/A</v>
      </c>
      <c r="U65" s="191" t="e">
        <f>IF('Production data'!U72="",#N/A,'Production data'!U72)</f>
        <v>#N/A</v>
      </c>
      <c r="V65" s="191" t="e">
        <f>IF('Production data'!V72="",#N/A,'Production data'!V72)</f>
        <v>#N/A</v>
      </c>
      <c r="W65" s="191" t="e">
        <f>IF('Production data'!S72="",#N/A,'Production data'!S72)</f>
        <v>#N/A</v>
      </c>
      <c r="X65" s="191" t="e">
        <f>IF('Production data'!T72="",#N/A,'Production data'!T72)</f>
        <v>#N/A</v>
      </c>
      <c r="Y65" s="191" t="e">
        <f>IF('Input Laying'!E73="",#N/A,'Production data'!F72)</f>
        <v>#N/A</v>
      </c>
      <c r="Z65" s="191">
        <f>IF('Production data'!G72="",#N/A,'Production data'!G72)</f>
        <v>337.2508204223812</v>
      </c>
      <c r="AD65" s="191">
        <f>IF('Input Laying'!AF73=0,0,(IF('Input Laying'!N73&gt;0,1,IF('Input Laying'!O73&gt;0,0,1))))+AD64</f>
        <v>0</v>
      </c>
      <c r="AE65" s="191">
        <v>75</v>
      </c>
      <c r="AF65" s="191">
        <f t="shared" si="19"/>
        <v>81.464217268409868</v>
      </c>
      <c r="AG65" s="191">
        <f t="shared" si="23"/>
        <v>81.014217268409865</v>
      </c>
      <c r="AH65" s="191">
        <f t="shared" si="23"/>
        <v>80.564217268409863</v>
      </c>
      <c r="AI65" s="191">
        <f t="shared" si="11"/>
        <v>79.064217268409863</v>
      </c>
      <c r="AJ65" s="191">
        <f t="shared" si="23"/>
        <v>78.61421726840986</v>
      </c>
      <c r="AK65" s="191">
        <f t="shared" si="23"/>
        <v>78.164217268409857</v>
      </c>
      <c r="AL65" s="191">
        <f t="shared" si="23"/>
        <v>77.714217268409854</v>
      </c>
      <c r="AM65" s="191">
        <f t="shared" si="17"/>
        <v>64.272489233368617</v>
      </c>
      <c r="AN65" s="191">
        <f t="shared" si="22"/>
        <v>63.97248923336862</v>
      </c>
      <c r="AO65" s="191">
        <f t="shared" si="22"/>
        <v>63.672489233368623</v>
      </c>
      <c r="AP65" s="191">
        <f t="shared" si="22"/>
        <v>63.372489233368626</v>
      </c>
      <c r="AQ65" s="191">
        <f t="shared" si="22"/>
        <v>63.072489233368628</v>
      </c>
      <c r="AR65" s="191">
        <f t="shared" si="22"/>
        <v>62.772489233368631</v>
      </c>
      <c r="AS65" s="191">
        <f t="shared" si="22"/>
        <v>62.472489233368634</v>
      </c>
      <c r="AT65" s="191">
        <f t="shared" si="18"/>
        <v>5.7024952087886911</v>
      </c>
      <c r="AU65" s="191">
        <f t="shared" si="5"/>
        <v>347.42313355513551</v>
      </c>
      <c r="AV65" s="191">
        <v>75</v>
      </c>
      <c r="AW65" s="191">
        <f t="shared" si="9"/>
        <v>366.51356191020727</v>
      </c>
      <c r="AX65" s="191">
        <f t="shared" si="10"/>
        <v>21.719994652455032</v>
      </c>
      <c r="AZ65" s="191">
        <v>75</v>
      </c>
      <c r="BA65" s="191">
        <f>IF('Egg grading'!C69="",IF('Egg grading'!B69="","",'Egg grading'!B69),'Egg grading'!C69)</f>
        <v>64.272489233368617</v>
      </c>
      <c r="BC65" s="191" t="str">
        <f>IF(BC64="",'Egg grading'!K69,BC64+'Egg grading'!K69)</f>
        <v/>
      </c>
      <c r="BD65" s="191" t="str">
        <f>IF(BD64="",'Egg grading'!L69,BD64+'Egg grading'!L69)</f>
        <v/>
      </c>
      <c r="BE65" s="191" t="str">
        <f>IF(BE64="",'Egg grading'!M69,BE64+'Egg grading'!M69)</f>
        <v/>
      </c>
      <c r="BF65" s="191" t="str">
        <f>IF(BF64="",'Egg grading'!N69,BF64+'Egg grading'!N69)</f>
        <v/>
      </c>
    </row>
    <row r="66" spans="1:58" x14ac:dyDescent="0.2">
      <c r="A66" s="194">
        <f>'Production data'!B73</f>
        <v>76</v>
      </c>
      <c r="B66" s="191" t="e">
        <f>IF('Production data'!C73="",#N/A,'Production data'!C73)</f>
        <v>#N/A</v>
      </c>
      <c r="C66" s="191" t="e">
        <f>IF(OR('Input Laying'!E74=0,'Input Laying'!D73=0),#N/A,'Input Laying'!E74/'Input Laying'!D73*100*25)</f>
        <v>#N/A</v>
      </c>
      <c r="D66" s="191">
        <f>IF(OR('Production data'!D73="",'Production data'!D73=0),0,'Production data'!D73)</f>
        <v>0</v>
      </c>
      <c r="E66" s="191">
        <f>IF(OR(Std!B79="",Std!B79=0),0,Std!B79)</f>
        <v>80.981218232276845</v>
      </c>
      <c r="F66" s="193" t="e">
        <f>IF('Production data'!H73="",#N/A,'Production data'!H73)</f>
        <v>#N/A</v>
      </c>
      <c r="G66" s="193">
        <f>IF(OR(Std!C79="",Std!C79=0),#N/A,Std!C79)</f>
        <v>64.303350951438276</v>
      </c>
      <c r="H66" s="191" t="e">
        <f t="shared" si="14"/>
        <v>#N/A</v>
      </c>
      <c r="I66" s="191">
        <f>('Input Laying'!AH74-1000)/25</f>
        <v>-40</v>
      </c>
      <c r="J66" s="191">
        <f>IF((Std!D79-1000)/25&lt;15,#N/A,(Std!D79-1000)/25)</f>
        <v>38.525674533661139</v>
      </c>
      <c r="K66" s="191" t="e">
        <f>IF('Production data'!P73="",#N/A,'Production data'!P73)</f>
        <v>#N/A</v>
      </c>
      <c r="L66" s="191" t="e">
        <f>IF('Production data'!L73="",#N/A,'Production data'!L73)</f>
        <v>#N/A</v>
      </c>
      <c r="M66" s="191">
        <f>IF(Std!E79=0,#N/A,Std!E79)</f>
        <v>52.073636964651094</v>
      </c>
      <c r="O66" s="191" t="e">
        <f>IF('Input Laying'!V74=0,NA(),IF('Input Laying'!V74="",NA(),'Input Laying'!W74/'Input Laying'!O74*100))</f>
        <v>#N/A</v>
      </c>
      <c r="P66" s="191" t="e">
        <f>IF('Input Laying'!T74="",#N/A,'Input Laying'!T74/'Input Laying'!N74*100)</f>
        <v>#N/A</v>
      </c>
      <c r="Q66" s="191" t="e">
        <f>IF('Input Laying'!U74="",#N/A,'Input Laying'!U74/'Input Laying'!N74*100)</f>
        <v>#N/A</v>
      </c>
      <c r="R66" s="191" t="str">
        <f>IF('Input Laying'!V74="",#N/A,'Production data'!W73)</f>
        <v/>
      </c>
      <c r="S66" s="191">
        <f>'Input Laying'!D74*7+'Graph values'!S65</f>
        <v>0</v>
      </c>
      <c r="T66" s="191" t="str">
        <f>IF(OR('Input Laying'!AF74="",'Input Laying'!D74=0,'Input Laying'!O74=0),"#N/A",'Input Laying'!AF74/'Input Laying'!D74/(AD66*7)*1000)</f>
        <v>#N/A</v>
      </c>
      <c r="U66" s="191" t="e">
        <f>IF('Production data'!U73="",#N/A,'Production data'!U73)</f>
        <v>#N/A</v>
      </c>
      <c r="V66" s="191" t="e">
        <f>IF('Production data'!V73="",#N/A,'Production data'!V73)</f>
        <v>#N/A</v>
      </c>
      <c r="W66" s="191" t="e">
        <f>IF('Production data'!S73="",#N/A,'Production data'!S73)</f>
        <v>#N/A</v>
      </c>
      <c r="X66" s="191" t="e">
        <f>IF('Production data'!T73="",#N/A,'Production data'!T73)</f>
        <v>#N/A</v>
      </c>
      <c r="Y66" s="191" t="e">
        <f>IF('Input Laying'!E74="",#N/A,'Production data'!F73)</f>
        <v>#N/A</v>
      </c>
      <c r="Z66" s="191">
        <f>IF('Production data'!G73="",#N/A,'Production data'!G73)</f>
        <v>342.59843136459324</v>
      </c>
      <c r="AD66" s="191">
        <f>IF('Input Laying'!AF74=0,0,(IF('Input Laying'!N74&gt;0,1,IF('Input Laying'!O74&gt;0,0,1))))+AD65</f>
        <v>0</v>
      </c>
      <c r="AE66" s="191">
        <v>76</v>
      </c>
      <c r="AF66" s="191">
        <f t="shared" si="19"/>
        <v>80.981218232276845</v>
      </c>
      <c r="AG66" s="191">
        <f t="shared" si="23"/>
        <v>80.531218232276842</v>
      </c>
      <c r="AH66" s="191">
        <f t="shared" si="23"/>
        <v>80.081218232276839</v>
      </c>
      <c r="AI66" s="191">
        <f t="shared" si="11"/>
        <v>78.581218232276839</v>
      </c>
      <c r="AJ66" s="191">
        <f t="shared" si="23"/>
        <v>78.131218232276836</v>
      </c>
      <c r="AK66" s="191">
        <f t="shared" si="23"/>
        <v>77.681218232276834</v>
      </c>
      <c r="AL66" s="191">
        <f t="shared" si="23"/>
        <v>77.231218232276831</v>
      </c>
      <c r="AM66" s="191">
        <f t="shared" si="17"/>
        <v>64.303350951438276</v>
      </c>
      <c r="AN66" s="191">
        <f t="shared" si="22"/>
        <v>64.003350951438279</v>
      </c>
      <c r="AO66" s="191">
        <f t="shared" si="22"/>
        <v>63.703350951438281</v>
      </c>
      <c r="AP66" s="191">
        <f t="shared" si="22"/>
        <v>63.403350951438284</v>
      </c>
      <c r="AQ66" s="191">
        <f t="shared" si="22"/>
        <v>63.103350951438287</v>
      </c>
      <c r="AR66" s="191">
        <f t="shared" si="22"/>
        <v>62.80335095143829</v>
      </c>
      <c r="AS66" s="191">
        <f t="shared" si="22"/>
        <v>62.503350951438293</v>
      </c>
      <c r="AT66" s="191">
        <f t="shared" si="18"/>
        <v>5.6686852762593789</v>
      </c>
      <c r="AU66" s="191">
        <f t="shared" si="5"/>
        <v>353.0918188313949</v>
      </c>
      <c r="AV66" s="191">
        <v>76</v>
      </c>
      <c r="AW66" s="191">
        <f t="shared" si="9"/>
        <v>364.51545875255766</v>
      </c>
      <c r="AX66" s="191">
        <f t="shared" si="10"/>
        <v>22.084510111207589</v>
      </c>
      <c r="AZ66" s="191">
        <v>76</v>
      </c>
      <c r="BA66" s="191">
        <f>IF('Egg grading'!C70="",IF('Egg grading'!B70="","",'Egg grading'!B70),'Egg grading'!C70)</f>
        <v>64.303350951438276</v>
      </c>
      <c r="BC66" s="191" t="str">
        <f>IF(BC65="",'Egg grading'!K70,BC65+'Egg grading'!K70)</f>
        <v/>
      </c>
      <c r="BD66" s="191" t="str">
        <f>IF(BD65="",'Egg grading'!L70,BD65+'Egg grading'!L70)</f>
        <v/>
      </c>
      <c r="BE66" s="191" t="str">
        <f>IF(BE65="",'Egg grading'!M70,BE65+'Egg grading'!M70)</f>
        <v/>
      </c>
      <c r="BF66" s="191" t="str">
        <f>IF(BF65="",'Egg grading'!N70,BF65+'Egg grading'!N70)</f>
        <v/>
      </c>
    </row>
    <row r="67" spans="1:58" x14ac:dyDescent="0.2">
      <c r="A67" s="194">
        <f>'Production data'!B74</f>
        <v>77</v>
      </c>
      <c r="B67" s="191" t="e">
        <f>IF('Production data'!C74="",#N/A,'Production data'!C74)</f>
        <v>#N/A</v>
      </c>
      <c r="C67" s="191" t="e">
        <f>IF(OR('Input Laying'!E75=0,'Input Laying'!D74=0),#N/A,'Input Laying'!E75/'Input Laying'!D74*100*25)</f>
        <v>#N/A</v>
      </c>
      <c r="D67" s="191">
        <f>IF(OR('Production data'!D74="",'Production data'!D74=0),0,'Production data'!D74)</f>
        <v>0</v>
      </c>
      <c r="E67" s="191">
        <f>IF(OR(Std!B80="",Std!B80=0),0,Std!B80)</f>
        <v>80.49886673474667</v>
      </c>
      <c r="F67" s="193" t="e">
        <f>IF('Production data'!H74="",#N/A,'Production data'!H74)</f>
        <v>#N/A</v>
      </c>
      <c r="G67" s="193">
        <f>IF(OR(Std!C80="",Std!C80=0),#N/A,Std!C80)</f>
        <v>64.334212669507949</v>
      </c>
      <c r="H67" s="191" t="e">
        <f t="shared" si="14"/>
        <v>#N/A</v>
      </c>
      <c r="I67" s="191">
        <f>('Input Laying'!AH75-1000)/25</f>
        <v>-40</v>
      </c>
      <c r="J67" s="191">
        <f>IF((Std!D80-1000)/25&lt;15,#N/A,(Std!D80-1000)/25)</f>
        <v>38.55033196080467</v>
      </c>
      <c r="K67" s="191" t="e">
        <f>IF('Production data'!P74="",#N/A,'Production data'!P74)</f>
        <v>#N/A</v>
      </c>
      <c r="L67" s="191" t="e">
        <f>IF('Production data'!L74="",#N/A,'Production data'!L74)</f>
        <v>#N/A</v>
      </c>
      <c r="M67" s="191">
        <f>IF(Std!E80=0,#N/A,Std!E80)</f>
        <v>51.788312121675709</v>
      </c>
      <c r="O67" s="191" t="e">
        <f>IF('Input Laying'!V75=0,NA(),IF('Input Laying'!V75="",NA(),'Input Laying'!W75/'Input Laying'!O75*100))</f>
        <v>#N/A</v>
      </c>
      <c r="P67" s="191" t="e">
        <f>IF('Input Laying'!T75="",#N/A,'Input Laying'!T75/'Input Laying'!N75*100)</f>
        <v>#N/A</v>
      </c>
      <c r="Q67" s="191" t="e">
        <f>IF('Input Laying'!U75="",#N/A,'Input Laying'!U75/'Input Laying'!N75*100)</f>
        <v>#N/A</v>
      </c>
      <c r="R67" s="191" t="str">
        <f>IF('Input Laying'!V75="",#N/A,'Production data'!W74)</f>
        <v/>
      </c>
      <c r="S67" s="191">
        <f>'Input Laying'!D75*7+'Graph values'!S66</f>
        <v>0</v>
      </c>
      <c r="T67" s="191" t="str">
        <f>IF(OR('Input Laying'!AF75="",'Input Laying'!D75=0,'Input Laying'!O75=0),"#N/A",'Input Laying'!AF75/'Input Laying'!D75/(AD67*7)*1000)</f>
        <v>#N/A</v>
      </c>
      <c r="U67" s="191" t="e">
        <f>IF('Production data'!U74="",#N/A,'Production data'!U74)</f>
        <v>#N/A</v>
      </c>
      <c r="V67" s="191" t="e">
        <f>IF('Production data'!V74="",#N/A,'Production data'!V74)</f>
        <v>#N/A</v>
      </c>
      <c r="W67" s="191" t="e">
        <f>IF('Production data'!S74="",#N/A,'Production data'!S74)</f>
        <v>#N/A</v>
      </c>
      <c r="X67" s="191" t="e">
        <f>IF('Production data'!T74="",#N/A,'Production data'!T74)</f>
        <v>#N/A</v>
      </c>
      <c r="Y67" s="191" t="e">
        <f>IF('Input Laying'!E75="",#N/A,'Production data'!F74)</f>
        <v>#N/A</v>
      </c>
      <c r="Z67" s="191">
        <f>IF('Production data'!G74="",#N/A,'Production data'!G74)</f>
        <v>347.90878060535101</v>
      </c>
      <c r="AD67" s="191">
        <f>IF('Input Laying'!AF75=0,0,(IF('Input Laying'!N75&gt;0,1,IF('Input Laying'!O75&gt;0,0,1))))+AD66</f>
        <v>0</v>
      </c>
      <c r="AE67" s="191">
        <v>77</v>
      </c>
      <c r="AF67" s="191">
        <f t="shared" si="19"/>
        <v>80.49886673474667</v>
      </c>
      <c r="AG67" s="191">
        <f t="shared" si="23"/>
        <v>80.048866734746667</v>
      </c>
      <c r="AH67" s="191">
        <f t="shared" si="23"/>
        <v>79.598866734746665</v>
      </c>
      <c r="AI67" s="191">
        <f t="shared" si="11"/>
        <v>78.098866734746665</v>
      </c>
      <c r="AJ67" s="191">
        <f t="shared" si="23"/>
        <v>77.648866734746662</v>
      </c>
      <c r="AK67" s="191">
        <f t="shared" si="23"/>
        <v>77.198866734746659</v>
      </c>
      <c r="AL67" s="191">
        <f t="shared" si="23"/>
        <v>76.748866734746656</v>
      </c>
      <c r="AM67" s="191">
        <f t="shared" si="17"/>
        <v>64.334212669507949</v>
      </c>
      <c r="AN67" s="191">
        <f t="shared" si="22"/>
        <v>64.034212669507951</v>
      </c>
      <c r="AO67" s="191">
        <f t="shared" si="22"/>
        <v>63.734212669507954</v>
      </c>
      <c r="AP67" s="191">
        <f t="shared" si="22"/>
        <v>63.434212669507957</v>
      </c>
      <c r="AQ67" s="191">
        <f t="shared" si="22"/>
        <v>63.13421266950796</v>
      </c>
      <c r="AR67" s="191">
        <f t="shared" si="22"/>
        <v>62.834212669507963</v>
      </c>
      <c r="AS67" s="191">
        <f t="shared" si="22"/>
        <v>62.534212669507966</v>
      </c>
      <c r="AT67" s="191">
        <f t="shared" si="18"/>
        <v>5.6349206714322664</v>
      </c>
      <c r="AU67" s="191">
        <f t="shared" si="5"/>
        <v>358.72673950282717</v>
      </c>
      <c r="AV67" s="191">
        <v>77</v>
      </c>
      <c r="AW67" s="191">
        <f t="shared" si="9"/>
        <v>362.51818485172998</v>
      </c>
      <c r="AX67" s="191">
        <f t="shared" si="10"/>
        <v>22.447028296059319</v>
      </c>
      <c r="AZ67" s="191">
        <v>77</v>
      </c>
      <c r="BA67" s="191">
        <f>IF('Egg grading'!C71="",IF('Egg grading'!B71="","",'Egg grading'!B71),'Egg grading'!C71)</f>
        <v>64.334212669507949</v>
      </c>
      <c r="BC67" s="191" t="str">
        <f>IF(BC66="",'Egg grading'!K71,BC66+'Egg grading'!K71)</f>
        <v/>
      </c>
      <c r="BD67" s="191" t="str">
        <f>IF(BD66="",'Egg grading'!L71,BD66+'Egg grading'!L71)</f>
        <v/>
      </c>
      <c r="BE67" s="191" t="str">
        <f>IF(BE66="",'Egg grading'!M71,BE66+'Egg grading'!M71)</f>
        <v/>
      </c>
      <c r="BF67" s="191" t="str">
        <f>IF(BF66="",'Egg grading'!N71,BF66+'Egg grading'!N71)</f>
        <v/>
      </c>
    </row>
    <row r="68" spans="1:58" x14ac:dyDescent="0.2">
      <c r="A68" s="194">
        <f>'Production data'!B75</f>
        <v>78</v>
      </c>
      <c r="B68" s="191" t="e">
        <f>IF('Production data'!C75="",#N/A,'Production data'!C75)</f>
        <v>#N/A</v>
      </c>
      <c r="C68" s="191" t="e">
        <f>IF(OR('Input Laying'!E76=0,'Input Laying'!D75=0),#N/A,'Input Laying'!E76/'Input Laying'!D75*100*25)</f>
        <v>#N/A</v>
      </c>
      <c r="D68" s="191">
        <f>IF(OR('Production data'!D75="",'Production data'!D75=0),0,'Production data'!D75)</f>
        <v>0</v>
      </c>
      <c r="E68" s="191">
        <f>IF(OR(Std!B81="",Std!B81=0),0,Std!B81)</f>
        <v>80.017488592449368</v>
      </c>
      <c r="F68" s="193" t="e">
        <f>IF('Production data'!H75="",#N/A,'Production data'!H75)</f>
        <v>#N/A</v>
      </c>
      <c r="G68" s="193">
        <f>IF(OR(Std!C81="",Std!C81=0),#N/A,Std!C81)</f>
        <v>64.365074387577607</v>
      </c>
      <c r="H68" s="191" t="e">
        <f t="shared" si="14"/>
        <v>#N/A</v>
      </c>
      <c r="I68" s="191">
        <f>('Input Laying'!AH76-1000)/25</f>
        <v>-40</v>
      </c>
      <c r="J68" s="191">
        <f>IF((Std!D81-1000)/25&lt;15,#N/A,(Std!D81-1000)/25)</f>
        <v>38.573436272680325</v>
      </c>
      <c r="K68" s="191" t="e">
        <f>IF('Production data'!P75="",#N/A,'Production data'!P75)</f>
        <v>#N/A</v>
      </c>
      <c r="L68" s="191" t="e">
        <f>IF('Production data'!L75="",#N/A,'Production data'!L75)</f>
        <v>#N/A</v>
      </c>
      <c r="M68" s="191">
        <f>IF(Std!E81=0,#N/A,Std!E81)</f>
        <v>51.503316055601459</v>
      </c>
      <c r="O68" s="191" t="e">
        <f>IF('Input Laying'!V76=0,NA(),IF('Input Laying'!V76="",NA(),'Input Laying'!W76/'Input Laying'!O76*100))</f>
        <v>#N/A</v>
      </c>
      <c r="P68" s="191" t="e">
        <f>IF('Input Laying'!T76="",#N/A,'Input Laying'!T76/'Input Laying'!N76*100)</f>
        <v>#N/A</v>
      </c>
      <c r="Q68" s="191" t="e">
        <f>IF('Input Laying'!U76="",#N/A,'Input Laying'!U76/'Input Laying'!N76*100)</f>
        <v>#N/A</v>
      </c>
      <c r="R68" s="191" t="str">
        <f>IF('Input Laying'!V76="",#N/A,'Production data'!W75)</f>
        <v/>
      </c>
      <c r="S68" s="191">
        <f>'Input Laying'!D76*7+'Graph values'!S67</f>
        <v>0</v>
      </c>
      <c r="T68" s="191" t="str">
        <f>IF(OR('Input Laying'!AF76="",'Input Laying'!D76=0,'Input Laying'!O76=0),"#N/A",'Input Laying'!AF76/'Input Laying'!D76/(AD68*7)*1000)</f>
        <v>#N/A</v>
      </c>
      <c r="U68" s="191" t="e">
        <f>IF('Production data'!U75="",#N/A,'Production data'!U75)</f>
        <v>#N/A</v>
      </c>
      <c r="V68" s="191" t="e">
        <f>IF('Production data'!V75="",#N/A,'Production data'!V75)</f>
        <v>#N/A</v>
      </c>
      <c r="W68" s="191" t="e">
        <f>IF('Production data'!S75="",#N/A,'Production data'!S75)</f>
        <v>#N/A</v>
      </c>
      <c r="X68" s="191" t="e">
        <f>IF('Production data'!T75="",#N/A,'Production data'!T75)</f>
        <v>#N/A</v>
      </c>
      <c r="Y68" s="191" t="e">
        <f>IF('Input Laying'!E76="",#N/A,'Production data'!F75)</f>
        <v>#N/A</v>
      </c>
      <c r="Z68" s="191">
        <f>IF('Production data'!G75="",#N/A,'Production data'!G75)</f>
        <v>353.18199711758427</v>
      </c>
      <c r="AD68" s="191">
        <f>IF('Input Laying'!AF76=0,0,(IF('Input Laying'!N76&gt;0,1,IF('Input Laying'!O76&gt;0,0,1))))+AD67</f>
        <v>0</v>
      </c>
      <c r="AE68" s="191">
        <v>78</v>
      </c>
      <c r="AF68" s="191">
        <f t="shared" si="19"/>
        <v>80.017488592449368</v>
      </c>
      <c r="AG68" s="191">
        <f t="shared" si="23"/>
        <v>79.567488592449365</v>
      </c>
      <c r="AH68" s="191">
        <f t="shared" si="23"/>
        <v>79.117488592449362</v>
      </c>
      <c r="AI68" s="191">
        <f t="shared" si="11"/>
        <v>77.617488592449362</v>
      </c>
      <c r="AJ68" s="191">
        <f t="shared" si="23"/>
        <v>77.167488592449359</v>
      </c>
      <c r="AK68" s="191">
        <f t="shared" si="23"/>
        <v>76.717488592449357</v>
      </c>
      <c r="AL68" s="191">
        <f t="shared" si="23"/>
        <v>76.267488592449354</v>
      </c>
      <c r="AM68" s="191">
        <f t="shared" si="17"/>
        <v>64.365074387577607</v>
      </c>
      <c r="AN68" s="191">
        <f t="shared" si="22"/>
        <v>64.06507438757761</v>
      </c>
      <c r="AO68" s="191">
        <f t="shared" si="22"/>
        <v>63.765074387577613</v>
      </c>
      <c r="AP68" s="191">
        <f t="shared" si="22"/>
        <v>63.465074387577616</v>
      </c>
      <c r="AQ68" s="191">
        <f t="shared" si="22"/>
        <v>63.165074387577619</v>
      </c>
      <c r="AR68" s="191">
        <f t="shared" si="22"/>
        <v>62.865074387577621</v>
      </c>
      <c r="AS68" s="191">
        <f t="shared" si="22"/>
        <v>62.565074387577624</v>
      </c>
      <c r="AT68" s="191">
        <f t="shared" si="18"/>
        <v>5.6012242014714557</v>
      </c>
      <c r="AU68" s="191">
        <f t="shared" si="5"/>
        <v>364.32796370429861</v>
      </c>
      <c r="AV68" s="191">
        <v>78</v>
      </c>
      <c r="AW68" s="191">
        <f t="shared" si="9"/>
        <v>360.52321238921024</v>
      </c>
      <c r="AX68" s="191">
        <f t="shared" si="10"/>
        <v>22.80755150844853</v>
      </c>
      <c r="AZ68" s="191">
        <v>78</v>
      </c>
      <c r="BA68" s="191">
        <f>IF('Egg grading'!C72="",IF('Egg grading'!B72="","",'Egg grading'!B72),'Egg grading'!C72)</f>
        <v>64.365074387577607</v>
      </c>
      <c r="BC68" s="191" t="str">
        <f>IF(BC67="",'Egg grading'!K72,BC67+'Egg grading'!K72)</f>
        <v/>
      </c>
      <c r="BD68" s="191" t="str">
        <f>IF(BD67="",'Egg grading'!L72,BD67+'Egg grading'!L72)</f>
        <v/>
      </c>
      <c r="BE68" s="191" t="str">
        <f>IF(BE67="",'Egg grading'!M72,BE67+'Egg grading'!M72)</f>
        <v/>
      </c>
      <c r="BF68" s="191" t="str">
        <f>IF(BF67="",'Egg grading'!N72,BF67+'Egg grading'!N72)</f>
        <v/>
      </c>
    </row>
    <row r="69" spans="1:58" x14ac:dyDescent="0.2">
      <c r="A69" s="194">
        <f>'Production data'!B76</f>
        <v>79</v>
      </c>
      <c r="B69" s="191" t="e">
        <f>IF('Production data'!C76="",#N/A,'Production data'!C76)</f>
        <v>#N/A</v>
      </c>
      <c r="C69" s="191" t="e">
        <f>IF(OR('Input Laying'!E77=0,'Input Laying'!D76=0),#N/A,'Input Laying'!E77/'Input Laying'!D76*100*25)</f>
        <v>#N/A</v>
      </c>
      <c r="D69" s="191">
        <f>IF(OR('Production data'!D76="",'Production data'!D76=0),0,'Production data'!D76)</f>
        <v>0</v>
      </c>
      <c r="E69" s="191">
        <f>IF(OR(Std!B82="",Std!B82=0),0,Std!B82)</f>
        <v>79.537364196270815</v>
      </c>
      <c r="F69" s="193" t="e">
        <f>IF('Production data'!H76="",#N/A,'Production data'!H76)</f>
        <v>#N/A</v>
      </c>
      <c r="G69" s="193">
        <f>IF(OR(Std!C82="",Std!C82=0),#N/A,Std!C82)</f>
        <v>64.395936105647266</v>
      </c>
      <c r="H69" s="191" t="e">
        <f t="shared" si="14"/>
        <v>#N/A</v>
      </c>
      <c r="I69" s="191">
        <f>('Input Laying'!AH77-1000)/25</f>
        <v>-40</v>
      </c>
      <c r="J69" s="191">
        <f>IF((Std!D82-1000)/25&lt;15,#N/A,(Std!D82-1000)/25)</f>
        <v>38.595145273103974</v>
      </c>
      <c r="K69" s="191" t="e">
        <f>IF('Production data'!P76="",#N/A,'Production data'!P76)</f>
        <v>#N/A</v>
      </c>
      <c r="L69" s="191" t="e">
        <f>IF('Production data'!L76="",#N/A,'Production data'!L76)</f>
        <v>#N/A</v>
      </c>
      <c r="M69" s="191">
        <f>IF(Std!E82=0,#N/A,Std!E82)</f>
        <v>51.218830227946519</v>
      </c>
      <c r="O69" s="191" t="e">
        <f>IF('Input Laying'!V77=0,NA(),IF('Input Laying'!V77="",NA(),'Input Laying'!W77/'Input Laying'!O77*100))</f>
        <v>#N/A</v>
      </c>
      <c r="P69" s="191" t="e">
        <f>IF('Input Laying'!T77="",#N/A,'Input Laying'!T77/'Input Laying'!N77*100)</f>
        <v>#N/A</v>
      </c>
      <c r="Q69" s="191" t="e">
        <f>IF('Input Laying'!U77="",#N/A,'Input Laying'!U77/'Input Laying'!N77*100)</f>
        <v>#N/A</v>
      </c>
      <c r="R69" s="191" t="str">
        <f>IF('Input Laying'!V77="",#N/A,'Production data'!W76)</f>
        <v/>
      </c>
      <c r="S69" s="191">
        <f>'Input Laying'!D77*7+'Graph values'!S68</f>
        <v>0</v>
      </c>
      <c r="T69" s="191" t="str">
        <f>IF(OR('Input Laying'!AF77="",'Input Laying'!D77=0,'Input Laying'!O77=0),"#N/A",'Input Laying'!AF77/'Input Laying'!D77/(AD69*7)*1000)</f>
        <v>#N/A</v>
      </c>
      <c r="U69" s="191" t="e">
        <f>IF('Production data'!U76="",#N/A,'Production data'!U76)</f>
        <v>#N/A</v>
      </c>
      <c r="V69" s="191" t="e">
        <f>IF('Production data'!V76="",#N/A,'Production data'!V76)</f>
        <v>#N/A</v>
      </c>
      <c r="W69" s="191" t="e">
        <f>IF('Production data'!S76="",#N/A,'Production data'!S76)</f>
        <v>#N/A</v>
      </c>
      <c r="X69" s="191" t="e">
        <f>IF('Production data'!T76="",#N/A,'Production data'!T76)</f>
        <v>#N/A</v>
      </c>
      <c r="Y69" s="191" t="e">
        <f>IF('Input Laying'!E77="",#N/A,'Production data'!F76)</f>
        <v>#N/A</v>
      </c>
      <c r="Z69" s="191">
        <f>IF('Production data'!G76="",#N/A,'Production data'!G76)</f>
        <v>358.41822813713588</v>
      </c>
      <c r="AD69" s="191">
        <f>IF('Input Laying'!AF77=0,0,(IF('Input Laying'!N77&gt;0,1,IF('Input Laying'!O77&gt;0,0,1))))+AD68</f>
        <v>0</v>
      </c>
      <c r="AE69" s="191">
        <v>79</v>
      </c>
      <c r="AF69" s="191">
        <f t="shared" si="19"/>
        <v>79.537364196270815</v>
      </c>
      <c r="AG69" s="191">
        <f t="shared" si="23"/>
        <v>79.087364196270812</v>
      </c>
      <c r="AH69" s="191">
        <f t="shared" si="23"/>
        <v>78.637364196270809</v>
      </c>
      <c r="AI69" s="191">
        <f t="shared" si="11"/>
        <v>77.137364196270809</v>
      </c>
      <c r="AJ69" s="191">
        <f t="shared" si="23"/>
        <v>76.687364196270806</v>
      </c>
      <c r="AK69" s="191">
        <f t="shared" si="23"/>
        <v>76.237364196270804</v>
      </c>
      <c r="AL69" s="191">
        <f t="shared" si="23"/>
        <v>75.787364196270801</v>
      </c>
      <c r="AM69" s="191">
        <f t="shared" si="17"/>
        <v>64.395936105647266</v>
      </c>
      <c r="AN69" s="191">
        <f t="shared" si="22"/>
        <v>64.095936105647269</v>
      </c>
      <c r="AO69" s="191">
        <f t="shared" si="22"/>
        <v>63.795936105647272</v>
      </c>
      <c r="AP69" s="191">
        <f t="shared" si="22"/>
        <v>63.495936105647274</v>
      </c>
      <c r="AQ69" s="191">
        <f t="shared" si="22"/>
        <v>63.195936105647277</v>
      </c>
      <c r="AR69" s="191">
        <f t="shared" si="22"/>
        <v>62.89593610564728</v>
      </c>
      <c r="AS69" s="191">
        <f t="shared" si="22"/>
        <v>62.595936105647283</v>
      </c>
      <c r="AT69" s="191">
        <f t="shared" si="18"/>
        <v>5.5676154937389573</v>
      </c>
      <c r="AU69" s="191">
        <f t="shared" si="5"/>
        <v>369.89557919803758</v>
      </c>
      <c r="AV69" s="191">
        <v>79</v>
      </c>
      <c r="AW69" s="191">
        <f t="shared" si="9"/>
        <v>358.53181159562564</v>
      </c>
      <c r="AX69" s="191">
        <f t="shared" si="10"/>
        <v>23.166083320044155</v>
      </c>
      <c r="AZ69" s="191">
        <v>79</v>
      </c>
      <c r="BA69" s="191">
        <f>IF('Egg grading'!C73="",IF('Egg grading'!B73="","",'Egg grading'!B73),'Egg grading'!C73)</f>
        <v>64.395936105647266</v>
      </c>
      <c r="BC69" s="191" t="str">
        <f>IF(BC68="",'Egg grading'!K73,BC68+'Egg grading'!K73)</f>
        <v/>
      </c>
      <c r="BD69" s="191" t="str">
        <f>IF(BD68="",'Egg grading'!L73,BD68+'Egg grading'!L73)</f>
        <v/>
      </c>
      <c r="BE69" s="191" t="str">
        <f>IF(BE68="",'Egg grading'!M73,BE68+'Egg grading'!M73)</f>
        <v/>
      </c>
      <c r="BF69" s="191" t="str">
        <f>IF(BF68="",'Egg grading'!N73,BF68+'Egg grading'!N73)</f>
        <v/>
      </c>
    </row>
    <row r="70" spans="1:58" x14ac:dyDescent="0.2">
      <c r="A70" s="194">
        <f>'Production data'!B77</f>
        <v>80</v>
      </c>
      <c r="B70" s="191" t="e">
        <f>IF('Production data'!C77="",#N/A,'Production data'!C77)</f>
        <v>#N/A</v>
      </c>
      <c r="C70" s="191" t="e">
        <f>IF(OR('Input Laying'!E78=0,'Input Laying'!D77=0),#N/A,'Input Laying'!E78/'Input Laying'!D77*100*25)</f>
        <v>#N/A</v>
      </c>
      <c r="D70" s="191">
        <f>IF(OR('Production data'!D77="",'Production data'!D77=0),0,'Production data'!D77)</f>
        <v>0</v>
      </c>
      <c r="E70" s="191">
        <f>IF(OR(Std!B83="",Std!B83=0),0,Std!B83)</f>
        <v>79.058728511352655</v>
      </c>
      <c r="F70" s="193" t="e">
        <f>IF('Production data'!H77="",#N/A,'Production data'!H77)</f>
        <v>#N/A</v>
      </c>
      <c r="G70" s="193">
        <f>IF(OR(Std!C83="",Std!C83=0),#N/A,Std!C83)</f>
        <v>64.426797823716939</v>
      </c>
      <c r="H70" s="191" t="e">
        <f t="shared" si="14"/>
        <v>#N/A</v>
      </c>
      <c r="I70" s="191">
        <f>('Input Laying'!AH78-1000)/25</f>
        <v>-40</v>
      </c>
      <c r="J70" s="191">
        <f>IF((Std!D83-1000)/25&lt;15,#N/A,(Std!D83-1000)/25)</f>
        <v>38.615616601252448</v>
      </c>
      <c r="K70" s="191" t="e">
        <f>IF('Production data'!P77="",#N/A,'Production data'!P77)</f>
        <v>#N/A</v>
      </c>
      <c r="L70" s="191" t="e">
        <f>IF('Production data'!L77="",#N/A,'Production data'!L77)</f>
        <v>#N/A</v>
      </c>
      <c r="M70" s="191">
        <f>IF(Std!E83=0,#N/A,Std!E83)</f>
        <v>50.935007180010437</v>
      </c>
      <c r="O70" s="191" t="e">
        <f>IF('Input Laying'!V78=0,NA(),IF('Input Laying'!V78="",NA(),'Input Laying'!W78/'Input Laying'!O78*100))</f>
        <v>#N/A</v>
      </c>
      <c r="P70" s="191" t="e">
        <f>IF('Input Laying'!T78="",#N/A,'Input Laying'!T78/'Input Laying'!N78*100)</f>
        <v>#N/A</v>
      </c>
      <c r="Q70" s="191" t="e">
        <f>IF('Input Laying'!U78="",#N/A,'Input Laying'!U78/'Input Laying'!N78*100)</f>
        <v>#N/A</v>
      </c>
      <c r="R70" s="191" t="str">
        <f>IF('Input Laying'!V78="",#N/A,'Production data'!W77)</f>
        <v/>
      </c>
      <c r="S70" s="191">
        <f>'Input Laying'!D78*7+'Graph values'!S69</f>
        <v>0</v>
      </c>
      <c r="T70" s="191" t="str">
        <f>IF(OR('Input Laying'!AF78="",'Input Laying'!D78=0,'Input Laying'!O78=0),"#N/A",'Input Laying'!AF78/'Input Laying'!D78/(AD70*7)*1000)</f>
        <v>#N/A</v>
      </c>
      <c r="U70" s="191" t="e">
        <f>IF('Production data'!U77="",#N/A,'Production data'!U77)</f>
        <v>#N/A</v>
      </c>
      <c r="V70" s="191" t="e">
        <f>IF('Production data'!V77="",#N/A,'Production data'!V77)</f>
        <v>#N/A</v>
      </c>
      <c r="W70" s="191" t="e">
        <f>IF('Production data'!S77="",#N/A,'Production data'!S77)</f>
        <v>#N/A</v>
      </c>
      <c r="X70" s="191" t="e">
        <f>IF('Production data'!T77="",#N/A,'Production data'!T77)</f>
        <v>#N/A</v>
      </c>
      <c r="Y70" s="191" t="e">
        <f>IF('Input Laying'!E78="",#N/A,'Production data'!F77)</f>
        <v>#N/A</v>
      </c>
      <c r="Z70" s="191">
        <f>IF('Production data'!G77="",#N/A,'Production data'!G77)</f>
        <v>363.61763609990487</v>
      </c>
      <c r="AD70" s="191">
        <f>IF('Input Laying'!AF78=0,0,(IF('Input Laying'!N78&gt;0,1,IF('Input Laying'!O78&gt;0,0,1))))+AD69</f>
        <v>0</v>
      </c>
      <c r="AE70" s="191">
        <v>80</v>
      </c>
      <c r="AF70" s="191">
        <f t="shared" si="19"/>
        <v>79.058728511352655</v>
      </c>
      <c r="AG70" s="191">
        <f t="shared" si="23"/>
        <v>78.608728511352652</v>
      </c>
      <c r="AH70" s="191">
        <f t="shared" si="23"/>
        <v>78.158728511352649</v>
      </c>
      <c r="AI70" s="191">
        <f t="shared" si="11"/>
        <v>76.658728511352649</v>
      </c>
      <c r="AJ70" s="191">
        <f t="shared" si="23"/>
        <v>76.208728511352646</v>
      </c>
      <c r="AK70" s="191">
        <f t="shared" si="23"/>
        <v>75.758728511352643</v>
      </c>
      <c r="AL70" s="191">
        <f t="shared" si="23"/>
        <v>75.308728511352641</v>
      </c>
      <c r="AM70" s="191">
        <f t="shared" si="17"/>
        <v>64.426797823716939</v>
      </c>
      <c r="AN70" s="191">
        <f t="shared" si="22"/>
        <v>64.126797823716942</v>
      </c>
      <c r="AO70" s="191">
        <f t="shared" si="22"/>
        <v>63.826797823716944</v>
      </c>
      <c r="AP70" s="191">
        <f t="shared" si="22"/>
        <v>63.526797823716947</v>
      </c>
      <c r="AQ70" s="191">
        <f t="shared" si="22"/>
        <v>63.22679782371695</v>
      </c>
      <c r="AR70" s="191">
        <f t="shared" si="22"/>
        <v>62.926797823716953</v>
      </c>
      <c r="AS70" s="191">
        <f t="shared" si="22"/>
        <v>62.626797823716956</v>
      </c>
      <c r="AT70" s="191">
        <f t="shared" si="18"/>
        <v>5.5341109957946859</v>
      </c>
      <c r="AU70" s="191">
        <f t="shared" si="5"/>
        <v>375.42969019383224</v>
      </c>
      <c r="AV70" s="191">
        <v>80</v>
      </c>
      <c r="AW70" s="191">
        <f t="shared" si="9"/>
        <v>356.54505026007308</v>
      </c>
      <c r="AX70" s="191">
        <f t="shared" si="10"/>
        <v>23.522628370304229</v>
      </c>
      <c r="AZ70" s="191">
        <v>80</v>
      </c>
      <c r="BA70" s="191">
        <f>IF('Egg grading'!C74="",IF('Egg grading'!B74="","",'Egg grading'!B74),'Egg grading'!C74)</f>
        <v>64.426797823716939</v>
      </c>
      <c r="BC70" s="191" t="str">
        <f>IF(BC69="",'Egg grading'!K74,BC69+'Egg grading'!K74)</f>
        <v/>
      </c>
      <c r="BD70" s="191" t="str">
        <f>IF(BD69="",'Egg grading'!L74,BD69+'Egg grading'!L74)</f>
        <v/>
      </c>
      <c r="BE70" s="191" t="str">
        <f>IF(BE69="",'Egg grading'!M74,BE69+'Egg grading'!M74)</f>
        <v/>
      </c>
      <c r="BF70" s="191" t="str">
        <f>IF(BF69="",'Egg grading'!N74,BF69+'Egg grading'!N74)</f>
        <v/>
      </c>
    </row>
    <row r="71" spans="1:58" x14ac:dyDescent="0.2">
      <c r="A71" s="194">
        <f>'Production data'!B78</f>
        <v>81</v>
      </c>
      <c r="B71" s="191" t="e">
        <f>IF('Production data'!C78="",#N/A,'Production data'!C78)</f>
        <v>#N/A</v>
      </c>
      <c r="C71" s="191" t="e">
        <f>IF(OR('Input Laying'!E79=0,'Input Laying'!D78=0),#N/A,'Input Laying'!E79/'Input Laying'!D78*100*25)</f>
        <v>#N/A</v>
      </c>
      <c r="D71" s="191">
        <f>IF(OR('Production data'!D78="",'Production data'!D78=0),0,'Production data'!D78)</f>
        <v>0</v>
      </c>
      <c r="E71" s="191">
        <f>IF(OR(Std!B84="",Std!B84=0),0,Std!B84)</f>
        <v>78.581771077092313</v>
      </c>
      <c r="F71" s="193" t="e">
        <f>IF('Production data'!H78="",#N/A,'Production data'!H78)</f>
        <v>#N/A</v>
      </c>
      <c r="G71" s="193">
        <f>IF(OR(Std!C84="",Std!C84=0),#N/A,Std!C84)</f>
        <v>64.457659541786597</v>
      </c>
      <c r="H71" s="191" t="e">
        <f t="shared" si="14"/>
        <v>#N/A</v>
      </c>
      <c r="I71" s="191">
        <f>('Input Laying'!AH79-1000)/25</f>
        <v>-40</v>
      </c>
      <c r="J71" s="191">
        <f>IF((Std!D84-1000)/25&lt;15,#N/A,(Std!D84-1000)/25)</f>
        <v>38.635007731663727</v>
      </c>
      <c r="K71" s="191" t="e">
        <f>IF('Production data'!P78="",#N/A,'Production data'!P78)</f>
        <v>#N/A</v>
      </c>
      <c r="L71" s="191" t="e">
        <f>IF('Production data'!L78="",#N/A,'Production data'!L78)</f>
        <v>#N/A</v>
      </c>
      <c r="M71" s="191">
        <f>IF(Std!E84=0,#N/A,Std!E84)</f>
        <v>50.651970462778287</v>
      </c>
      <c r="O71" s="191" t="e">
        <f>IF('Input Laying'!V79=0,NA(),IF('Input Laying'!V79="",NA(),'Input Laying'!W79/'Input Laying'!O79*100))</f>
        <v>#N/A</v>
      </c>
      <c r="P71" s="191" t="e">
        <f>IF('Input Laying'!T79="",#N/A,'Input Laying'!T79/'Input Laying'!N79*100)</f>
        <v>#N/A</v>
      </c>
      <c r="Q71" s="191" t="e">
        <f>IF('Input Laying'!U79="",#N/A,'Input Laying'!U79/'Input Laying'!N79*100)</f>
        <v>#N/A</v>
      </c>
      <c r="R71" s="191" t="str">
        <f>IF('Input Laying'!V79="",#N/A,'Production data'!W78)</f>
        <v/>
      </c>
      <c r="S71" s="191">
        <f>'Input Laying'!D79*7+'Graph values'!S70</f>
        <v>0</v>
      </c>
      <c r="T71" s="191" t="str">
        <f>IF(OR('Input Laying'!AF79="",'Input Laying'!D79=0,'Input Laying'!O79=0),"#N/A",'Input Laying'!AF79/'Input Laying'!D79/(AD71*7)*1000)</f>
        <v>#N/A</v>
      </c>
      <c r="U71" s="191" t="e">
        <f>IF('Production data'!U78="",#N/A,'Production data'!U78)</f>
        <v>#N/A</v>
      </c>
      <c r="V71" s="191" t="e">
        <f>IF('Production data'!V78="",#N/A,'Production data'!V78)</f>
        <v>#N/A</v>
      </c>
      <c r="W71" s="191" t="e">
        <f>IF('Production data'!S78="",#N/A,'Production data'!S78)</f>
        <v>#N/A</v>
      </c>
      <c r="X71" s="191" t="e">
        <f>IF('Production data'!T78="",#N/A,'Production data'!T78)</f>
        <v>#N/A</v>
      </c>
      <c r="Y71" s="191" t="e">
        <f>IF('Input Laying'!E79="",#N/A,'Production data'!F78)</f>
        <v>#N/A</v>
      </c>
      <c r="Z71" s="191">
        <f>IF('Production data'!G78="",#N/A,'Production data'!G78)</f>
        <v>368.78039559425298</v>
      </c>
      <c r="AD71" s="191">
        <f>IF('Input Laying'!AF79=0,0,(IF('Input Laying'!N79&gt;0,1,IF('Input Laying'!O79&gt;0,0,1))))+AD70</f>
        <v>0</v>
      </c>
      <c r="AE71" s="191">
        <v>81</v>
      </c>
      <c r="AF71" s="191">
        <f t="shared" si="19"/>
        <v>78.581771077092313</v>
      </c>
      <c r="AG71" s="191">
        <f t="shared" ref="AG71:AL71" si="24">AF71-0.45</f>
        <v>78.13177107709231</v>
      </c>
      <c r="AH71" s="191">
        <f t="shared" si="24"/>
        <v>77.681771077092307</v>
      </c>
      <c r="AI71" s="191">
        <f t="shared" si="11"/>
        <v>76.181771077092307</v>
      </c>
      <c r="AJ71" s="191">
        <f t="shared" si="24"/>
        <v>75.731771077092304</v>
      </c>
      <c r="AK71" s="191">
        <f t="shared" si="24"/>
        <v>75.281771077092301</v>
      </c>
      <c r="AL71" s="191">
        <f t="shared" si="24"/>
        <v>74.831771077092299</v>
      </c>
      <c r="AM71" s="191">
        <f t="shared" ref="AM71:AM80" si="25">G71</f>
        <v>64.457659541786597</v>
      </c>
      <c r="AN71" s="191">
        <f t="shared" ref="AN71:AS71" si="26">AM71-0.3</f>
        <v>64.1576595417866</v>
      </c>
      <c r="AO71" s="191">
        <f t="shared" si="26"/>
        <v>63.857659541786603</v>
      </c>
      <c r="AP71" s="191">
        <f t="shared" si="26"/>
        <v>63.557659541786606</v>
      </c>
      <c r="AQ71" s="191">
        <f t="shared" si="26"/>
        <v>63.257659541786609</v>
      </c>
      <c r="AR71" s="191">
        <f t="shared" si="26"/>
        <v>62.957659541786612</v>
      </c>
      <c r="AS71" s="191">
        <f t="shared" si="26"/>
        <v>62.657659541786614</v>
      </c>
      <c r="AT71" s="191">
        <f t="shared" ref="AT71:AT80" si="27">E71*7/100</f>
        <v>5.5007239753964621</v>
      </c>
      <c r="AU71" s="191">
        <f t="shared" si="5"/>
        <v>380.9304141692287</v>
      </c>
      <c r="AV71" s="191">
        <v>81</v>
      </c>
      <c r="AW71" s="191">
        <f t="shared" si="9"/>
        <v>354.56379323944799</v>
      </c>
      <c r="AX71" s="191">
        <f t="shared" si="10"/>
        <v>23.877192163543675</v>
      </c>
      <c r="AZ71" s="191">
        <v>81</v>
      </c>
      <c r="BA71" s="191">
        <f>IF('Egg grading'!C75="",IF('Egg grading'!B75="","",'Egg grading'!B75),'Egg grading'!C75)</f>
        <v>64.457659541786597</v>
      </c>
      <c r="BC71" s="191" t="str">
        <f>IF(BC70="",'Egg grading'!K75,BC70+'Egg grading'!K75)</f>
        <v/>
      </c>
      <c r="BD71" s="191" t="str">
        <f>IF(BD70="",'Egg grading'!L75,BD70+'Egg grading'!L75)</f>
        <v/>
      </c>
      <c r="BE71" s="191" t="str">
        <f>IF(BE70="",'Egg grading'!M75,BE70+'Egg grading'!M75)</f>
        <v/>
      </c>
      <c r="BF71" s="191" t="str">
        <f>IF(BF70="",'Egg grading'!N75,BF70+'Egg grading'!N75)</f>
        <v/>
      </c>
    </row>
    <row r="72" spans="1:58" x14ac:dyDescent="0.2">
      <c r="A72" s="194">
        <f>'Production data'!B79</f>
        <v>82</v>
      </c>
      <c r="B72" s="191" t="e">
        <f>IF('Production data'!C79="",#N/A,'Production data'!C79)</f>
        <v>#N/A</v>
      </c>
      <c r="C72" s="191" t="e">
        <f>IF(OR('Input Laying'!E80=0,'Input Laying'!D79=0),#N/A,'Input Laying'!E80/'Input Laying'!D79*100*25)</f>
        <v>#N/A</v>
      </c>
      <c r="D72" s="191">
        <f>IF(OR('Production data'!D79="",'Production data'!D79=0),0,'Production data'!D79)</f>
        <v>0</v>
      </c>
      <c r="E72" s="191">
        <f>IF(OR(Std!B85="",Std!B85=0),0,Std!B85)</f>
        <v>78.106636007142811</v>
      </c>
      <c r="F72" s="193" t="e">
        <f>IF('Production data'!H79="",#N/A,'Production data'!H79)</f>
        <v>#N/A</v>
      </c>
      <c r="G72" s="193">
        <f>IF(OR(Std!C85="",Std!C85=0),#N/A,Std!C85)</f>
        <v>64.488521259856256</v>
      </c>
      <c r="H72" s="191" t="e">
        <f t="shared" si="14"/>
        <v>#N/A</v>
      </c>
      <c r="I72" s="191">
        <f>('Input Laying'!AH80-1000)/25</f>
        <v>-40</v>
      </c>
      <c r="J72" s="191">
        <f>IF((Std!D85-1000)/25&lt;15,#N/A,(Std!D85-1000)/25)</f>
        <v>38.65347597423677</v>
      </c>
      <c r="K72" s="191" t="e">
        <f>IF('Production data'!P79="",#N/A,'Production data'!P79)</f>
        <v>#N/A</v>
      </c>
      <c r="L72" s="191" t="e">
        <f>IF('Production data'!L79="",#N/A,'Production data'!L79)</f>
        <v>#N/A</v>
      </c>
      <c r="M72" s="191">
        <f>IF(Std!E85=0,#N/A,Std!E85)</f>
        <v>50.369814566824836</v>
      </c>
      <c r="O72" s="191" t="e">
        <f>IF('Input Laying'!V80=0,NA(),IF('Input Laying'!V80="",NA(),'Input Laying'!W80/'Input Laying'!O80*100))</f>
        <v>#N/A</v>
      </c>
      <c r="P72" s="191" t="e">
        <f>IF('Input Laying'!T80="",#N/A,'Input Laying'!T80/'Input Laying'!N80*100)</f>
        <v>#N/A</v>
      </c>
      <c r="Q72" s="191" t="e">
        <f>IF('Input Laying'!U80="",#N/A,'Input Laying'!U80/'Input Laying'!N80*100)</f>
        <v>#N/A</v>
      </c>
      <c r="R72" s="191" t="str">
        <f>IF('Input Laying'!V80="",#N/A,'Production data'!W79)</f>
        <v/>
      </c>
      <c r="S72" s="191">
        <f>'Input Laying'!D80*7+'Graph values'!S71</f>
        <v>0</v>
      </c>
      <c r="T72" s="191" t="str">
        <f>IF(OR('Input Laying'!AF80="",'Input Laying'!D80=0,'Input Laying'!O80=0),"#N/A",'Input Laying'!AF80/'Input Laying'!D80/(AD72*7)*1000)</f>
        <v>#N/A</v>
      </c>
      <c r="U72" s="191" t="e">
        <f>IF('Production data'!U79="",#N/A,'Production data'!U79)</f>
        <v>#N/A</v>
      </c>
      <c r="V72" s="191" t="e">
        <f>IF('Production data'!V79="",#N/A,'Production data'!V79)</f>
        <v>#N/A</v>
      </c>
      <c r="W72" s="191" t="e">
        <f>IF('Production data'!S79="",#N/A,'Production data'!S79)</f>
        <v>#N/A</v>
      </c>
      <c r="X72" s="191" t="e">
        <f>IF('Production data'!T79="",#N/A,'Production data'!T79)</f>
        <v>#N/A</v>
      </c>
      <c r="Y72" s="191" t="e">
        <f>IF('Input Laying'!E80="",#N/A,'Production data'!F79)</f>
        <v>#N/A</v>
      </c>
      <c r="Z72" s="191">
        <f>IF('Production data'!G79="",#N/A,'Production data'!G79)</f>
        <v>373.90669032867379</v>
      </c>
      <c r="AD72" s="191">
        <f>IF('Input Laying'!AF80=0,0,(IF('Input Laying'!N80&gt;0,1,IF('Input Laying'!O80&gt;0,0,1))))+AD71</f>
        <v>0</v>
      </c>
      <c r="AE72" s="191">
        <v>82</v>
      </c>
      <c r="AF72" s="191">
        <f t="shared" ref="AF72:AF80" si="28">IF(E72&lt;10,#N/A,E72)</f>
        <v>78.106636007142811</v>
      </c>
      <c r="AG72" s="191">
        <f t="shared" ref="AG72:AL72" si="29">AF72-0.45</f>
        <v>77.656636007142808</v>
      </c>
      <c r="AH72" s="191">
        <f t="shared" si="29"/>
        <v>77.206636007142805</v>
      </c>
      <c r="AI72" s="191">
        <f t="shared" si="11"/>
        <v>75.706636007142805</v>
      </c>
      <c r="AJ72" s="191">
        <f t="shared" si="29"/>
        <v>75.256636007142802</v>
      </c>
      <c r="AK72" s="191">
        <f t="shared" si="29"/>
        <v>74.806636007142799</v>
      </c>
      <c r="AL72" s="191">
        <f t="shared" si="29"/>
        <v>74.356636007142797</v>
      </c>
      <c r="AM72" s="191">
        <f t="shared" si="25"/>
        <v>64.488521259856256</v>
      </c>
      <c r="AN72" s="191">
        <f t="shared" ref="AN72:AS72" si="30">AM72-0.3</f>
        <v>64.188521259856259</v>
      </c>
      <c r="AO72" s="191">
        <f t="shared" si="30"/>
        <v>63.888521259856262</v>
      </c>
      <c r="AP72" s="191">
        <f t="shared" si="30"/>
        <v>63.588521259856265</v>
      </c>
      <c r="AQ72" s="191">
        <f t="shared" si="30"/>
        <v>63.288521259856267</v>
      </c>
      <c r="AR72" s="191">
        <f t="shared" si="30"/>
        <v>62.98852125985627</v>
      </c>
      <c r="AS72" s="191">
        <f t="shared" si="30"/>
        <v>62.688521259856273</v>
      </c>
      <c r="AT72" s="191">
        <f t="shared" si="27"/>
        <v>5.4674645204999965</v>
      </c>
      <c r="AU72" s="191">
        <f t="shared" ref="AU72:AU79" si="31">AT72+AU71</f>
        <v>386.39787868972871</v>
      </c>
      <c r="AV72" s="191">
        <v>82</v>
      </c>
      <c r="AW72" s="191">
        <f t="shared" ref="AW72:AW80" si="32">(G72*E72/100)*7</f>
        <v>352.58870196777383</v>
      </c>
      <c r="AX72" s="191">
        <f t="shared" si="10"/>
        <v>24.229780865511451</v>
      </c>
      <c r="AZ72" s="191">
        <v>82</v>
      </c>
      <c r="BA72" s="191">
        <f>IF('Egg grading'!C76="",IF('Egg grading'!B76="","",'Egg grading'!B76),'Egg grading'!C76)</f>
        <v>64.488521259856256</v>
      </c>
      <c r="BC72" s="191" t="str">
        <f>IF(BC71="",'Egg grading'!K76,BC71+'Egg grading'!K76)</f>
        <v/>
      </c>
      <c r="BD72" s="191" t="str">
        <f>IF(BD71="",'Egg grading'!L76,BD71+'Egg grading'!L76)</f>
        <v/>
      </c>
      <c r="BE72" s="191" t="str">
        <f>IF(BE71="",'Egg grading'!M76,BE71+'Egg grading'!M76)</f>
        <v/>
      </c>
      <c r="BF72" s="191" t="str">
        <f>IF(BF71="",'Egg grading'!N76,BF71+'Egg grading'!N76)</f>
        <v/>
      </c>
    </row>
    <row r="73" spans="1:58" x14ac:dyDescent="0.2">
      <c r="A73" s="194">
        <f>'Production data'!B80</f>
        <v>83</v>
      </c>
      <c r="B73" s="191" t="e">
        <f>IF('Production data'!C80="",#N/A,'Production data'!C80)</f>
        <v>#N/A</v>
      </c>
      <c r="C73" s="191" t="e">
        <f>IF(OR('Input Laying'!E81=0,'Input Laying'!D80=0),#N/A,'Input Laying'!E81/'Input Laying'!D80*100*25)</f>
        <v>#N/A</v>
      </c>
      <c r="D73" s="191">
        <f>IF(OR('Production data'!D80="",'Production data'!D80=0),0,'Production data'!D80)</f>
        <v>0</v>
      </c>
      <c r="E73" s="191">
        <f>IF(OR(Std!B86="",Std!B86=0),0,Std!B86)</f>
        <v>77.633421989413165</v>
      </c>
      <c r="F73" s="193" t="e">
        <f>IF('Production data'!H80="",#N/A,'Production data'!H80)</f>
        <v>#N/A</v>
      </c>
      <c r="G73" s="193">
        <f>IF(OR(Std!C86="",Std!C86=0),#N/A,Std!C86)</f>
        <v>64.519382977925929</v>
      </c>
      <c r="H73" s="191" t="e">
        <f t="shared" si="14"/>
        <v>#N/A</v>
      </c>
      <c r="I73" s="191">
        <f>('Input Laying'!AH81-1000)/25</f>
        <v>-40</v>
      </c>
      <c r="J73" s="191">
        <f>IF((Std!D86-1000)/25&lt;15,#N/A,(Std!D86-1000)/25)</f>
        <v>38.671178474231695</v>
      </c>
      <c r="K73" s="191" t="e">
        <f>IF('Production data'!P80="",#N/A,'Production data'!P80)</f>
        <v>#N/A</v>
      </c>
      <c r="L73" s="191" t="e">
        <f>IF('Production data'!L80="",#N/A,'Production data'!L80)</f>
        <v>#N/A</v>
      </c>
      <c r="M73" s="191">
        <f>IF(Std!E86=0,#N/A,Std!E86)</f>
        <v>50.088604852218843</v>
      </c>
      <c r="O73" s="191" t="e">
        <f>IF('Input Laying'!V81=0,NA(),IF('Input Laying'!V81="",NA(),'Input Laying'!W81/'Input Laying'!O81*100))</f>
        <v>#N/A</v>
      </c>
      <c r="P73" s="191" t="e">
        <f>IF('Input Laying'!T81="",#N/A,'Input Laying'!T81/'Input Laying'!N81*100)</f>
        <v>#N/A</v>
      </c>
      <c r="Q73" s="191" t="e">
        <f>IF('Input Laying'!U81="",#N/A,'Input Laying'!U81/'Input Laying'!N81*100)</f>
        <v>#N/A</v>
      </c>
      <c r="R73" s="191" t="str">
        <f>IF('Input Laying'!V81="",#N/A,'Production data'!W80)</f>
        <v/>
      </c>
      <c r="S73" s="191">
        <f>'Input Laying'!D81*7+'Graph values'!S72</f>
        <v>0</v>
      </c>
      <c r="T73" s="191" t="str">
        <f>IF(OR('Input Laying'!AF81="",'Input Laying'!D81=0,'Input Laying'!O81=0),"#N/A",'Input Laying'!AF81/'Input Laying'!D81/(AD73*7)*1000)</f>
        <v>#N/A</v>
      </c>
      <c r="U73" s="191" t="e">
        <f>IF('Production data'!U80="",#N/A,'Production data'!U80)</f>
        <v>#N/A</v>
      </c>
      <c r="V73" s="191" t="e">
        <f>IF('Production data'!V80="",#N/A,'Production data'!V80)</f>
        <v>#N/A</v>
      </c>
      <c r="W73" s="191" t="e">
        <f>IF('Production data'!S80="",#N/A,'Production data'!S80)</f>
        <v>#N/A</v>
      </c>
      <c r="X73" s="191" t="e">
        <f>IF('Production data'!T80="",#N/A,'Production data'!T80)</f>
        <v>#N/A</v>
      </c>
      <c r="Y73" s="191" t="e">
        <f>IF('Input Laying'!E81="",#N/A,'Production data'!F80)</f>
        <v>#N/A</v>
      </c>
      <c r="Z73" s="191">
        <f>IF('Production data'!G80="",#N/A,'Production data'!G80)</f>
        <v>378.99671011472526</v>
      </c>
      <c r="AD73" s="191">
        <f>IF('Input Laying'!AF81=0,0,(IF('Input Laying'!N81&gt;0,1,IF('Input Laying'!O81&gt;0,0,1))))+AD72</f>
        <v>0</v>
      </c>
      <c r="AE73" s="191">
        <v>83</v>
      </c>
      <c r="AF73" s="191">
        <f t="shared" si="28"/>
        <v>77.633421989413165</v>
      </c>
      <c r="AG73" s="191">
        <f t="shared" ref="AG73:AL73" si="33">AF73-0.45</f>
        <v>77.183421989413162</v>
      </c>
      <c r="AH73" s="191">
        <f t="shared" si="33"/>
        <v>76.733421989413159</v>
      </c>
      <c r="AI73" s="191">
        <f t="shared" ref="AI73:AI80" si="34">AH73-1.5</f>
        <v>75.233421989413159</v>
      </c>
      <c r="AJ73" s="191">
        <f t="shared" si="33"/>
        <v>74.783421989413156</v>
      </c>
      <c r="AK73" s="191">
        <f t="shared" si="33"/>
        <v>74.333421989413154</v>
      </c>
      <c r="AL73" s="191">
        <f t="shared" si="33"/>
        <v>73.883421989413151</v>
      </c>
      <c r="AM73" s="191">
        <f t="shared" si="25"/>
        <v>64.519382977925929</v>
      </c>
      <c r="AN73" s="191">
        <f t="shared" ref="AN73:AS73" si="35">AM73-0.3</f>
        <v>64.219382977925932</v>
      </c>
      <c r="AO73" s="191">
        <f t="shared" si="35"/>
        <v>63.919382977925935</v>
      </c>
      <c r="AP73" s="191">
        <f t="shared" si="35"/>
        <v>63.619382977925937</v>
      </c>
      <c r="AQ73" s="191">
        <f t="shared" si="35"/>
        <v>63.31938297792594</v>
      </c>
      <c r="AR73" s="191">
        <f t="shared" si="35"/>
        <v>63.019382977925943</v>
      </c>
      <c r="AS73" s="191">
        <f t="shared" si="35"/>
        <v>62.719382977925946</v>
      </c>
      <c r="AT73" s="191">
        <f t="shared" si="27"/>
        <v>5.4343395392589215</v>
      </c>
      <c r="AU73" s="191">
        <f t="shared" si="31"/>
        <v>391.83221822898764</v>
      </c>
      <c r="AV73" s="191">
        <v>83</v>
      </c>
      <c r="AW73" s="191">
        <f t="shared" si="32"/>
        <v>350.6202339655319</v>
      </c>
      <c r="AX73" s="191">
        <f t="shared" ref="AX73:AX80" si="36">AX72+(AW73/1000)</f>
        <v>24.580401099476983</v>
      </c>
      <c r="AZ73" s="191">
        <v>83</v>
      </c>
      <c r="BA73" s="191">
        <f>IF('Egg grading'!C77="",IF('Egg grading'!B77="","",'Egg grading'!B77),'Egg grading'!C77)</f>
        <v>64.519382977925929</v>
      </c>
      <c r="BC73" s="191" t="str">
        <f>IF(BC72="",'Egg grading'!K77,BC72+'Egg grading'!K77)</f>
        <v/>
      </c>
      <c r="BD73" s="191" t="str">
        <f>IF(BD72="",'Egg grading'!L77,BD72+'Egg grading'!L77)</f>
        <v/>
      </c>
      <c r="BE73" s="191" t="str">
        <f>IF(BE72="",'Egg grading'!M77,BE72+'Egg grading'!M77)</f>
        <v/>
      </c>
      <c r="BF73" s="191" t="str">
        <f>IF(BF72="",'Egg grading'!N77,BF72+'Egg grading'!N77)</f>
        <v/>
      </c>
    </row>
    <row r="74" spans="1:58" x14ac:dyDescent="0.2">
      <c r="A74" s="194">
        <f>'Production data'!B81</f>
        <v>84</v>
      </c>
      <c r="B74" s="191" t="e">
        <f>IF('Production data'!C81="",#N/A,'Production data'!C81)</f>
        <v>#N/A</v>
      </c>
      <c r="C74" s="191" t="e">
        <f>IF(OR('Input Laying'!E82=0,'Input Laying'!D81=0),#N/A,'Input Laying'!E82/'Input Laying'!D81*100*25)</f>
        <v>#N/A</v>
      </c>
      <c r="D74" s="191">
        <f>IF(OR('Production data'!D81="",'Production data'!D81=0),0,'Production data'!D81)</f>
        <v>0</v>
      </c>
      <c r="E74" s="191">
        <f>IF(OR(Std!B87="",Std!B87=0),0,Std!B87)</f>
        <v>77.162182286067889</v>
      </c>
      <c r="F74" s="193" t="e">
        <f>IF('Production data'!H81="",#N/A,'Production data'!H81)</f>
        <v>#N/A</v>
      </c>
      <c r="G74" s="193">
        <f>IF(OR(Std!C87="",Std!C87=0),#N/A,Std!C87)</f>
        <v>64.550244695995588</v>
      </c>
      <c r="H74" s="191" t="e">
        <f t="shared" si="14"/>
        <v>#N/A</v>
      </c>
      <c r="I74" s="191">
        <f>('Input Laying'!AH82-1000)/25</f>
        <v>-40</v>
      </c>
      <c r="J74" s="191">
        <f>IF((Std!D87-1000)/25&lt;15,#N/A,(Std!D87-1000)/25)</f>
        <v>38.688272212269609</v>
      </c>
      <c r="K74" s="191" t="e">
        <f>IF('Production data'!P81="",#N/A,'Production data'!P81)</f>
        <v>#N/A</v>
      </c>
      <c r="L74" s="191" t="e">
        <f>IF('Production data'!L81="",#N/A,'Production data'!L81)</f>
        <v>#N/A</v>
      </c>
      <c r="M74" s="191">
        <f>IF(Std!E87=0,#N/A,Std!E87)</f>
        <v>49.808377478426983</v>
      </c>
      <c r="O74" s="191" t="e">
        <f>IF('Input Laying'!V82=0,NA(),IF('Input Laying'!V82="",NA(),'Input Laying'!W82/'Input Laying'!O82*100))</f>
        <v>#N/A</v>
      </c>
      <c r="P74" s="191" t="e">
        <f>IF('Input Laying'!T82="",#N/A,'Input Laying'!T82/'Input Laying'!N82*100)</f>
        <v>#N/A</v>
      </c>
      <c r="Q74" s="191" t="e">
        <f>IF('Input Laying'!U82="",#N/A,'Input Laying'!U82/'Input Laying'!N82*100)</f>
        <v>#N/A</v>
      </c>
      <c r="R74" s="191" t="str">
        <f>IF('Input Laying'!V82="",#N/A,'Production data'!W81)</f>
        <v/>
      </c>
      <c r="S74" s="191">
        <f>'Input Laying'!D82*7+'Graph values'!S73</f>
        <v>0</v>
      </c>
      <c r="T74" s="191" t="str">
        <f>IF(OR('Input Laying'!AF82="",'Input Laying'!D82=0,'Input Laying'!O82=0),"#N/A",'Input Laying'!AF82/'Input Laying'!D82/(AD74*7)*1000)</f>
        <v>#N/A</v>
      </c>
      <c r="U74" s="191" t="e">
        <f>IF('Production data'!U81="",#N/A,'Production data'!U81)</f>
        <v>#N/A</v>
      </c>
      <c r="V74" s="191" t="e">
        <f>IF('Production data'!V81="",#N/A,'Production data'!V81)</f>
        <v>#N/A</v>
      </c>
      <c r="W74" s="191" t="e">
        <f>IF('Production data'!S81="",#N/A,'Production data'!S81)</f>
        <v>#N/A</v>
      </c>
      <c r="X74" s="191" t="e">
        <f>IF('Production data'!T81="",#N/A,'Production data'!T81)</f>
        <v>#N/A</v>
      </c>
      <c r="Y74" s="191" t="e">
        <f>IF('Input Laying'!E82="",#N/A,'Production data'!F81)</f>
        <v>#N/A</v>
      </c>
      <c r="Z74" s="191">
        <f>IF('Production data'!G81="",#N/A,'Production data'!G81)</f>
        <v>384.05064786522519</v>
      </c>
      <c r="AD74" s="191">
        <f>IF('Input Laying'!AF82=0,0,(IF('Input Laying'!N82&gt;0,1,IF('Input Laying'!O82&gt;0,0,1))))+AD73</f>
        <v>0</v>
      </c>
      <c r="AE74" s="191">
        <v>84</v>
      </c>
      <c r="AF74" s="191">
        <f t="shared" si="28"/>
        <v>77.162182286067889</v>
      </c>
      <c r="AG74" s="191">
        <f t="shared" ref="AG74:AL74" si="37">AF74-0.45</f>
        <v>76.712182286067886</v>
      </c>
      <c r="AH74" s="191">
        <f t="shared" si="37"/>
        <v>76.262182286067883</v>
      </c>
      <c r="AI74" s="191">
        <f t="shared" si="34"/>
        <v>74.762182286067883</v>
      </c>
      <c r="AJ74" s="191">
        <f t="shared" si="37"/>
        <v>74.31218228606788</v>
      </c>
      <c r="AK74" s="191">
        <f t="shared" si="37"/>
        <v>73.862182286067878</v>
      </c>
      <c r="AL74" s="191">
        <f t="shared" si="37"/>
        <v>73.412182286067875</v>
      </c>
      <c r="AM74" s="191">
        <f t="shared" si="25"/>
        <v>64.550244695995588</v>
      </c>
      <c r="AN74" s="191">
        <f t="shared" ref="AN74:AS74" si="38">AM74-0.3</f>
        <v>64.25024469599559</v>
      </c>
      <c r="AO74" s="191">
        <f t="shared" si="38"/>
        <v>63.950244695995593</v>
      </c>
      <c r="AP74" s="191">
        <f t="shared" si="38"/>
        <v>63.650244695995596</v>
      </c>
      <c r="AQ74" s="191">
        <f t="shared" si="38"/>
        <v>63.350244695995599</v>
      </c>
      <c r="AR74" s="191">
        <f t="shared" si="38"/>
        <v>63.050244695995602</v>
      </c>
      <c r="AS74" s="191">
        <f t="shared" si="38"/>
        <v>62.750244695995605</v>
      </c>
      <c r="AT74" s="191">
        <f t="shared" si="27"/>
        <v>5.4013527600247517</v>
      </c>
      <c r="AU74" s="191">
        <f t="shared" si="31"/>
        <v>397.23357098901238</v>
      </c>
      <c r="AV74" s="191">
        <v>84</v>
      </c>
      <c r="AW74" s="191">
        <f t="shared" si="32"/>
        <v>348.65864234898891</v>
      </c>
      <c r="AX74" s="191">
        <f t="shared" si="36"/>
        <v>24.929059741825974</v>
      </c>
      <c r="AZ74" s="191">
        <v>84</v>
      </c>
      <c r="BA74" s="191">
        <f>IF('Egg grading'!C78="",IF('Egg grading'!B78="","",'Egg grading'!B78),'Egg grading'!C78)</f>
        <v>64.550244695995588</v>
      </c>
      <c r="BC74" s="191" t="str">
        <f>IF(BC73="",'Egg grading'!K78,BC73+'Egg grading'!K78)</f>
        <v/>
      </c>
      <c r="BD74" s="191" t="str">
        <f>IF(BD73="",'Egg grading'!L78,BD73+'Egg grading'!L78)</f>
        <v/>
      </c>
      <c r="BE74" s="191" t="str">
        <f>IF(BE73="",'Egg grading'!M78,BE73+'Egg grading'!M78)</f>
        <v/>
      </c>
      <c r="BF74" s="191" t="str">
        <f>IF(BF73="",'Egg grading'!N78,BF73+'Egg grading'!N78)</f>
        <v/>
      </c>
    </row>
    <row r="75" spans="1:58" x14ac:dyDescent="0.2">
      <c r="A75" s="194">
        <f>'Production data'!B82</f>
        <v>85</v>
      </c>
      <c r="B75" s="191" t="e">
        <f>IF('Production data'!C82="",#N/A,'Production data'!C82)</f>
        <v>#N/A</v>
      </c>
      <c r="C75" s="191" t="e">
        <f>IF(OR('Input Laying'!E83=0,'Input Laying'!D82=0),#N/A,'Input Laying'!E83/'Input Laying'!D82*100*25)</f>
        <v>#N/A</v>
      </c>
      <c r="D75" s="191">
        <f>IF(OR('Production data'!D82="",'Production data'!D82=0),0,'Production data'!D82)</f>
        <v>0</v>
      </c>
      <c r="E75" s="191">
        <f>IF(OR(Std!B88="",Std!B88=0),0,Std!B88)</f>
        <v>76.692924733527533</v>
      </c>
      <c r="F75" s="193" t="e">
        <f>IF('Production data'!H82="",#N/A,'Production data'!H82)</f>
        <v>#N/A</v>
      </c>
      <c r="G75" s="193">
        <f>IF(OR(Std!C88="",Std!C88=0),#N/A,Std!C88)</f>
        <v>64.581106414065246</v>
      </c>
      <c r="H75" s="191" t="e">
        <f t="shared" si="14"/>
        <v>#N/A</v>
      </c>
      <c r="I75" s="191">
        <f>('Input Laying'!AH83-1000)/25</f>
        <v>-40</v>
      </c>
      <c r="J75" s="191">
        <f>IF((Std!D88-1000)/25&lt;15,#N/A,(Std!D88-1000)/25)</f>
        <v>38.730098994717792</v>
      </c>
      <c r="K75" s="191" t="e">
        <f>IF('Production data'!P82="",#N/A,'Production data'!P82)</f>
        <v>#N/A</v>
      </c>
      <c r="L75" s="191" t="e">
        <f>IF('Production data'!L82="",#N/A,'Production data'!L82)</f>
        <v>#N/A</v>
      </c>
      <c r="M75" s="191">
        <f>IF(Std!E88=0,#N/A,Std!E88)</f>
        <v>49.529139334218378</v>
      </c>
      <c r="O75" s="191" t="e">
        <f>IF('Input Laying'!V83=0,NA(),IF('Input Laying'!V83="",NA(),'Input Laying'!W83/'Input Laying'!O83*100))</f>
        <v>#N/A</v>
      </c>
      <c r="P75" s="191" t="e">
        <f>IF('Input Laying'!T83="",#N/A,'Input Laying'!T83/'Input Laying'!N83*100)</f>
        <v>#N/A</v>
      </c>
      <c r="Q75" s="191" t="e">
        <f>IF('Input Laying'!U83="",#N/A,'Input Laying'!U83/'Input Laying'!N83*100)</f>
        <v>#N/A</v>
      </c>
      <c r="R75" s="191" t="str">
        <f>IF('Input Laying'!V83="",#N/A,'Production data'!W82)</f>
        <v/>
      </c>
      <c r="S75" s="191">
        <f>'Input Laying'!D83*7+'Graph values'!S74</f>
        <v>0</v>
      </c>
      <c r="T75" s="191" t="str">
        <f>IF(OR('Input Laying'!AF83="",'Input Laying'!D83=0,'Input Laying'!O83=0),"#N/A",'Input Laying'!AF83/'Input Laying'!D83/(AD75*7)*1000)</f>
        <v>#N/A</v>
      </c>
      <c r="U75" s="191" t="e">
        <f>IF('Production data'!U82="",#N/A,'Production data'!U82)</f>
        <v>#N/A</v>
      </c>
      <c r="V75" s="191" t="e">
        <f>IF('Production data'!V82="",#N/A,'Production data'!V82)</f>
        <v>#N/A</v>
      </c>
      <c r="W75" s="191" t="e">
        <f>IF('Production data'!S82="",#N/A,'Production data'!S82)</f>
        <v>#N/A</v>
      </c>
      <c r="X75" s="191" t="e">
        <f>IF('Production data'!T82="",#N/A,'Production data'!T82)</f>
        <v>#N/A</v>
      </c>
      <c r="Y75" s="191" t="e">
        <f>IF('Input Laying'!E83="",#N/A,'Production data'!F82)</f>
        <v>#N/A</v>
      </c>
      <c r="Z75" s="191">
        <f>IF('Production data'!G82="",#N/A,'Production data'!G82)</f>
        <v>389.0686966077098</v>
      </c>
      <c r="AD75" s="191">
        <f>IF('Input Laying'!AF83=0,0,(IF('Input Laying'!N83&gt;0,1,IF('Input Laying'!O83&gt;0,0,1))))+AD74</f>
        <v>0</v>
      </c>
      <c r="AE75" s="191">
        <v>85</v>
      </c>
      <c r="AF75" s="191">
        <f t="shared" si="28"/>
        <v>76.692924733527533</v>
      </c>
      <c r="AG75" s="191">
        <f t="shared" ref="AG75:AL75" si="39">AF75-0.45</f>
        <v>76.242924733527531</v>
      </c>
      <c r="AH75" s="191">
        <f t="shared" si="39"/>
        <v>75.792924733527528</v>
      </c>
      <c r="AI75" s="191">
        <f t="shared" si="34"/>
        <v>74.292924733527528</v>
      </c>
      <c r="AJ75" s="191">
        <f t="shared" si="39"/>
        <v>73.842924733527525</v>
      </c>
      <c r="AK75" s="191">
        <f t="shared" si="39"/>
        <v>73.392924733527522</v>
      </c>
      <c r="AL75" s="191">
        <f t="shared" si="39"/>
        <v>72.942924733527519</v>
      </c>
      <c r="AM75" s="191">
        <f t="shared" si="25"/>
        <v>64.581106414065246</v>
      </c>
      <c r="AN75" s="191">
        <f t="shared" ref="AN75:AS75" si="40">AM75-0.3</f>
        <v>64.281106414065249</v>
      </c>
      <c r="AO75" s="191">
        <f t="shared" si="40"/>
        <v>63.981106414065252</v>
      </c>
      <c r="AP75" s="191">
        <f t="shared" si="40"/>
        <v>63.681106414065255</v>
      </c>
      <c r="AQ75" s="191">
        <f t="shared" si="40"/>
        <v>63.381106414065258</v>
      </c>
      <c r="AR75" s="191">
        <f t="shared" si="40"/>
        <v>63.08110641406526</v>
      </c>
      <c r="AS75" s="191">
        <f t="shared" si="40"/>
        <v>62.781106414065263</v>
      </c>
      <c r="AT75" s="191">
        <f t="shared" si="27"/>
        <v>5.3685047313469276</v>
      </c>
      <c r="AU75" s="191">
        <f t="shared" si="31"/>
        <v>402.60207572035932</v>
      </c>
      <c r="AV75" s="191">
        <v>85</v>
      </c>
      <c r="AW75" s="191">
        <f t="shared" si="32"/>
        <v>346.70397533952865</v>
      </c>
      <c r="AX75" s="191">
        <f t="shared" si="36"/>
        <v>25.275763717165503</v>
      </c>
      <c r="AZ75" s="191">
        <v>85</v>
      </c>
      <c r="BA75" s="191">
        <f>IF('Egg grading'!C79="",IF('Egg grading'!B79="","",'Egg grading'!B79),'Egg grading'!C79)</f>
        <v>64.581106414065246</v>
      </c>
      <c r="BC75" s="191" t="str">
        <f>IF(BC74="",'Egg grading'!K79,BC74+'Egg grading'!K79)</f>
        <v/>
      </c>
      <c r="BD75" s="191" t="str">
        <f>IF(BD74="",'Egg grading'!L79,BD74+'Egg grading'!L79)</f>
        <v/>
      </c>
      <c r="BE75" s="191" t="str">
        <f>IF(BE74="",'Egg grading'!M79,BE74+'Egg grading'!M79)</f>
        <v/>
      </c>
      <c r="BF75" s="191" t="str">
        <f>IF(BF74="",'Egg grading'!N79,BF74+'Egg grading'!N79)</f>
        <v/>
      </c>
    </row>
    <row r="76" spans="1:58" x14ac:dyDescent="0.2">
      <c r="A76" s="194">
        <f>'Production data'!B83</f>
        <v>86</v>
      </c>
      <c r="B76" s="191" t="e">
        <f>IF('Production data'!C83="",#N/A,'Production data'!C83)</f>
        <v>#N/A</v>
      </c>
      <c r="C76" s="191" t="e">
        <f>IF(OR('Input Laying'!E84=0,'Input Laying'!D83=0),#N/A,'Input Laying'!E84/'Input Laying'!D83*100*25)</f>
        <v>#N/A</v>
      </c>
      <c r="D76" s="191">
        <f>IF(OR('Production data'!D83="",'Production data'!D83=0),0,'Production data'!D83)</f>
        <v>0</v>
      </c>
      <c r="E76" s="191">
        <f>IF(OR(Std!B89="",Std!B89=0),0,Std!B89)</f>
        <v>76.22561174246826</v>
      </c>
      <c r="F76" s="193" t="e">
        <f>IF('Production data'!H83="",#N/A,'Production data'!H83)</f>
        <v>#N/A</v>
      </c>
      <c r="G76" s="193">
        <f>IF(OR(Std!C89="",Std!C89=0),#N/A,Std!C89)</f>
        <v>64.611968132134919</v>
      </c>
      <c r="H76" s="191" t="e">
        <f t="shared" si="14"/>
        <v>#N/A</v>
      </c>
      <c r="I76" s="191">
        <f>('Input Laying'!AH84-1000)/25</f>
        <v>-40</v>
      </c>
      <c r="J76" s="191">
        <f>IF((Std!D89-1000)/25&lt;15,#N/A,(Std!D89-1000)/25)</f>
        <v>38.748794469455461</v>
      </c>
      <c r="K76" s="191" t="e">
        <f>IF('Production data'!P83="",#N/A,'Production data'!P83)</f>
        <v>#N/A</v>
      </c>
      <c r="L76" s="191" t="e">
        <f>IF('Production data'!L83="",#N/A,'Production data'!L83)</f>
        <v>#N/A</v>
      </c>
      <c r="M76" s="191">
        <f>IF(Std!E89=0,#N/A,Std!E89)</f>
        <v>49.250867967568482</v>
      </c>
      <c r="O76" s="191" t="e">
        <f>IF('Input Laying'!V84=0,NA(),IF('Input Laying'!V84="",NA(),'Input Laying'!W84/'Input Laying'!O84*100))</f>
        <v>#N/A</v>
      </c>
      <c r="P76" s="191" t="e">
        <f>IF('Input Laying'!T84="",#N/A,'Input Laying'!T84/'Input Laying'!N84*100)</f>
        <v>#N/A</v>
      </c>
      <c r="Q76" s="191" t="e">
        <f>IF('Input Laying'!U84="",#N/A,'Input Laying'!U84/'Input Laying'!N84*100)</f>
        <v>#N/A</v>
      </c>
      <c r="R76" s="191" t="str">
        <f>IF('Input Laying'!V84="",#N/A,'Production data'!W83)</f>
        <v/>
      </c>
      <c r="S76" s="191">
        <f>'Input Laying'!D84*7+'Graph values'!S75</f>
        <v>0</v>
      </c>
      <c r="T76" s="191" t="str">
        <f>IF(OR('Input Laying'!AF84="",'Input Laying'!D84=0,'Input Laying'!O84=0),"#N/A",'Input Laying'!AF84/'Input Laying'!D84/(AD76*7)*1000)</f>
        <v>#N/A</v>
      </c>
      <c r="U76" s="191" t="e">
        <f>IF('Production data'!U83="",#N/A,'Production data'!U83)</f>
        <v>#N/A</v>
      </c>
      <c r="V76" s="191" t="e">
        <f>IF('Production data'!V83="",#N/A,'Production data'!V83)</f>
        <v>#N/A</v>
      </c>
      <c r="W76" s="191" t="e">
        <f>IF('Production data'!S83="",#N/A,'Production data'!S83)</f>
        <v>#N/A</v>
      </c>
      <c r="X76" s="191" t="e">
        <f>IF('Production data'!T83="",#N/A,'Production data'!T83)</f>
        <v>#N/A</v>
      </c>
      <c r="Y76" s="191" t="e">
        <f>IF('Input Laying'!E84="",#N/A,'Production data'!F83)</f>
        <v>#N/A</v>
      </c>
      <c r="Z76" s="191">
        <f>IF('Production data'!G83="",#N/A,'Production data'!G83)</f>
        <v>394.05104651315509</v>
      </c>
      <c r="AD76" s="191">
        <f>IF('Input Laying'!AF84=0,0,(IF('Input Laying'!N84&gt;0,1,IF('Input Laying'!O84&gt;0,0,1))))+AD75</f>
        <v>0</v>
      </c>
      <c r="AE76" s="191">
        <v>86</v>
      </c>
      <c r="AF76" s="191">
        <f t="shared" si="28"/>
        <v>76.22561174246826</v>
      </c>
      <c r="AG76" s="191">
        <f t="shared" ref="AG76:AL76" si="41">AF76-0.45</f>
        <v>75.775611742468257</v>
      </c>
      <c r="AH76" s="191">
        <f t="shared" si="41"/>
        <v>75.325611742468254</v>
      </c>
      <c r="AI76" s="191">
        <f t="shared" si="34"/>
        <v>73.825611742468254</v>
      </c>
      <c r="AJ76" s="191">
        <f t="shared" si="41"/>
        <v>73.375611742468251</v>
      </c>
      <c r="AK76" s="191">
        <f t="shared" si="41"/>
        <v>72.925611742468249</v>
      </c>
      <c r="AL76" s="191">
        <f t="shared" si="41"/>
        <v>72.475611742468246</v>
      </c>
      <c r="AM76" s="191">
        <f t="shared" si="25"/>
        <v>64.611968132134919</v>
      </c>
      <c r="AN76" s="191">
        <f t="shared" ref="AN76:AS76" si="42">AM76-0.3</f>
        <v>64.311968132134922</v>
      </c>
      <c r="AO76" s="191">
        <f t="shared" si="42"/>
        <v>64.011968132134925</v>
      </c>
      <c r="AP76" s="191">
        <f t="shared" si="42"/>
        <v>63.711968132134928</v>
      </c>
      <c r="AQ76" s="191">
        <f t="shared" si="42"/>
        <v>63.41196813213493</v>
      </c>
      <c r="AR76" s="191">
        <f t="shared" si="42"/>
        <v>63.111968132134933</v>
      </c>
      <c r="AS76" s="191">
        <f t="shared" si="42"/>
        <v>62.811968132134936</v>
      </c>
      <c r="AT76" s="191">
        <f t="shared" si="27"/>
        <v>5.3357928219727784</v>
      </c>
      <c r="AU76" s="191">
        <f t="shared" si="31"/>
        <v>407.93786854233213</v>
      </c>
      <c r="AV76" s="191">
        <v>86</v>
      </c>
      <c r="AW76" s="191">
        <f t="shared" si="32"/>
        <v>344.75607577297939</v>
      </c>
      <c r="AX76" s="191">
        <f t="shared" si="36"/>
        <v>25.620519792938484</v>
      </c>
      <c r="AZ76" s="191">
        <v>86</v>
      </c>
      <c r="BA76" s="191">
        <f>IF('Egg grading'!C80="",IF('Egg grading'!B80="","",'Egg grading'!B80),'Egg grading'!C80)</f>
        <v>64.611968132134919</v>
      </c>
      <c r="BC76" s="191" t="str">
        <f>IF(BC75="",'Egg grading'!K80,BC75+'Egg grading'!K80)</f>
        <v/>
      </c>
      <c r="BD76" s="191" t="str">
        <f>IF(BD75="",'Egg grading'!L80,BD75+'Egg grading'!L80)</f>
        <v/>
      </c>
      <c r="BE76" s="191" t="str">
        <f>IF(BE75="",'Egg grading'!M80,BE75+'Egg grading'!M80)</f>
        <v/>
      </c>
      <c r="BF76" s="191" t="str">
        <f>IF(BF75="",'Egg grading'!N80,BF75+'Egg grading'!N80)</f>
        <v/>
      </c>
    </row>
    <row r="77" spans="1:58" x14ac:dyDescent="0.2">
      <c r="A77" s="194">
        <f>'Production data'!B84</f>
        <v>87</v>
      </c>
      <c r="B77" s="191" t="e">
        <f>IF('Production data'!C84="",#N/A,'Production data'!C84)</f>
        <v>#N/A</v>
      </c>
      <c r="C77" s="191" t="e">
        <f>IF(OR('Input Laying'!E85=0,'Input Laying'!D84=0),#N/A,'Input Laying'!E85/'Input Laying'!D84*100*25)</f>
        <v>#N/A</v>
      </c>
      <c r="D77" s="191">
        <f>IF(OR('Production data'!D84="",'Production data'!D84=0),0,'Production data'!D84)</f>
        <v>0</v>
      </c>
      <c r="E77" s="191">
        <f>IF(OR(Std!B90="",Std!B90=0),0,Std!B90)</f>
        <v>75.760160297821784</v>
      </c>
      <c r="F77" s="193" t="e">
        <f>IF('Production data'!H84="",#N/A,'Production data'!H84)</f>
        <v>#N/A</v>
      </c>
      <c r="G77" s="193">
        <f>IF(OR(Std!C90="",Std!C90=0),#N/A,Std!C90)</f>
        <v>64.642829850204578</v>
      </c>
      <c r="H77" s="191" t="e">
        <f t="shared" si="14"/>
        <v>#N/A</v>
      </c>
      <c r="I77" s="191">
        <f>('Input Laying'!AH85-1000)/25</f>
        <v>-40</v>
      </c>
      <c r="J77" s="191">
        <f>IF((Std!D90-1000)/25&lt;15,#N/A,(Std!D90-1000)/25)</f>
        <v>38.76748994419313</v>
      </c>
      <c r="K77" s="191" t="e">
        <f>IF('Production data'!P84="",#N/A,'Production data'!P84)</f>
        <v>#N/A</v>
      </c>
      <c r="L77" s="191" t="e">
        <f>IF('Production data'!L84="",#N/A,'Production data'!L84)</f>
        <v>#N/A</v>
      </c>
      <c r="M77" s="191">
        <f>IF(Std!E90=0,#N/A,Std!E90)</f>
        <v>48.973511515563175</v>
      </c>
      <c r="O77" s="191" t="e">
        <f>IF('Input Laying'!V85=0,NA(),IF('Input Laying'!V85="",NA(),'Input Laying'!W85/'Input Laying'!O85*100))</f>
        <v>#N/A</v>
      </c>
      <c r="P77" s="191" t="e">
        <f>IF('Input Laying'!T85="",#N/A,'Input Laying'!T85/'Input Laying'!N85*100)</f>
        <v>#N/A</v>
      </c>
      <c r="Q77" s="191" t="e">
        <f>IF('Input Laying'!U85="",#N/A,'Input Laying'!U85/'Input Laying'!N85*100)</f>
        <v>#N/A</v>
      </c>
      <c r="R77" s="191" t="str">
        <f>IF('Input Laying'!V85="",#N/A,'Production data'!W84)</f>
        <v/>
      </c>
      <c r="S77" s="191">
        <f>'Input Laying'!D85*7+'Graph values'!S76</f>
        <v>0</v>
      </c>
      <c r="T77" s="191" t="str">
        <f>IF(OR('Input Laying'!AF85="",'Input Laying'!D85=0,'Input Laying'!O85=0),"#N/A",'Input Laying'!AF85/'Input Laying'!D85/(AD77*7)*1000)</f>
        <v>#N/A</v>
      </c>
      <c r="U77" s="191" t="e">
        <f>IF('Production data'!U84="",#N/A,'Production data'!U84)</f>
        <v>#N/A</v>
      </c>
      <c r="V77" s="191" t="e">
        <f>IF('Production data'!V84="",#N/A,'Production data'!V84)</f>
        <v>#N/A</v>
      </c>
      <c r="W77" s="191" t="e">
        <f>IF('Production data'!S84="",#N/A,'Production data'!S84)</f>
        <v>#N/A</v>
      </c>
      <c r="X77" s="191" t="e">
        <f>IF('Production data'!T84="",#N/A,'Production data'!T84)</f>
        <v>#N/A</v>
      </c>
      <c r="Y77" s="191" t="e">
        <f>IF('Input Laying'!E85="",#N/A,'Production data'!F84)</f>
        <v>#N/A</v>
      </c>
      <c r="Z77" s="191">
        <f>IF('Production data'!G84="",#N/A,'Production data'!G84)</f>
        <v>398.99788193996164</v>
      </c>
      <c r="AD77" s="191">
        <f>IF('Input Laying'!AF85=0,0,(IF('Input Laying'!N85&gt;0,1,IF('Input Laying'!O85&gt;0,0,1))))+AD76</f>
        <v>0</v>
      </c>
      <c r="AE77" s="191">
        <v>87</v>
      </c>
      <c r="AF77" s="191">
        <f t="shared" si="28"/>
        <v>75.760160297821784</v>
      </c>
      <c r="AG77" s="191">
        <f t="shared" ref="AG77:AL77" si="43">AF77-0.45</f>
        <v>75.310160297821781</v>
      </c>
      <c r="AH77" s="191">
        <f t="shared" si="43"/>
        <v>74.860160297821778</v>
      </c>
      <c r="AI77" s="191">
        <f t="shared" si="34"/>
        <v>73.360160297821778</v>
      </c>
      <c r="AJ77" s="191">
        <f t="shared" si="43"/>
        <v>72.910160297821776</v>
      </c>
      <c r="AK77" s="191">
        <f t="shared" si="43"/>
        <v>72.460160297821773</v>
      </c>
      <c r="AL77" s="191">
        <f t="shared" si="43"/>
        <v>72.01016029782177</v>
      </c>
      <c r="AM77" s="191">
        <f t="shared" si="25"/>
        <v>64.642829850204578</v>
      </c>
      <c r="AN77" s="191">
        <f t="shared" ref="AN77:AS77" si="44">AM77-0.3</f>
        <v>64.342829850204581</v>
      </c>
      <c r="AO77" s="191">
        <f t="shared" si="44"/>
        <v>64.042829850204583</v>
      </c>
      <c r="AP77" s="191">
        <f t="shared" si="44"/>
        <v>63.742829850204586</v>
      </c>
      <c r="AQ77" s="191">
        <f t="shared" si="44"/>
        <v>63.442829850204589</v>
      </c>
      <c r="AR77" s="191">
        <f t="shared" si="44"/>
        <v>63.142829850204592</v>
      </c>
      <c r="AS77" s="191">
        <f t="shared" si="44"/>
        <v>62.842829850204595</v>
      </c>
      <c r="AT77" s="191">
        <f t="shared" si="27"/>
        <v>5.3032112208475244</v>
      </c>
      <c r="AU77" s="191">
        <f t="shared" si="31"/>
        <v>413.24107976317964</v>
      </c>
      <c r="AV77" s="191">
        <v>87</v>
      </c>
      <c r="AW77" s="191">
        <f t="shared" si="32"/>
        <v>342.81458060894221</v>
      </c>
      <c r="AX77" s="191">
        <f t="shared" si="36"/>
        <v>25.963334373547426</v>
      </c>
      <c r="AZ77" s="191">
        <v>87</v>
      </c>
      <c r="BA77" s="191">
        <f>IF('Egg grading'!C81="",IF('Egg grading'!B81="","",'Egg grading'!B81),'Egg grading'!C81)</f>
        <v>64.642829850204578</v>
      </c>
      <c r="BC77" s="191" t="str">
        <f>IF(BC76="",'Egg grading'!K81,BC76+'Egg grading'!K81)</f>
        <v/>
      </c>
      <c r="BD77" s="191" t="str">
        <f>IF(BD76="",'Egg grading'!L81,BD76+'Egg grading'!L81)</f>
        <v/>
      </c>
      <c r="BE77" s="191" t="str">
        <f>IF(BE76="",'Egg grading'!M81,BE76+'Egg grading'!M81)</f>
        <v/>
      </c>
      <c r="BF77" s="191" t="str">
        <f>IF(BF76="",'Egg grading'!N81,BF76+'Egg grading'!N81)</f>
        <v/>
      </c>
    </row>
    <row r="78" spans="1:58" x14ac:dyDescent="0.2">
      <c r="A78" s="194">
        <f>'Production data'!B85</f>
        <v>88</v>
      </c>
      <c r="B78" s="191" t="e">
        <f>IF('Production data'!C85="",#N/A,'Production data'!C85)</f>
        <v>#N/A</v>
      </c>
      <c r="C78" s="191" t="e">
        <f>IF(OR('Input Laying'!E86=0,'Input Laying'!D85=0),#N/A,'Input Laying'!E86/'Input Laying'!D85*100*25)</f>
        <v>#N/A</v>
      </c>
      <c r="D78" s="191">
        <f>IF(OR('Production data'!D85="",'Production data'!D85=0),0,'Production data'!D85)</f>
        <v>0</v>
      </c>
      <c r="E78" s="191">
        <f>IF(OR(Std!B91="",Std!B91=0),0,Std!B91)</f>
        <v>75.296441958776086</v>
      </c>
      <c r="F78" s="193" t="e">
        <f>IF('Production data'!H85="",#N/A,'Production data'!H85)</f>
        <v>#N/A</v>
      </c>
      <c r="G78" s="193">
        <f>IF(OR(Std!C91="",Std!C91=0),#N/A,Std!C91)</f>
        <v>64.673691568274251</v>
      </c>
      <c r="H78" s="191" t="e">
        <f t="shared" si="14"/>
        <v>#N/A</v>
      </c>
      <c r="I78" s="191">
        <f>('Input Laying'!AH86-1000)/25</f>
        <v>-40</v>
      </c>
      <c r="J78" s="191">
        <f>IF((Std!D91-1000)/25&lt;15,#N/A,(Std!D91-1000)/25)</f>
        <v>38.786185418930799</v>
      </c>
      <c r="K78" s="191" t="e">
        <f>IF('Production data'!P85="",#N/A,'Production data'!P85)</f>
        <v>#N/A</v>
      </c>
      <c r="L78" s="191" t="e">
        <f>IF('Production data'!L85="",#N/A,'Production data'!L85)</f>
        <v>#N/A</v>
      </c>
      <c r="M78" s="191">
        <f>IF(Std!E91=0,#N/A,Std!E91)</f>
        <v>48.696988634303487</v>
      </c>
      <c r="O78" s="191" t="e">
        <f>IF('Input Laying'!V86=0,NA(),IF('Input Laying'!V86="",NA(),'Input Laying'!W86/'Input Laying'!O86*100))</f>
        <v>#N/A</v>
      </c>
      <c r="P78" s="191" t="e">
        <f>IF('Input Laying'!T86="",#N/A,'Input Laying'!T86/'Input Laying'!N86*100)</f>
        <v>#N/A</v>
      </c>
      <c r="Q78" s="191" t="e">
        <f>IF('Input Laying'!U86="",#N/A,'Input Laying'!U86/'Input Laying'!N86*100)</f>
        <v>#N/A</v>
      </c>
      <c r="R78" s="191" t="str">
        <f>IF('Input Laying'!V86="",#N/A,'Production data'!W85)</f>
        <v/>
      </c>
      <c r="S78" s="191">
        <f>'Input Laying'!D86*7+'Graph values'!S77</f>
        <v>0</v>
      </c>
      <c r="T78" s="191" t="str">
        <f>IF(OR('Input Laying'!AF86="",'Input Laying'!D86=0,'Input Laying'!O86=0),"#N/A",'Input Laying'!AF86/'Input Laying'!D86/(AD78*7)*1000)</f>
        <v>#N/A</v>
      </c>
      <c r="U78" s="191" t="e">
        <f>IF('Production data'!U85="",#N/A,'Production data'!U85)</f>
        <v>#N/A</v>
      </c>
      <c r="V78" s="191" t="e">
        <f>IF('Production data'!V85="",#N/A,'Production data'!V85)</f>
        <v>#N/A</v>
      </c>
      <c r="W78" s="191" t="e">
        <f>IF('Production data'!S85="",#N/A,'Production data'!S85)</f>
        <v>#N/A</v>
      </c>
      <c r="X78" s="191" t="e">
        <f>IF('Production data'!T85="",#N/A,'Production data'!T85)</f>
        <v>#N/A</v>
      </c>
      <c r="Y78" s="191" t="e">
        <f>IF('Input Laying'!E86="",#N/A,'Production data'!F85)</f>
        <v>#N/A</v>
      </c>
      <c r="Z78" s="191">
        <f>IF('Production data'!G85="",#N/A,'Production data'!G85)</f>
        <v>403.90937849320227</v>
      </c>
      <c r="AD78" s="191">
        <f>IF('Input Laying'!AF86=0,0,(IF('Input Laying'!N86&gt;0,1,IF('Input Laying'!O86&gt;0,0,1))))+AD77</f>
        <v>0</v>
      </c>
      <c r="AE78" s="191">
        <v>88</v>
      </c>
      <c r="AF78" s="191">
        <f t="shared" si="28"/>
        <v>75.296441958776086</v>
      </c>
      <c r="AG78" s="191">
        <f t="shared" ref="AG78:AL78" si="45">AF78-0.45</f>
        <v>74.846441958776083</v>
      </c>
      <c r="AH78" s="191">
        <f t="shared" si="45"/>
        <v>74.39644195877608</v>
      </c>
      <c r="AI78" s="191">
        <f t="shared" si="34"/>
        <v>72.89644195877608</v>
      </c>
      <c r="AJ78" s="191">
        <f t="shared" si="45"/>
        <v>72.446441958776077</v>
      </c>
      <c r="AK78" s="191">
        <f t="shared" si="45"/>
        <v>71.996441958776074</v>
      </c>
      <c r="AL78" s="191">
        <f t="shared" si="45"/>
        <v>71.546441958776072</v>
      </c>
      <c r="AM78" s="191">
        <f t="shared" si="25"/>
        <v>64.673691568274251</v>
      </c>
      <c r="AN78" s="191">
        <f t="shared" ref="AN78:AS78" si="46">AM78-0.3</f>
        <v>64.373691568274253</v>
      </c>
      <c r="AO78" s="191">
        <f t="shared" si="46"/>
        <v>64.073691568274256</v>
      </c>
      <c r="AP78" s="191">
        <f t="shared" si="46"/>
        <v>63.773691568274259</v>
      </c>
      <c r="AQ78" s="191">
        <f t="shared" si="46"/>
        <v>63.473691568274262</v>
      </c>
      <c r="AR78" s="191">
        <f t="shared" si="46"/>
        <v>63.173691568274265</v>
      </c>
      <c r="AS78" s="191">
        <f t="shared" si="46"/>
        <v>62.873691568274268</v>
      </c>
      <c r="AT78" s="191">
        <f t="shared" si="27"/>
        <v>5.2707509371143262</v>
      </c>
      <c r="AU78" s="191">
        <f t="shared" si="31"/>
        <v>418.51183070029396</v>
      </c>
      <c r="AV78" s="191">
        <v>88</v>
      </c>
      <c r="AW78" s="191">
        <f t="shared" si="32"/>
        <v>340.87892044012443</v>
      </c>
      <c r="AX78" s="191">
        <f t="shared" si="36"/>
        <v>26.304213293987551</v>
      </c>
      <c r="AZ78" s="191">
        <v>88</v>
      </c>
      <c r="BA78" s="191">
        <f>IF('Egg grading'!C82="",IF('Egg grading'!B82="","",'Egg grading'!B82),'Egg grading'!C82)</f>
        <v>64.673691568274251</v>
      </c>
      <c r="BC78" s="191" t="str">
        <f>IF(BC77="",'Egg grading'!K82,BC77+'Egg grading'!K82)</f>
        <v/>
      </c>
      <c r="BD78" s="191" t="str">
        <f>IF(BD77="",'Egg grading'!L82,BD77+'Egg grading'!L82)</f>
        <v/>
      </c>
      <c r="BE78" s="191" t="str">
        <f>IF(BE77="",'Egg grading'!M82,BE77+'Egg grading'!M82)</f>
        <v/>
      </c>
      <c r="BF78" s="191" t="str">
        <f>IF(BF77="",'Egg grading'!N82,BF77+'Egg grading'!N82)</f>
        <v/>
      </c>
    </row>
    <row r="79" spans="1:58" x14ac:dyDescent="0.2">
      <c r="A79" s="194">
        <f>'Production data'!B86</f>
        <v>89</v>
      </c>
      <c r="B79" s="191" t="e">
        <f>IF('Production data'!C86="",#N/A,'Production data'!C86)</f>
        <v>#N/A</v>
      </c>
      <c r="C79" s="191" t="e">
        <f>IF(OR('Input Laying'!E87=0,'Input Laying'!D86=0),#N/A,'Input Laying'!E87/'Input Laying'!D86*100*25)</f>
        <v>#N/A</v>
      </c>
      <c r="D79" s="191">
        <f>IF(OR('Production data'!D86="",'Production data'!D86=0),0,'Production data'!D86)</f>
        <v>0</v>
      </c>
      <c r="E79" s="191">
        <f>IF(OR(Std!B92="",Std!B92=0),0,Std!B92)</f>
        <v>74.834282858774387</v>
      </c>
      <c r="F79" s="193" t="e">
        <f>IF('Production data'!H86="",#N/A,'Production data'!H86)</f>
        <v>#N/A</v>
      </c>
      <c r="G79" s="193">
        <f>IF(OR(Std!C92="",Std!C92=0),#N/A,Std!C92)</f>
        <v>64.704553286343909</v>
      </c>
      <c r="H79" s="191" t="e">
        <f t="shared" si="14"/>
        <v>#N/A</v>
      </c>
      <c r="I79" s="191">
        <f>('Input Laying'!AH87-1000)/25</f>
        <v>-40</v>
      </c>
      <c r="J79" s="191">
        <f>IF((Std!D92-1000)/25&lt;15,#N/A,(Std!D92-1000)/25)</f>
        <v>38.804880893668468</v>
      </c>
      <c r="K79" s="191" t="e">
        <f>IF('Production data'!P86="",#N/A,'Production data'!P86)</f>
        <v>#N/A</v>
      </c>
      <c r="L79" s="191" t="e">
        <f>IF('Production data'!L86="",#N/A,'Production data'!L86)</f>
        <v>#N/A</v>
      </c>
      <c r="M79" s="191">
        <f>IF(Std!E92=0,#N/A,Std!E92)</f>
        <v>48.421188428809003</v>
      </c>
      <c r="O79" s="191" t="e">
        <f>IF('Input Laying'!V87=0,NA(),IF('Input Laying'!V87="",NA(),'Input Laying'!W87/'Input Laying'!O87*100))</f>
        <v>#N/A</v>
      </c>
      <c r="P79" s="191" t="e">
        <f>IF('Input Laying'!T87="",#N/A,'Input Laying'!T87/'Input Laying'!N87*100)</f>
        <v>#N/A</v>
      </c>
      <c r="Q79" s="191" t="e">
        <f>IF('Input Laying'!U87="",#N/A,'Input Laying'!U87/'Input Laying'!N87*100)</f>
        <v>#N/A</v>
      </c>
      <c r="R79" s="191" t="str">
        <f>IF('Input Laying'!V87="",#N/A,'Production data'!W86)</f>
        <v/>
      </c>
      <c r="S79" s="191">
        <f>'Input Laying'!D87*7+'Graph values'!S78</f>
        <v>0</v>
      </c>
      <c r="T79" s="191" t="str">
        <f>IF(OR('Input Laying'!AF87="",'Input Laying'!D87=0,'Input Laying'!O87=0),"#N/A",'Input Laying'!AF87/'Input Laying'!D87/(AD79*7)*1000)</f>
        <v>#N/A</v>
      </c>
      <c r="U79" s="191" t="e">
        <f>IF('Production data'!U86="",#N/A,'Production data'!U86)</f>
        <v>#N/A</v>
      </c>
      <c r="V79" s="191" t="e">
        <f>IF('Production data'!V86="",#N/A,'Production data'!V86)</f>
        <v>#N/A</v>
      </c>
      <c r="W79" s="191" t="e">
        <f>IF('Production data'!S86="",#N/A,'Production data'!S86)</f>
        <v>#N/A</v>
      </c>
      <c r="X79" s="191" t="e">
        <f>IF('Production data'!T86="",#N/A,'Production data'!T86)</f>
        <v>#N/A</v>
      </c>
      <c r="Y79" s="191" t="e">
        <f>IF('Input Laying'!E87="",#N/A,'Production data'!F86)</f>
        <v>#N/A</v>
      </c>
      <c r="Z79" s="191">
        <f>IF('Production data'!G86="",#N/A,'Production data'!G86)</f>
        <v>408.78570009913255</v>
      </c>
      <c r="AD79" s="191">
        <f>IF('Input Laying'!AF87=0,0,(IF('Input Laying'!N87&gt;0,1,IF('Input Laying'!O87&gt;0,0,1))))+AD78</f>
        <v>0</v>
      </c>
      <c r="AE79" s="191">
        <v>89</v>
      </c>
      <c r="AF79" s="191">
        <f t="shared" si="28"/>
        <v>74.834282858774387</v>
      </c>
      <c r="AG79" s="191">
        <f t="shared" ref="AG79:AL79" si="47">AF79-0.45</f>
        <v>74.384282858774384</v>
      </c>
      <c r="AH79" s="191">
        <f t="shared" si="47"/>
        <v>73.934282858774381</v>
      </c>
      <c r="AI79" s="191">
        <f t="shared" si="34"/>
        <v>72.434282858774381</v>
      </c>
      <c r="AJ79" s="191">
        <f t="shared" si="47"/>
        <v>71.984282858774378</v>
      </c>
      <c r="AK79" s="191">
        <f t="shared" si="47"/>
        <v>71.534282858774375</v>
      </c>
      <c r="AL79" s="191">
        <f t="shared" si="47"/>
        <v>71.084282858774372</v>
      </c>
      <c r="AM79" s="191">
        <f t="shared" si="25"/>
        <v>64.704553286343909</v>
      </c>
      <c r="AN79" s="191">
        <f t="shared" ref="AN79:AS79" si="48">AM79-0.3</f>
        <v>64.404553286343912</v>
      </c>
      <c r="AO79" s="191">
        <f t="shared" si="48"/>
        <v>64.104553286343915</v>
      </c>
      <c r="AP79" s="191">
        <f t="shared" si="48"/>
        <v>63.804553286343918</v>
      </c>
      <c r="AQ79" s="191">
        <f t="shared" si="48"/>
        <v>63.504553286343921</v>
      </c>
      <c r="AR79" s="191">
        <f t="shared" si="48"/>
        <v>63.204553286343923</v>
      </c>
      <c r="AS79" s="191">
        <f t="shared" si="48"/>
        <v>62.904553286343926</v>
      </c>
      <c r="AT79" s="191">
        <f t="shared" si="27"/>
        <v>5.2383998001142071</v>
      </c>
      <c r="AU79" s="191">
        <f t="shared" si="31"/>
        <v>423.75023050040818</v>
      </c>
      <c r="AV79" s="191">
        <v>89</v>
      </c>
      <c r="AW79" s="191">
        <f t="shared" si="32"/>
        <v>338.94831900166304</v>
      </c>
      <c r="AX79" s="191">
        <f t="shared" si="36"/>
        <v>26.643161612989214</v>
      </c>
      <c r="AZ79" s="191">
        <v>89</v>
      </c>
      <c r="BA79" s="191">
        <f>IF('Egg grading'!C83="",IF('Egg grading'!B83="","",'Egg grading'!B83),'Egg grading'!C83)</f>
        <v>64.704553286343909</v>
      </c>
      <c r="BC79" s="191" t="str">
        <f>IF(BC78="",'Egg grading'!K83,BC78+'Egg grading'!K83)</f>
        <v/>
      </c>
      <c r="BD79" s="191" t="str">
        <f>IF(BD78="",'Egg grading'!L83,BD78+'Egg grading'!L83)</f>
        <v/>
      </c>
      <c r="BE79" s="191" t="str">
        <f>IF(BE78="",'Egg grading'!M83,BE78+'Egg grading'!M83)</f>
        <v/>
      </c>
      <c r="BF79" s="191" t="str">
        <f>IF(BF78="",'Egg grading'!N83,BF78+'Egg grading'!N83)</f>
        <v/>
      </c>
    </row>
    <row r="80" spans="1:58" x14ac:dyDescent="0.2">
      <c r="A80" s="194">
        <f>'Production data'!B87</f>
        <v>90</v>
      </c>
      <c r="B80" s="191" t="e">
        <f>IF('Production data'!C87="",#N/A,'Production data'!C87)</f>
        <v>#N/A</v>
      </c>
      <c r="C80" s="191" t="e">
        <f>IF(OR('Input Laying'!E88=0,'Input Laying'!D87=0),#N/A,'Input Laying'!E88/'Input Laying'!D87*100*25)</f>
        <v>#N/A</v>
      </c>
      <c r="D80" s="191">
        <f>IF(OR('Production data'!D87="",'Production data'!D87=0),0,'Production data'!D87)</f>
        <v>0</v>
      </c>
      <c r="E80" s="191">
        <f>IF(OR(Std!B93="",Std!B93=0),0,Std!B93)</f>
        <v>74.373463705515775</v>
      </c>
      <c r="F80" s="193" t="e">
        <f>IF('Production data'!H87="",#N/A,'Production data'!H87)</f>
        <v>#N/A</v>
      </c>
      <c r="G80" s="193">
        <f>IF(OR(Std!C93="",Std!C93=0),#N/A,Std!C93)</f>
        <v>64.735415004413568</v>
      </c>
      <c r="H80" s="191" t="e">
        <f t="shared" si="14"/>
        <v>#N/A</v>
      </c>
      <c r="I80" s="191">
        <f>('Input Laying'!AH88-1000)/25</f>
        <v>-40</v>
      </c>
      <c r="J80" s="191">
        <f>IF((Std!D93-1000)/25&lt;15,#N/A,(Std!D93-1000)/25)</f>
        <v>38.823576368406137</v>
      </c>
      <c r="K80" s="191" t="e">
        <f>IF('Production data'!P87="",#N/A,'Production data'!P87)</f>
        <v>#N/A</v>
      </c>
      <c r="L80" s="191" t="e">
        <f>IF('Production data'!L87="",#N/A,'Production data'!L87)</f>
        <v>#N/A</v>
      </c>
      <c r="M80" s="191">
        <f>IF(Std!E93=0,#N/A,Std!E93)</f>
        <v>48.145970382922542</v>
      </c>
      <c r="O80" s="191" t="e">
        <f>IF('Input Laying'!V88=0,NA(),IF('Input Laying'!V88="",NA(),'Input Laying'!W88/'Input Laying'!O88*100))</f>
        <v>#N/A</v>
      </c>
      <c r="P80" s="191" t="e">
        <f>IF('Input Laying'!T88="",#N/A,'Input Laying'!T88/'Input Laying'!N88*100)</f>
        <v>#N/A</v>
      </c>
      <c r="Q80" s="191" t="e">
        <f>IF('Input Laying'!U88="",#N/A,'Input Laying'!U88/'Input Laying'!N88*100)</f>
        <v>#N/A</v>
      </c>
      <c r="R80" s="191" t="str">
        <f>IF('Input Laying'!V88="",#N/A,'Production data'!W87)</f>
        <v/>
      </c>
      <c r="S80" s="191">
        <f>'Input Laying'!D88*7+'Graph values'!S79</f>
        <v>0</v>
      </c>
      <c r="T80" s="191" t="str">
        <f>IF(OR('Input Laying'!AF88="",'Input Laying'!D88=0,'Input Laying'!O88=0),"#N/A",'Input Laying'!AF88/'Input Laying'!D88/(AD80*7)*1000)</f>
        <v>#N/A</v>
      </c>
      <c r="U80" s="191" t="e">
        <f>IF('Production data'!U87="",#N/A,'Production data'!U87)</f>
        <v>#N/A</v>
      </c>
      <c r="V80" s="191" t="e">
        <f>IF('Production data'!V87="",#N/A,'Production data'!V87)</f>
        <v>#N/A</v>
      </c>
      <c r="W80" s="191" t="e">
        <f>IF('Production data'!S87="",#N/A,'Production data'!S87)</f>
        <v>#N/A</v>
      </c>
      <c r="X80" s="191" t="e">
        <f>IF('Production data'!T87="",#N/A,'Production data'!T87)</f>
        <v>#N/A</v>
      </c>
      <c r="Y80" s="191" t="e">
        <f>IF('Input Laying'!E88="",#N/A,'Production data'!F87)</f>
        <v>#N/A</v>
      </c>
      <c r="Z80" s="191">
        <f>IF('Production data'!G87="",#N/A,'Production data'!G87)</f>
        <v>413.62699609496485</v>
      </c>
      <c r="AD80" s="191">
        <f>IF('Input Laying'!AF88=0,0,(IF('Input Laying'!N88&gt;0,1,IF('Input Laying'!O88&gt;0,0,1))))+AD79</f>
        <v>0</v>
      </c>
      <c r="AE80" s="191">
        <v>90</v>
      </c>
      <c r="AF80" s="191">
        <f t="shared" si="28"/>
        <v>74.373463705515775</v>
      </c>
      <c r="AG80" s="191">
        <f t="shared" ref="AG80:AL80" si="49">AF80-0.45</f>
        <v>73.923463705515772</v>
      </c>
      <c r="AH80" s="191">
        <f t="shared" si="49"/>
        <v>73.473463705515769</v>
      </c>
      <c r="AI80" s="191">
        <f t="shared" si="34"/>
        <v>71.973463705515769</v>
      </c>
      <c r="AJ80" s="191">
        <f t="shared" si="49"/>
        <v>71.523463705515766</v>
      </c>
      <c r="AK80" s="191">
        <f t="shared" si="49"/>
        <v>71.073463705515763</v>
      </c>
      <c r="AL80" s="191">
        <f t="shared" si="49"/>
        <v>70.623463705515761</v>
      </c>
      <c r="AM80" s="191">
        <f t="shared" si="25"/>
        <v>64.735415004413568</v>
      </c>
      <c r="AN80" s="191">
        <f t="shared" ref="AN80:AS80" si="50">AM80-0.3</f>
        <v>64.435415004413571</v>
      </c>
      <c r="AO80" s="191">
        <f t="shared" si="50"/>
        <v>64.135415004413574</v>
      </c>
      <c r="AP80" s="191">
        <f t="shared" si="50"/>
        <v>63.835415004413576</v>
      </c>
      <c r="AQ80" s="191">
        <f t="shared" si="50"/>
        <v>63.535415004413579</v>
      </c>
      <c r="AR80" s="191">
        <f t="shared" si="50"/>
        <v>63.235415004413582</v>
      </c>
      <c r="AS80" s="191">
        <f t="shared" si="50"/>
        <v>62.935415004413585</v>
      </c>
      <c r="AT80" s="191">
        <f t="shared" si="27"/>
        <v>5.2061424593861041</v>
      </c>
      <c r="AU80" s="191">
        <f>AT80+AU79</f>
        <v>428.95637295979429</v>
      </c>
      <c r="AV80" s="191">
        <v>90</v>
      </c>
      <c r="AW80" s="191">
        <f t="shared" si="32"/>
        <v>337.02179268045779</v>
      </c>
      <c r="AX80" s="191">
        <f t="shared" si="36"/>
        <v>26.980183405669671</v>
      </c>
      <c r="AZ80" s="191">
        <v>90</v>
      </c>
      <c r="BA80" s="191">
        <f>IF('Egg grading'!C84="",IF('Egg grading'!B84="","",'Egg grading'!B84),'Egg grading'!C84)</f>
        <v>64.735415004413568</v>
      </c>
      <c r="BC80" s="191" t="str">
        <f>IF(BC79="",'Egg grading'!K84,BC79+'Egg grading'!K84)</f>
        <v/>
      </c>
      <c r="BD80" s="191" t="str">
        <f>IF(BD79="",'Egg grading'!L84,BD79+'Egg grading'!L84)</f>
        <v/>
      </c>
      <c r="BE80" s="191" t="str">
        <f>IF(BE79="",'Egg grading'!M84,BE79+'Egg grading'!M84)</f>
        <v/>
      </c>
      <c r="BF80" s="191" t="str">
        <f>IF(BF79="",'Egg grading'!N84,BF79+'Egg grading'!N84)</f>
        <v/>
      </c>
    </row>
    <row r="81" spans="1:58" x14ac:dyDescent="0.2">
      <c r="A81" s="194">
        <f>'Production data'!B88</f>
        <v>91</v>
      </c>
      <c r="B81" s="191" t="e">
        <f>IF('Production data'!C88="",#N/A,'Production data'!C88)</f>
        <v>#N/A</v>
      </c>
      <c r="C81" s="191" t="e">
        <f>IF(OR('Input Laying'!E89=0,'Input Laying'!D88=0),#N/A,'Input Laying'!E89/'Input Laying'!D88*100*25)</f>
        <v>#N/A</v>
      </c>
      <c r="D81" s="191">
        <f>IF(OR('Production data'!D88="",'Production data'!D88=0),0,'Production data'!D88)</f>
        <v>0</v>
      </c>
      <c r="E81" s="191">
        <f>IF(OR(Std!B94="",Std!B94=0),0,Std!B94)</f>
        <v>73.913719780955503</v>
      </c>
      <c r="F81" s="193" t="e">
        <f>IF('Production data'!H88="",#N/A,'Production data'!H88)</f>
        <v>#N/A</v>
      </c>
      <c r="G81" s="193">
        <f>IF(OR(Std!C94="",Std!C94=0),#N/A,Std!C94)</f>
        <v>64.766276722483241</v>
      </c>
      <c r="H81" s="191" t="e">
        <f t="shared" ref="H81:H89" si="51">IF(I81&lt;0,#N/A,I81)</f>
        <v>#N/A</v>
      </c>
      <c r="I81" s="191">
        <f>('Input Laying'!AH89-1000)/25</f>
        <v>-40</v>
      </c>
      <c r="J81" s="191">
        <f>IF((Std!D94-1000)/25&lt;15,#N/A,(Std!D94-1000)/25)</f>
        <v>38.842271843143806</v>
      </c>
      <c r="K81" s="191" t="e">
        <f>IF('Production data'!P88="",#N/A,'Production data'!P88)</f>
        <v>#N/A</v>
      </c>
      <c r="L81" s="191" t="e">
        <f>IF('Production data'!L88="",#N/A,'Production data'!L88)</f>
        <v>#N/A</v>
      </c>
      <c r="M81" s="191">
        <f>IF(Std!E94=0,#N/A,Std!E94)</f>
        <v>47.871164289214477</v>
      </c>
      <c r="O81" s="191" t="e">
        <f>IF('Input Laying'!V89=0,NA(),IF('Input Laying'!V89="",NA(),'Input Laying'!W89/'Input Laying'!O89*100))</f>
        <v>#N/A</v>
      </c>
      <c r="P81" s="191" t="e">
        <f>IF('Input Laying'!T89="",#N/A,'Input Laying'!T89/'Input Laying'!N89*100)</f>
        <v>#N/A</v>
      </c>
      <c r="Q81" s="191" t="e">
        <f>IF('Input Laying'!U89="",#N/A,'Input Laying'!U89/'Input Laying'!N89*100)</f>
        <v>#N/A</v>
      </c>
      <c r="R81" s="191" t="str">
        <f>IF('Input Laying'!V89="",#N/A,'Production data'!W88)</f>
        <v/>
      </c>
      <c r="S81" s="191">
        <f>'Input Laying'!D89*7+'Graph values'!S80</f>
        <v>0</v>
      </c>
      <c r="T81" s="191" t="str">
        <f>IF(OR('Input Laying'!AF89="",'Input Laying'!D89=0,'Input Laying'!O89=0),"#N/A",'Input Laying'!AF89/'Input Laying'!D89/(AD81*7)*1000)</f>
        <v>#N/A</v>
      </c>
      <c r="U81" s="191" t="e">
        <f>IF('Production data'!U88="",#N/A,'Production data'!U88)</f>
        <v>#N/A</v>
      </c>
      <c r="V81" s="191" t="e">
        <f>IF('Production data'!V88="",#N/A,'Production data'!V88)</f>
        <v>#N/A</v>
      </c>
      <c r="W81" s="191" t="e">
        <f>IF('Production data'!S88="",#N/A,'Production data'!S88)</f>
        <v>#N/A</v>
      </c>
      <c r="X81" s="191" t="e">
        <f>IF('Production data'!T88="",#N/A,'Production data'!T88)</f>
        <v>#N/A</v>
      </c>
      <c r="Y81" s="191" t="e">
        <f>IF('Input Laying'!E89="",#N/A,'Production data'!F88)</f>
        <v>#N/A</v>
      </c>
      <c r="Z81" s="191">
        <f>IF('Production data'!G88="",#N/A,'Production data'!G88)</f>
        <v>418.43339833390496</v>
      </c>
      <c r="AD81" s="191">
        <f>IF('Input Laying'!AF89=0,0,(IF('Input Laying'!N89&gt;0,1,IF('Input Laying'!O89&gt;0,0,1))))+AD80</f>
        <v>0</v>
      </c>
      <c r="AE81" s="191">
        <v>91</v>
      </c>
      <c r="AF81" s="191">
        <f t="shared" ref="AF81:AF89" si="52">IF(E81&lt;10,#N/A,E81)</f>
        <v>73.913719780955503</v>
      </c>
      <c r="AG81" s="191">
        <f t="shared" ref="AG81:AG89" si="53">AF81-0.45</f>
        <v>73.4637197809555</v>
      </c>
      <c r="AH81" s="191">
        <f t="shared" ref="AH81:AH89" si="54">AG81-0.45</f>
        <v>73.013719780955498</v>
      </c>
      <c r="AI81" s="191">
        <f t="shared" ref="AI81:AI89" si="55">AH81-1.5</f>
        <v>71.513719780955498</v>
      </c>
      <c r="AJ81" s="191">
        <f t="shared" ref="AJ81:AJ89" si="56">AI81-0.45</f>
        <v>71.063719780955495</v>
      </c>
      <c r="AK81" s="191">
        <f t="shared" ref="AK81:AK89" si="57">AJ81-0.45</f>
        <v>70.613719780955492</v>
      </c>
      <c r="AL81" s="191">
        <f t="shared" ref="AL81:AL89" si="58">AK81-0.45</f>
        <v>70.163719780955489</v>
      </c>
      <c r="AM81" s="191">
        <f t="shared" ref="AM81:AM89" si="59">G81</f>
        <v>64.766276722483241</v>
      </c>
      <c r="AN81" s="191">
        <f t="shared" ref="AN81:AN89" si="60">AM81-0.3</f>
        <v>64.466276722483244</v>
      </c>
      <c r="AO81" s="191">
        <f t="shared" ref="AO81:AO89" si="61">AN81-0.3</f>
        <v>64.166276722483246</v>
      </c>
      <c r="AP81" s="191">
        <f t="shared" ref="AP81:AP89" si="62">AO81-0.3</f>
        <v>63.866276722483249</v>
      </c>
      <c r="AQ81" s="191">
        <f t="shared" ref="AQ81:AQ89" si="63">AP81-0.3</f>
        <v>63.566276722483252</v>
      </c>
      <c r="AR81" s="191">
        <f t="shared" ref="AR81:AR89" si="64">AQ81-0.3</f>
        <v>63.266276722483255</v>
      </c>
      <c r="AS81" s="191">
        <f t="shared" ref="AS81:AS89" si="65">AR81-0.3</f>
        <v>62.966276722483258</v>
      </c>
      <c r="AT81" s="191">
        <f t="shared" ref="AT81:AT89" si="66">E81*7/100</f>
        <v>5.1739603846668851</v>
      </c>
      <c r="AU81" s="191">
        <f t="shared" ref="AU81:AU88" si="67">AT81+AU80</f>
        <v>434.13033334446118</v>
      </c>
      <c r="AV81" s="191">
        <v>91</v>
      </c>
      <c r="AW81" s="191">
        <f t="shared" ref="AW81:AW89" si="68">(G81*E81/100)*7</f>
        <v>335.09815002450136</v>
      </c>
      <c r="AX81" s="191">
        <f t="shared" ref="AX81:AX89" si="69">AX80+(AW81/1000)</f>
        <v>27.31528155569417</v>
      </c>
      <c r="AZ81" s="191">
        <v>91</v>
      </c>
      <c r="BA81" s="191">
        <f>IF('Egg grading'!C85="",IF('Egg grading'!B85="","",'Egg grading'!B85),'Egg grading'!C85)</f>
        <v>64.766276722483241</v>
      </c>
      <c r="BC81" s="191" t="str">
        <f>IF(BC80="",'Egg grading'!K85,BC80+'Egg grading'!K85)</f>
        <v/>
      </c>
      <c r="BD81" s="191" t="str">
        <f>IF(BD80="",'Egg grading'!L85,BD80+'Egg grading'!L85)</f>
        <v/>
      </c>
      <c r="BE81" s="191" t="str">
        <f>IF(BE80="",'Egg grading'!M85,BE80+'Egg grading'!M85)</f>
        <v/>
      </c>
      <c r="BF81" s="191" t="str">
        <f>IF(BF80="",'Egg grading'!N85,BF80+'Egg grading'!N85)</f>
        <v/>
      </c>
    </row>
    <row r="82" spans="1:58" x14ac:dyDescent="0.2">
      <c r="A82" s="194">
        <f>'Production data'!B89</f>
        <v>92</v>
      </c>
      <c r="B82" s="191" t="e">
        <f>IF('Production data'!C89="",#N/A,'Production data'!C89)</f>
        <v>#N/A</v>
      </c>
      <c r="C82" s="191" t="e">
        <f>IF(OR('Input Laying'!E90=0,'Input Laying'!D89=0),#N/A,'Input Laying'!E90/'Input Laying'!D89*100*25)</f>
        <v>#N/A</v>
      </c>
      <c r="D82" s="191">
        <f>IF(OR('Production data'!D89="",'Production data'!D89=0),0,'Production data'!D89)</f>
        <v>0</v>
      </c>
      <c r="E82" s="191">
        <f>IF(OR(Std!B95="",Std!B95=0),0,Std!B95)</f>
        <v>73.454740941304152</v>
      </c>
      <c r="F82" s="193" t="e">
        <f>IF('Production data'!H89="",#N/A,'Production data'!H89)</f>
        <v>#N/A</v>
      </c>
      <c r="G82" s="193">
        <f>IF(OR(Std!C95="",Std!C95=0),#N/A,Std!C95)</f>
        <v>64.797138440552899</v>
      </c>
      <c r="H82" s="191" t="e">
        <f t="shared" si="51"/>
        <v>#N/A</v>
      </c>
      <c r="I82" s="191">
        <f>('Input Laying'!AH90-1000)/25</f>
        <v>-40</v>
      </c>
      <c r="J82" s="191">
        <f>IF((Std!D95-1000)/25&lt;15,#N/A,(Std!D95-1000)/25)</f>
        <v>38.860967317881475</v>
      </c>
      <c r="K82" s="191" t="e">
        <f>IF('Production data'!P89="",#N/A,'Production data'!P89)</f>
        <v>#N/A</v>
      </c>
      <c r="L82" s="191" t="e">
        <f>IF('Production data'!L89="",#N/A,'Production data'!L89)</f>
        <v>#N/A</v>
      </c>
      <c r="M82" s="191">
        <f>IF(Std!E95=0,#N/A,Std!E95)</f>
        <v>47.596570178886338</v>
      </c>
      <c r="O82" s="191" t="e">
        <f>IF('Input Laying'!V90=0,NA(),IF('Input Laying'!V90="",NA(),'Input Laying'!W90/'Input Laying'!O90*100))</f>
        <v>#N/A</v>
      </c>
      <c r="P82" s="191" t="e">
        <f>IF('Input Laying'!T90="",#N/A,'Input Laying'!T90/'Input Laying'!N90*100)</f>
        <v>#N/A</v>
      </c>
      <c r="Q82" s="191" t="e">
        <f>IF('Input Laying'!U90="",#N/A,'Input Laying'!U90/'Input Laying'!N90*100)</f>
        <v>#N/A</v>
      </c>
      <c r="R82" s="191" t="str">
        <f>IF('Input Laying'!V90="",#N/A,'Production data'!W89)</f>
        <v/>
      </c>
      <c r="S82" s="191">
        <f>'Input Laying'!D90*7+'Graph values'!S81</f>
        <v>0</v>
      </c>
      <c r="T82" s="191" t="str">
        <f>IF(OR('Input Laying'!AF90="",'Input Laying'!D90=0,'Input Laying'!O90=0),"#N/A",'Input Laying'!AF90/'Input Laying'!D90/(AD82*7)*1000)</f>
        <v>#N/A</v>
      </c>
      <c r="U82" s="191" t="e">
        <f>IF('Production data'!U89="",#N/A,'Production data'!U89)</f>
        <v>#N/A</v>
      </c>
      <c r="V82" s="191" t="e">
        <f>IF('Production data'!V89="",#N/A,'Production data'!V89)</f>
        <v>#N/A</v>
      </c>
      <c r="W82" s="191" t="e">
        <f>IF('Production data'!S89="",#N/A,'Production data'!S89)</f>
        <v>#N/A</v>
      </c>
      <c r="X82" s="191" t="e">
        <f>IF('Production data'!T89="",#N/A,'Production data'!T89)</f>
        <v>#N/A</v>
      </c>
      <c r="Y82" s="191" t="e">
        <f>IF('Input Laying'!E90="",#N/A,'Production data'!F89)</f>
        <v>#N/A</v>
      </c>
      <c r="Z82" s="191">
        <f>IF('Production data'!G89="",#N/A,'Production data'!G89)</f>
        <v>423.20501830545209</v>
      </c>
      <c r="AD82" s="191">
        <f>IF('Input Laying'!AF90=0,0,(IF('Input Laying'!N90&gt;0,1,IF('Input Laying'!O90&gt;0,0,1))))+AD81</f>
        <v>0</v>
      </c>
      <c r="AE82" s="191">
        <v>92</v>
      </c>
      <c r="AF82" s="191">
        <f t="shared" si="52"/>
        <v>73.454740941304152</v>
      </c>
      <c r="AG82" s="191">
        <f t="shared" si="53"/>
        <v>73.004740941304149</v>
      </c>
      <c r="AH82" s="191">
        <f t="shared" si="54"/>
        <v>72.554740941304146</v>
      </c>
      <c r="AI82" s="191">
        <f t="shared" si="55"/>
        <v>71.054740941304146</v>
      </c>
      <c r="AJ82" s="191">
        <f t="shared" si="56"/>
        <v>70.604740941304144</v>
      </c>
      <c r="AK82" s="191">
        <f t="shared" si="57"/>
        <v>70.154740941304141</v>
      </c>
      <c r="AL82" s="191">
        <f t="shared" si="58"/>
        <v>69.704740941304138</v>
      </c>
      <c r="AM82" s="191">
        <f t="shared" si="59"/>
        <v>64.797138440552899</v>
      </c>
      <c r="AN82" s="191">
        <f t="shared" si="60"/>
        <v>64.497138440552902</v>
      </c>
      <c r="AO82" s="191">
        <f t="shared" si="61"/>
        <v>64.197138440552905</v>
      </c>
      <c r="AP82" s="191">
        <f t="shared" si="62"/>
        <v>63.897138440552908</v>
      </c>
      <c r="AQ82" s="191">
        <f t="shared" si="63"/>
        <v>63.597138440552911</v>
      </c>
      <c r="AR82" s="191">
        <f t="shared" si="64"/>
        <v>63.297138440552914</v>
      </c>
      <c r="AS82" s="191">
        <f t="shared" si="65"/>
        <v>62.997138440552916</v>
      </c>
      <c r="AT82" s="191">
        <f t="shared" si="66"/>
        <v>5.14183186589129</v>
      </c>
      <c r="AU82" s="191">
        <f t="shared" si="67"/>
        <v>439.27216521035245</v>
      </c>
      <c r="AV82" s="191">
        <v>92</v>
      </c>
      <c r="AW82" s="191">
        <f t="shared" si="68"/>
        <v>333.17599125220437</v>
      </c>
      <c r="AX82" s="191">
        <f t="shared" si="69"/>
        <v>27.648457546946375</v>
      </c>
      <c r="AZ82" s="191">
        <v>92</v>
      </c>
      <c r="BA82" s="191">
        <f>IF('Egg grading'!C86="",IF('Egg grading'!B86="","",'Egg grading'!B86),'Egg grading'!C86)</f>
        <v>64.797138440552899</v>
      </c>
      <c r="BC82" s="191" t="str">
        <f>IF(BC81="",'Egg grading'!K86,BC81+'Egg grading'!K86)</f>
        <v/>
      </c>
      <c r="BD82" s="191" t="str">
        <f>IF(BD81="",'Egg grading'!L86,BD81+'Egg grading'!L86)</f>
        <v/>
      </c>
      <c r="BE82" s="191" t="str">
        <f>IF(BE81="",'Egg grading'!M86,BE81+'Egg grading'!M86)</f>
        <v/>
      </c>
      <c r="BF82" s="191" t="str">
        <f>IF(BF81="",'Egg grading'!N86,BF81+'Egg grading'!N86)</f>
        <v/>
      </c>
    </row>
    <row r="83" spans="1:58" x14ac:dyDescent="0.2">
      <c r="A83" s="194">
        <f>'Production data'!B90</f>
        <v>93</v>
      </c>
      <c r="B83" s="191" t="e">
        <f>IF('Production data'!C90="",#N/A,'Production data'!C90)</f>
        <v>#N/A</v>
      </c>
      <c r="C83" s="191" t="e">
        <f>IF(OR('Input Laying'!E91=0,'Input Laying'!D90=0),#N/A,'Input Laying'!E91/'Input Laying'!D90*100*25)</f>
        <v>#N/A</v>
      </c>
      <c r="D83" s="191">
        <f>IF(OR('Production data'!D90="",'Production data'!D90=0),0,'Production data'!D90)</f>
        <v>0</v>
      </c>
      <c r="E83" s="191">
        <f>IF(OR(Std!B96="",Std!B96=0),0,Std!B96)</f>
        <v>72.99617161702804</v>
      </c>
      <c r="F83" s="193" t="e">
        <f>IF('Production data'!H90="",#N/A,'Production data'!H90)</f>
        <v>#N/A</v>
      </c>
      <c r="G83" s="193">
        <f>IF(OR(Std!C96="",Std!C96=0),#N/A,Std!C96)</f>
        <v>64.828000158622558</v>
      </c>
      <c r="H83" s="191" t="e">
        <f t="shared" si="51"/>
        <v>#N/A</v>
      </c>
      <c r="I83" s="191">
        <f>('Input Laying'!AH91-1000)/25</f>
        <v>-40</v>
      </c>
      <c r="J83" s="191">
        <f>IF((Std!D96-1000)/25&lt;15,#N/A,(Std!D96-1000)/25)</f>
        <v>38.879662792619143</v>
      </c>
      <c r="K83" s="191" t="e">
        <f>IF('Production data'!P90="",#N/A,'Production data'!P90)</f>
        <v>#N/A</v>
      </c>
      <c r="L83" s="191" t="e">
        <f>IF('Production data'!L90="",#N/A,'Production data'!L90)</f>
        <v>#N/A</v>
      </c>
      <c r="M83" s="191">
        <f>IF(Std!E96=0,#N/A,Std!E96)</f>
        <v>47.321958251675333</v>
      </c>
      <c r="O83" s="191" t="e">
        <f>IF('Input Laying'!V91=0,NA(),IF('Input Laying'!V91="",NA(),'Input Laying'!W91/'Input Laying'!O91*100))</f>
        <v>#N/A</v>
      </c>
      <c r="P83" s="191" t="e">
        <f>IF('Input Laying'!T91="",#N/A,'Input Laying'!T91/'Input Laying'!N91*100)</f>
        <v>#N/A</v>
      </c>
      <c r="Q83" s="191" t="e">
        <f>IF('Input Laying'!U91="",#N/A,'Input Laying'!U91/'Input Laying'!N91*100)</f>
        <v>#N/A</v>
      </c>
      <c r="R83" s="191" t="str">
        <f>IF('Input Laying'!V91="",#N/A,'Production data'!W90)</f>
        <v/>
      </c>
      <c r="S83" s="191">
        <f>'Input Laying'!D91*7+'Graph values'!S82</f>
        <v>0</v>
      </c>
      <c r="T83" s="191" t="str">
        <f>IF(OR('Input Laying'!AF91="",'Input Laying'!D91=0,'Input Laying'!O91=0),"#N/A",'Input Laying'!AF91/'Input Laying'!D91/(AD83*7)*1000)</f>
        <v>#N/A</v>
      </c>
      <c r="U83" s="191" t="e">
        <f>IF('Production data'!U90="",#N/A,'Production data'!U90)</f>
        <v>#N/A</v>
      </c>
      <c r="V83" s="191" t="e">
        <f>IF('Production data'!V90="",#N/A,'Production data'!V90)</f>
        <v>#N/A</v>
      </c>
      <c r="W83" s="191" t="e">
        <f>IF('Production data'!S90="",#N/A,'Production data'!S90)</f>
        <v>#N/A</v>
      </c>
      <c r="X83" s="191" t="e">
        <f>IF('Production data'!T90="",#N/A,'Production data'!T90)</f>
        <v>#N/A</v>
      </c>
      <c r="Y83" s="191" t="e">
        <f>IF('Input Laying'!E91="",#N/A,'Production data'!F90)</f>
        <v>#N/A</v>
      </c>
      <c r="Z83" s="191">
        <f>IF('Production data'!G90="",#N/A,'Production data'!G90)</f>
        <v>427.94194427096153</v>
      </c>
      <c r="AD83" s="191">
        <f>IF('Input Laying'!AF91=0,0,(IF('Input Laying'!N91&gt;0,1,IF('Input Laying'!O91&gt;0,0,1))))+AD82</f>
        <v>0</v>
      </c>
      <c r="AE83" s="191">
        <v>93</v>
      </c>
      <c r="AF83" s="191">
        <f t="shared" si="52"/>
        <v>72.99617161702804</v>
      </c>
      <c r="AG83" s="191">
        <f t="shared" si="53"/>
        <v>72.546171617028037</v>
      </c>
      <c r="AH83" s="191">
        <f t="shared" si="54"/>
        <v>72.096171617028034</v>
      </c>
      <c r="AI83" s="191">
        <f t="shared" si="55"/>
        <v>70.596171617028034</v>
      </c>
      <c r="AJ83" s="191">
        <f t="shared" si="56"/>
        <v>70.146171617028031</v>
      </c>
      <c r="AK83" s="191">
        <f t="shared" si="57"/>
        <v>69.696171617028028</v>
      </c>
      <c r="AL83" s="191">
        <f t="shared" si="58"/>
        <v>69.246171617028025</v>
      </c>
      <c r="AM83" s="191">
        <f t="shared" si="59"/>
        <v>64.828000158622558</v>
      </c>
      <c r="AN83" s="191">
        <f t="shared" si="60"/>
        <v>64.528000158622561</v>
      </c>
      <c r="AO83" s="191">
        <f t="shared" si="61"/>
        <v>64.228000158622564</v>
      </c>
      <c r="AP83" s="191">
        <f t="shared" si="62"/>
        <v>63.928000158622567</v>
      </c>
      <c r="AQ83" s="191">
        <f t="shared" si="63"/>
        <v>63.628000158622569</v>
      </c>
      <c r="AR83" s="191">
        <f t="shared" si="64"/>
        <v>63.328000158622572</v>
      </c>
      <c r="AS83" s="191">
        <f t="shared" si="65"/>
        <v>63.028000158622575</v>
      </c>
      <c r="AT83" s="191">
        <f t="shared" si="66"/>
        <v>5.1097320131919624</v>
      </c>
      <c r="AU83" s="191">
        <f t="shared" si="67"/>
        <v>444.3818972235444</v>
      </c>
      <c r="AV83" s="191">
        <v>93</v>
      </c>
      <c r="AW83" s="191">
        <f t="shared" si="68"/>
        <v>331.25370776172736</v>
      </c>
      <c r="AX83" s="191">
        <f t="shared" si="69"/>
        <v>27.979711254708103</v>
      </c>
      <c r="AZ83" s="191">
        <v>93</v>
      </c>
      <c r="BA83" s="191">
        <f>IF('Egg grading'!C87="",IF('Egg grading'!B87="","",'Egg grading'!B87),'Egg grading'!C87)</f>
        <v>64.828000158622558</v>
      </c>
      <c r="BC83" s="191" t="str">
        <f>IF(BC82="",'Egg grading'!K87,BC82+'Egg grading'!K87)</f>
        <v/>
      </c>
      <c r="BD83" s="191" t="str">
        <f>IF(BD82="",'Egg grading'!L87,BD82+'Egg grading'!L87)</f>
        <v/>
      </c>
      <c r="BE83" s="191" t="str">
        <f>IF(BE82="",'Egg grading'!M87,BE82+'Egg grading'!M87)</f>
        <v/>
      </c>
      <c r="BF83" s="191" t="str">
        <f>IF(BF82="",'Egg grading'!N87,BF82+'Egg grading'!N87)</f>
        <v/>
      </c>
    </row>
    <row r="84" spans="1:58" x14ac:dyDescent="0.2">
      <c r="A84" s="194">
        <f>'Production data'!B91</f>
        <v>94</v>
      </c>
      <c r="B84" s="191" t="e">
        <f>IF('Production data'!C91="",#N/A,'Production data'!C91)</f>
        <v>#N/A</v>
      </c>
      <c r="C84" s="191" t="e">
        <f>IF(OR('Input Laying'!E92=0,'Input Laying'!D91=0),#N/A,'Input Laying'!E92/'Input Laying'!D91*100*25)</f>
        <v>#N/A</v>
      </c>
      <c r="D84" s="191">
        <f>IF(OR('Production data'!D91="",'Production data'!D91=0),0,'Production data'!D91)</f>
        <v>0</v>
      </c>
      <c r="E84" s="191">
        <f>IF(OR(Std!B97="",Std!B97=0),0,Std!B97)</f>
        <v>72.537610812849536</v>
      </c>
      <c r="F84" s="193" t="e">
        <f>IF('Production data'!H91="",#N/A,'Production data'!H91)</f>
        <v>#N/A</v>
      </c>
      <c r="G84" s="193">
        <f>IF(OR(Std!C97="",Std!C97=0),#N/A,Std!C97)</f>
        <v>64.858861876692231</v>
      </c>
      <c r="H84" s="191" t="e">
        <f t="shared" si="51"/>
        <v>#N/A</v>
      </c>
      <c r="I84" s="191">
        <f>('Input Laying'!AH92-1000)/25</f>
        <v>-40</v>
      </c>
      <c r="J84" s="191">
        <f>IF((Std!D97-1000)/25&lt;15,#N/A,(Std!D97-1000)/25)</f>
        <v>38.898358267356819</v>
      </c>
      <c r="K84" s="191" t="e">
        <f>IF('Production data'!P91="",#N/A,'Production data'!P91)</f>
        <v>#N/A</v>
      </c>
      <c r="L84" s="191" t="e">
        <f>IF('Production data'!L91="",#N/A,'Production data'!L91)</f>
        <v>#N/A</v>
      </c>
      <c r="M84" s="191">
        <f>IF(Std!E97=0,#N/A,Std!E97)</f>
        <v>47.047068805758641</v>
      </c>
      <c r="O84" s="191" t="e">
        <f>IF('Input Laying'!V92=0,NA(),IF('Input Laying'!V92="",NA(),'Input Laying'!W92/'Input Laying'!O92*100))</f>
        <v>#N/A</v>
      </c>
      <c r="P84" s="191" t="e">
        <f>IF('Input Laying'!T92="",#N/A,'Input Laying'!T92/'Input Laying'!N92*100)</f>
        <v>#N/A</v>
      </c>
      <c r="Q84" s="191" t="e">
        <f>IF('Input Laying'!U92="",#N/A,'Input Laying'!U92/'Input Laying'!N92*100)</f>
        <v>#N/A</v>
      </c>
      <c r="R84" s="191" t="str">
        <f>IF('Input Laying'!V92="",#N/A,'Production data'!W91)</f>
        <v/>
      </c>
      <c r="S84" s="191">
        <f>'Input Laying'!D92*7+'Graph values'!S83</f>
        <v>0</v>
      </c>
      <c r="T84" s="191" t="str">
        <f>IF(OR('Input Laying'!AF92="",'Input Laying'!D92=0,'Input Laying'!O92=0),"#N/A",'Input Laying'!AF92/'Input Laying'!D92/(AD84*7)*1000)</f>
        <v>#N/A</v>
      </c>
      <c r="U84" s="191" t="e">
        <f>IF('Production data'!U91="",#N/A,'Production data'!U91)</f>
        <v>#N/A</v>
      </c>
      <c r="V84" s="191" t="e">
        <f>IF('Production data'!V91="",#N/A,'Production data'!V91)</f>
        <v>#N/A</v>
      </c>
      <c r="W84" s="191" t="e">
        <f>IF('Production data'!S91="",#N/A,'Production data'!S91)</f>
        <v>#N/A</v>
      </c>
      <c r="X84" s="191" t="e">
        <f>IF('Production data'!T91="",#N/A,'Production data'!T91)</f>
        <v>#N/A</v>
      </c>
      <c r="Y84" s="191" t="e">
        <f>IF('Input Laying'!E92="",#N/A,'Production data'!F91)</f>
        <v>#N/A</v>
      </c>
      <c r="Z84" s="191">
        <f>IF('Production data'!G91="",#N/A,'Production data'!G91)</f>
        <v>432.64423841447098</v>
      </c>
      <c r="AD84" s="191">
        <f>IF('Input Laying'!AF92=0,0,(IF('Input Laying'!N92&gt;0,1,IF('Input Laying'!O92&gt;0,0,1))))+AD83</f>
        <v>0</v>
      </c>
      <c r="AE84" s="191">
        <v>94</v>
      </c>
      <c r="AF84" s="191">
        <f t="shared" si="52"/>
        <v>72.537610812849536</v>
      </c>
      <c r="AG84" s="191">
        <f t="shared" si="53"/>
        <v>72.087610812849533</v>
      </c>
      <c r="AH84" s="191">
        <f t="shared" si="54"/>
        <v>71.63761081284953</v>
      </c>
      <c r="AI84" s="191">
        <f t="shared" si="55"/>
        <v>70.13761081284953</v>
      </c>
      <c r="AJ84" s="191">
        <f t="shared" si="56"/>
        <v>69.687610812849528</v>
      </c>
      <c r="AK84" s="191">
        <f t="shared" si="57"/>
        <v>69.237610812849525</v>
      </c>
      <c r="AL84" s="191">
        <f t="shared" si="58"/>
        <v>68.787610812849522</v>
      </c>
      <c r="AM84" s="191">
        <f t="shared" si="59"/>
        <v>64.858861876692231</v>
      </c>
      <c r="AN84" s="191">
        <f t="shared" si="60"/>
        <v>64.558861876692234</v>
      </c>
      <c r="AO84" s="191">
        <f t="shared" si="61"/>
        <v>64.258861876692237</v>
      </c>
      <c r="AP84" s="191">
        <f t="shared" si="62"/>
        <v>63.958861876692239</v>
      </c>
      <c r="AQ84" s="191">
        <f t="shared" si="63"/>
        <v>63.658861876692242</v>
      </c>
      <c r="AR84" s="191">
        <f t="shared" si="64"/>
        <v>63.358861876692245</v>
      </c>
      <c r="AS84" s="191">
        <f t="shared" si="65"/>
        <v>63.058861876692248</v>
      </c>
      <c r="AT84" s="191">
        <f t="shared" si="66"/>
        <v>5.077632756899467</v>
      </c>
      <c r="AU84" s="191">
        <f t="shared" si="67"/>
        <v>449.45952998044385</v>
      </c>
      <c r="AV84" s="191">
        <v>94</v>
      </c>
      <c r="AW84" s="191">
        <f t="shared" si="68"/>
        <v>329.32948164031052</v>
      </c>
      <c r="AX84" s="191">
        <f t="shared" si="69"/>
        <v>28.309040736348415</v>
      </c>
      <c r="AZ84" s="191">
        <v>94</v>
      </c>
      <c r="BA84" s="191">
        <f>IF('Egg grading'!C88="",IF('Egg grading'!B88="","",'Egg grading'!B88),'Egg grading'!C88)</f>
        <v>64.858861876692231</v>
      </c>
      <c r="BC84" s="191" t="str">
        <f>IF(BC83="",'Egg grading'!K88,BC83+'Egg grading'!K88)</f>
        <v/>
      </c>
      <c r="BD84" s="191" t="str">
        <f>IF(BD83="",'Egg grading'!L88,BD83+'Egg grading'!L88)</f>
        <v/>
      </c>
      <c r="BE84" s="191" t="str">
        <f>IF(BE83="",'Egg grading'!M88,BE83+'Egg grading'!M88)</f>
        <v/>
      </c>
      <c r="BF84" s="191" t="str">
        <f>IF(BF83="",'Egg grading'!N88,BF83+'Egg grading'!N88)</f>
        <v/>
      </c>
    </row>
    <row r="85" spans="1:58" x14ac:dyDescent="0.2">
      <c r="A85" s="194">
        <f>'Production data'!B92</f>
        <v>95</v>
      </c>
      <c r="B85" s="191" t="e">
        <f>IF('Production data'!C92="",#N/A,'Production data'!C92)</f>
        <v>#N/A</v>
      </c>
      <c r="C85" s="191" t="e">
        <f>IF(OR('Input Laying'!E93=0,'Input Laying'!D92=0),#N/A,'Input Laying'!E93/'Input Laying'!D92*100*25)</f>
        <v>#N/A</v>
      </c>
      <c r="D85" s="191">
        <f>IF(OR('Production data'!D92="",'Production data'!D92=0),0,'Production data'!D92)</f>
        <v>0</v>
      </c>
      <c r="E85" s="191">
        <f>IF(OR(Std!B98="",Std!B98=0),0,Std!B98)</f>
        <v>72.078612107746565</v>
      </c>
      <c r="F85" s="193" t="e">
        <f>IF('Production data'!H92="",#N/A,'Production data'!H92)</f>
        <v>#N/A</v>
      </c>
      <c r="G85" s="193">
        <f>IF(OR(Std!C98="",Std!C98=0),#N/A,Std!C98)</f>
        <v>64.88972359476189</v>
      </c>
      <c r="H85" s="191" t="e">
        <f t="shared" si="51"/>
        <v>#N/A</v>
      </c>
      <c r="I85" s="191">
        <f>('Input Laying'!AH93-1000)/25</f>
        <v>-40</v>
      </c>
      <c r="J85" s="191">
        <f>IF((Std!D98-1000)/25&lt;15,#N/A,(Std!D98-1000)/25)</f>
        <v>38.917053742094488</v>
      </c>
      <c r="K85" s="191" t="e">
        <f>IF('Production data'!P92="",#N/A,'Production data'!P92)</f>
        <v>#N/A</v>
      </c>
      <c r="L85" s="191" t="e">
        <f>IF('Production data'!L92="",#N/A,'Production data'!L92)</f>
        <v>#N/A</v>
      </c>
      <c r="M85" s="191">
        <f>IF(Std!E98=0,#N/A,Std!E98)</f>
        <v>46.771612167657324</v>
      </c>
      <c r="O85" s="191" t="e">
        <f>IF('Input Laying'!V93=0,NA(),IF('Input Laying'!V93="",NA(),'Input Laying'!W93/'Input Laying'!O93*100))</f>
        <v>#N/A</v>
      </c>
      <c r="P85" s="191" t="e">
        <f>IF('Input Laying'!T93="",#N/A,'Input Laying'!T93/'Input Laying'!N93*100)</f>
        <v>#N/A</v>
      </c>
      <c r="Q85" s="191" t="e">
        <f>IF('Input Laying'!U93="",#N/A,'Input Laying'!U93/'Input Laying'!N93*100)</f>
        <v>#N/A</v>
      </c>
      <c r="R85" s="191" t="str">
        <f>IF('Input Laying'!V93="",#N/A,'Production data'!W92)</f>
        <v/>
      </c>
      <c r="S85" s="191">
        <f>'Input Laying'!D93*7+'Graph values'!S84</f>
        <v>0</v>
      </c>
      <c r="T85" s="191" t="str">
        <f>IF(OR('Input Laying'!AF93="",'Input Laying'!D93=0,'Input Laying'!O93=0),"#N/A",'Input Laying'!AF93/'Input Laying'!D93/(AD85*7)*1000)</f>
        <v>#N/A</v>
      </c>
      <c r="U85" s="191" t="e">
        <f>IF('Production data'!U92="",#N/A,'Production data'!U92)</f>
        <v>#N/A</v>
      </c>
      <c r="V85" s="191" t="e">
        <f>IF('Production data'!V92="",#N/A,'Production data'!V92)</f>
        <v>#N/A</v>
      </c>
      <c r="W85" s="191" t="e">
        <f>IF('Production data'!S92="",#N/A,'Production data'!S92)</f>
        <v>#N/A</v>
      </c>
      <c r="X85" s="191" t="e">
        <f>IF('Production data'!T92="",#N/A,'Production data'!T92)</f>
        <v>#N/A</v>
      </c>
      <c r="Y85" s="191" t="e">
        <f>IF('Input Laying'!E93="",#N/A,'Production data'!F92)</f>
        <v>#N/A</v>
      </c>
      <c r="Z85" s="191">
        <f>IF('Production data'!G92="",#N/A,'Production data'!G92)</f>
        <v>437.31193400878925</v>
      </c>
      <c r="AD85" s="191">
        <f>IF('Input Laying'!AF93=0,0,(IF('Input Laying'!N93&gt;0,1,IF('Input Laying'!O93&gt;0,0,1))))+AD84</f>
        <v>0</v>
      </c>
      <c r="AE85" s="191">
        <v>95</v>
      </c>
      <c r="AF85" s="191">
        <f t="shared" si="52"/>
        <v>72.078612107746565</v>
      </c>
      <c r="AG85" s="191">
        <f t="shared" si="53"/>
        <v>71.628612107746562</v>
      </c>
      <c r="AH85" s="191">
        <f t="shared" si="54"/>
        <v>71.178612107746559</v>
      </c>
      <c r="AI85" s="191">
        <f t="shared" si="55"/>
        <v>69.678612107746559</v>
      </c>
      <c r="AJ85" s="191">
        <f t="shared" si="56"/>
        <v>69.228612107746557</v>
      </c>
      <c r="AK85" s="191">
        <f t="shared" si="57"/>
        <v>68.778612107746554</v>
      </c>
      <c r="AL85" s="191">
        <f t="shared" si="58"/>
        <v>68.328612107746551</v>
      </c>
      <c r="AM85" s="191">
        <f t="shared" si="59"/>
        <v>64.88972359476189</v>
      </c>
      <c r="AN85" s="191">
        <f t="shared" si="60"/>
        <v>64.589723594761892</v>
      </c>
      <c r="AO85" s="191">
        <f t="shared" si="61"/>
        <v>64.289723594761895</v>
      </c>
      <c r="AP85" s="191">
        <f t="shared" si="62"/>
        <v>63.989723594761898</v>
      </c>
      <c r="AQ85" s="191">
        <f t="shared" si="63"/>
        <v>63.689723594761901</v>
      </c>
      <c r="AR85" s="191">
        <f t="shared" si="64"/>
        <v>63.389723594761904</v>
      </c>
      <c r="AS85" s="191">
        <f t="shared" si="65"/>
        <v>63.089723594761907</v>
      </c>
      <c r="AT85" s="191">
        <f t="shared" si="66"/>
        <v>5.0455028475422594</v>
      </c>
      <c r="AU85" s="191">
        <f t="shared" si="67"/>
        <v>454.5050328279861</v>
      </c>
      <c r="AV85" s="191">
        <v>95</v>
      </c>
      <c r="AW85" s="191">
        <f t="shared" si="68"/>
        <v>327.40128517360125</v>
      </c>
      <c r="AX85" s="191">
        <f t="shared" si="69"/>
        <v>28.636442021522015</v>
      </c>
      <c r="AZ85" s="191">
        <v>95</v>
      </c>
      <c r="BA85" s="191">
        <f>IF('Egg grading'!C89="",IF('Egg grading'!B89="","",'Egg grading'!B89),'Egg grading'!C89)</f>
        <v>64.88972359476189</v>
      </c>
      <c r="BC85" s="191" t="str">
        <f>IF(BC84="",'Egg grading'!K89,BC84+'Egg grading'!K89)</f>
        <v/>
      </c>
      <c r="BD85" s="191" t="str">
        <f>IF(BD84="",'Egg grading'!L89,BD84+'Egg grading'!L89)</f>
        <v/>
      </c>
      <c r="BE85" s="191" t="str">
        <f>IF(BE84="",'Egg grading'!M89,BE84+'Egg grading'!M89)</f>
        <v/>
      </c>
      <c r="BF85" s="191" t="str">
        <f>IF(BF84="",'Egg grading'!N89,BF84+'Egg grading'!N89)</f>
        <v/>
      </c>
    </row>
    <row r="86" spans="1:58" x14ac:dyDescent="0.2">
      <c r="A86" s="194">
        <f>'Production data'!B93</f>
        <v>96</v>
      </c>
      <c r="B86" s="191" t="e">
        <f>IF('Production data'!C93="",#N/A,'Production data'!C93)</f>
        <v>#N/A</v>
      </c>
      <c r="C86" s="191" t="e">
        <f>IF(OR('Input Laying'!E94=0,'Input Laying'!D93=0),#N/A,'Input Laying'!E94/'Input Laying'!D93*100*25)</f>
        <v>#N/A</v>
      </c>
      <c r="D86" s="191">
        <f>IF(OR('Production data'!D93="",'Production data'!D93=0),0,'Production data'!D93)</f>
        <v>0</v>
      </c>
      <c r="E86" s="191">
        <f>IF(OR(Std!B99="",Std!B99=0),0,Std!B99)</f>
        <v>71.618683654952662</v>
      </c>
      <c r="F86" s="193" t="e">
        <f>IF('Production data'!H93="",#N/A,'Production data'!H93)</f>
        <v>#N/A</v>
      </c>
      <c r="G86" s="193">
        <f>IF(OR(Std!C99="",Std!C99=0),#N/A,Std!C99)</f>
        <v>64.920585312831548</v>
      </c>
      <c r="H86" s="191" t="e">
        <f t="shared" si="51"/>
        <v>#N/A</v>
      </c>
      <c r="I86" s="191">
        <f>('Input Laying'!AH94-1000)/25</f>
        <v>-40</v>
      </c>
      <c r="J86" s="191">
        <f>IF((Std!D99-1000)/25&lt;15,#N/A,(Std!D99-1000)/25)</f>
        <v>38.935749216832157</v>
      </c>
      <c r="K86" s="191" t="e">
        <f>IF('Production data'!P93="",#N/A,'Production data'!P93)</f>
        <v>#N/A</v>
      </c>
      <c r="L86" s="191" t="e">
        <f>IF('Production data'!L93="",#N/A,'Production data'!L93)</f>
        <v>#N/A</v>
      </c>
      <c r="M86" s="191">
        <f>IF(Std!E99=0,#N/A,Std!E99)</f>
        <v>46.495268622140486</v>
      </c>
      <c r="O86" s="191" t="e">
        <f>IF('Input Laying'!V94=0,NA(),IF('Input Laying'!V94="",NA(),'Input Laying'!W94/'Input Laying'!O94*100))</f>
        <v>#N/A</v>
      </c>
      <c r="P86" s="191" t="e">
        <f>IF('Input Laying'!T94="",#N/A,'Input Laying'!T94/'Input Laying'!N94*100)</f>
        <v>#N/A</v>
      </c>
      <c r="Q86" s="191" t="e">
        <f>IF('Input Laying'!U94="",#N/A,'Input Laying'!U94/'Input Laying'!N94*100)</f>
        <v>#N/A</v>
      </c>
      <c r="R86" s="191" t="str">
        <f>IF('Input Laying'!V94="",#N/A,'Production data'!W93)</f>
        <v/>
      </c>
      <c r="S86" s="191">
        <f>'Input Laying'!D94*7+'Graph values'!S85</f>
        <v>0</v>
      </c>
      <c r="T86" s="191" t="str">
        <f>IF(OR('Input Laying'!AF94="",'Input Laying'!D94=0,'Input Laying'!O94=0),"#N/A",'Input Laying'!AF94/'Input Laying'!D94/(AD86*7)*1000)</f>
        <v>#N/A</v>
      </c>
      <c r="U86" s="191" t="e">
        <f>IF('Production data'!U93="",#N/A,'Production data'!U93)</f>
        <v>#N/A</v>
      </c>
      <c r="V86" s="191" t="e">
        <f>IF('Production data'!V93="",#N/A,'Production data'!V93)</f>
        <v>#N/A</v>
      </c>
      <c r="W86" s="191" t="e">
        <f>IF('Production data'!S93="",#N/A,'Production data'!S93)</f>
        <v>#N/A</v>
      </c>
      <c r="X86" s="191" t="e">
        <f>IF('Production data'!T93="",#N/A,'Production data'!T93)</f>
        <v>#N/A</v>
      </c>
      <c r="Y86" s="191" t="e">
        <f>IF('Input Laying'!E94="",#N/A,'Production data'!F93)</f>
        <v>#N/A</v>
      </c>
      <c r="Z86" s="191">
        <f>IF('Production data'!G93="",#N/A,'Production data'!G93)</f>
        <v>441.94503259684853</v>
      </c>
      <c r="AD86" s="191">
        <f>IF('Input Laying'!AF94=0,0,(IF('Input Laying'!N94&gt;0,1,IF('Input Laying'!O94&gt;0,0,1))))+AD85</f>
        <v>0</v>
      </c>
      <c r="AE86" s="191">
        <v>96</v>
      </c>
      <c r="AF86" s="191">
        <f t="shared" si="52"/>
        <v>71.618683654952662</v>
      </c>
      <c r="AG86" s="191">
        <f t="shared" si="53"/>
        <v>71.168683654952659</v>
      </c>
      <c r="AH86" s="191">
        <f t="shared" si="54"/>
        <v>70.718683654952656</v>
      </c>
      <c r="AI86" s="191">
        <f t="shared" si="55"/>
        <v>69.218683654952656</v>
      </c>
      <c r="AJ86" s="191">
        <f t="shared" si="56"/>
        <v>68.768683654952653</v>
      </c>
      <c r="AK86" s="191">
        <f t="shared" si="57"/>
        <v>68.31868365495265</v>
      </c>
      <c r="AL86" s="191">
        <f t="shared" si="58"/>
        <v>67.868683654952648</v>
      </c>
      <c r="AM86" s="191">
        <f t="shared" si="59"/>
        <v>64.920585312831548</v>
      </c>
      <c r="AN86" s="191">
        <f t="shared" si="60"/>
        <v>64.620585312831551</v>
      </c>
      <c r="AO86" s="191">
        <f t="shared" si="61"/>
        <v>64.320585312831554</v>
      </c>
      <c r="AP86" s="191">
        <f t="shared" si="62"/>
        <v>64.020585312831557</v>
      </c>
      <c r="AQ86" s="191">
        <f t="shared" si="63"/>
        <v>63.72058531283156</v>
      </c>
      <c r="AR86" s="191">
        <f t="shared" si="64"/>
        <v>63.420585312831562</v>
      </c>
      <c r="AS86" s="191">
        <f t="shared" si="65"/>
        <v>63.120585312831565</v>
      </c>
      <c r="AT86" s="191">
        <f t="shared" si="66"/>
        <v>5.013307855846687</v>
      </c>
      <c r="AU86" s="191">
        <f t="shared" si="67"/>
        <v>459.51834068383278</v>
      </c>
      <c r="AV86" s="191">
        <v>96</v>
      </c>
      <c r="AW86" s="191">
        <f t="shared" si="68"/>
        <v>325.4668803549834</v>
      </c>
      <c r="AX86" s="191">
        <f t="shared" si="69"/>
        <v>28.961908901876999</v>
      </c>
      <c r="AZ86" s="191">
        <v>96</v>
      </c>
      <c r="BA86" s="191">
        <f>IF('Egg grading'!C90="",IF('Egg grading'!B90="","",'Egg grading'!B90),'Egg grading'!C90)</f>
        <v>64.920585312831548</v>
      </c>
      <c r="BC86" s="191" t="str">
        <f>IF(BC85="",'Egg grading'!K90,BC85+'Egg grading'!K90)</f>
        <v/>
      </c>
      <c r="BD86" s="191" t="str">
        <f>IF(BD85="",'Egg grading'!L90,BD85+'Egg grading'!L90)</f>
        <v/>
      </c>
      <c r="BE86" s="191" t="str">
        <f>IF(BE85="",'Egg grading'!M90,BE85+'Egg grading'!M90)</f>
        <v/>
      </c>
      <c r="BF86" s="191" t="str">
        <f>IF(BF85="",'Egg grading'!N90,BF85+'Egg grading'!N90)</f>
        <v/>
      </c>
    </row>
    <row r="87" spans="1:58" x14ac:dyDescent="0.2">
      <c r="A87" s="194">
        <f>'Production data'!B94</f>
        <v>97</v>
      </c>
      <c r="B87" s="191" t="e">
        <f>IF('Production data'!C94="",#N/A,'Production data'!C94)</f>
        <v>#N/A</v>
      </c>
      <c r="C87" s="191" t="e">
        <f>IF(OR('Input Laying'!E95=0,'Input Laying'!D94=0),#N/A,'Input Laying'!E95/'Input Laying'!D94*100*25)</f>
        <v>#N/A</v>
      </c>
      <c r="D87" s="191">
        <f>IF(OR('Production data'!D94="",'Production data'!D94=0),0,'Production data'!D94)</f>
        <v>0</v>
      </c>
      <c r="E87" s="191">
        <f>IF(OR(Std!B100="",Std!B100=0),0,Std!B100)</f>
        <v>71.157288181957654</v>
      </c>
      <c r="F87" s="193" t="e">
        <f>IF('Production data'!H94="",#N/A,'Production data'!H94)</f>
        <v>#N/A</v>
      </c>
      <c r="G87" s="193">
        <f>IF(OR(Std!C100="",Std!C100=0),#N/A,Std!C100)</f>
        <v>64.951447030901221</v>
      </c>
      <c r="H87" s="191" t="e">
        <f t="shared" si="51"/>
        <v>#N/A</v>
      </c>
      <c r="I87" s="191">
        <f>('Input Laying'!AH95-1000)/25</f>
        <v>-40</v>
      </c>
      <c r="J87" s="191">
        <f>IF((Std!D100-1000)/25&lt;15,#N/A,(Std!D100-1000)/25)</f>
        <v>38.954444691569833</v>
      </c>
      <c r="K87" s="191" t="e">
        <f>IF('Production data'!P94="",#N/A,'Production data'!P94)</f>
        <v>#N/A</v>
      </c>
      <c r="L87" s="191" t="e">
        <f>IF('Production data'!L94="",#N/A,'Production data'!L94)</f>
        <v>#N/A</v>
      </c>
      <c r="M87" s="191">
        <f>IF(Std!E100=0,#N/A,Std!E100)</f>
        <v>46.217688342129961</v>
      </c>
      <c r="O87" s="191" t="e">
        <f>IF('Input Laying'!V95=0,NA(),IF('Input Laying'!V95="",NA(),'Input Laying'!W95/'Input Laying'!O95*100))</f>
        <v>#N/A</v>
      </c>
      <c r="P87" s="191" t="e">
        <f>IF('Input Laying'!T95="",#N/A,'Input Laying'!T95/'Input Laying'!N95*100)</f>
        <v>#N/A</v>
      </c>
      <c r="Q87" s="191" t="e">
        <f>IF('Input Laying'!U95="",#N/A,'Input Laying'!U95/'Input Laying'!N95*100)</f>
        <v>#N/A</v>
      </c>
      <c r="R87" s="191" t="str">
        <f>IF('Input Laying'!V95="",#N/A,'Production data'!W94)</f>
        <v/>
      </c>
      <c r="S87" s="191">
        <f>'Input Laying'!D95*7+'Graph values'!S86</f>
        <v>0</v>
      </c>
      <c r="T87" s="191" t="str">
        <f>IF(OR('Input Laying'!AF95="",'Input Laying'!D95=0,'Input Laying'!O95=0),"#N/A",'Input Laying'!AF95/'Input Laying'!D95/(AD87*7)*1000)</f>
        <v>#N/A</v>
      </c>
      <c r="U87" s="191" t="e">
        <f>IF('Production data'!U94="",#N/A,'Production data'!U94)</f>
        <v>#N/A</v>
      </c>
      <c r="V87" s="191" t="e">
        <f>IF('Production data'!V94="",#N/A,'Production data'!V94)</f>
        <v>#N/A</v>
      </c>
      <c r="W87" s="191" t="e">
        <f>IF('Production data'!S94="",#N/A,'Production data'!S94)</f>
        <v>#N/A</v>
      </c>
      <c r="X87" s="191" t="e">
        <f>IF('Production data'!T94="",#N/A,'Production data'!T94)</f>
        <v>#N/A</v>
      </c>
      <c r="Y87" s="191" t="e">
        <f>IF('Input Laying'!E95="",#N/A,'Production data'!F94)</f>
        <v>#N/A</v>
      </c>
      <c r="Z87" s="191">
        <f>IF('Production data'!G94="",#N/A,'Production data'!G94)</f>
        <v>446.54350118831934</v>
      </c>
      <c r="AD87" s="191">
        <f>IF('Input Laying'!AF95=0,0,(IF('Input Laying'!N95&gt;0,1,IF('Input Laying'!O95&gt;0,0,1))))+AD86</f>
        <v>0</v>
      </c>
      <c r="AE87" s="191">
        <v>97</v>
      </c>
      <c r="AF87" s="191">
        <f t="shared" si="52"/>
        <v>71.157288181957654</v>
      </c>
      <c r="AG87" s="191">
        <f t="shared" si="53"/>
        <v>70.707288181957651</v>
      </c>
      <c r="AH87" s="191">
        <f t="shared" si="54"/>
        <v>70.257288181957648</v>
      </c>
      <c r="AI87" s="191">
        <f t="shared" si="55"/>
        <v>68.757288181957648</v>
      </c>
      <c r="AJ87" s="191">
        <f t="shared" si="56"/>
        <v>68.307288181957645</v>
      </c>
      <c r="AK87" s="191">
        <f t="shared" si="57"/>
        <v>67.857288181957642</v>
      </c>
      <c r="AL87" s="191">
        <f t="shared" si="58"/>
        <v>67.407288181957639</v>
      </c>
      <c r="AM87" s="191">
        <f t="shared" si="59"/>
        <v>64.951447030901221</v>
      </c>
      <c r="AN87" s="191">
        <f t="shared" si="60"/>
        <v>64.651447030901224</v>
      </c>
      <c r="AO87" s="191">
        <f t="shared" si="61"/>
        <v>64.351447030901227</v>
      </c>
      <c r="AP87" s="191">
        <f t="shared" si="62"/>
        <v>64.05144703090123</v>
      </c>
      <c r="AQ87" s="191">
        <f t="shared" si="63"/>
        <v>63.751447030901232</v>
      </c>
      <c r="AR87" s="191">
        <f t="shared" si="64"/>
        <v>63.451447030901235</v>
      </c>
      <c r="AS87" s="191">
        <f t="shared" si="65"/>
        <v>63.151447030901238</v>
      </c>
      <c r="AT87" s="191">
        <f t="shared" si="66"/>
        <v>4.9810101727370357</v>
      </c>
      <c r="AU87" s="191">
        <f t="shared" si="67"/>
        <v>464.49935085656983</v>
      </c>
      <c r="AV87" s="191">
        <v>97</v>
      </c>
      <c r="AW87" s="191">
        <f t="shared" si="68"/>
        <v>323.52381839490971</v>
      </c>
      <c r="AX87" s="191">
        <f t="shared" si="69"/>
        <v>29.28543272027191</v>
      </c>
      <c r="AZ87" s="191">
        <v>97</v>
      </c>
      <c r="BA87" s="191">
        <f>IF('Egg grading'!C91="",IF('Egg grading'!B91="","",'Egg grading'!B91),'Egg grading'!C91)</f>
        <v>64.951447030901221</v>
      </c>
      <c r="BC87" s="191" t="str">
        <f>IF(BC86="",'Egg grading'!K91,BC86+'Egg grading'!K91)</f>
        <v/>
      </c>
      <c r="BD87" s="191" t="str">
        <f>IF(BD86="",'Egg grading'!L91,BD86+'Egg grading'!L91)</f>
        <v/>
      </c>
      <c r="BE87" s="191" t="str">
        <f>IF(BE86="",'Egg grading'!M91,BE86+'Egg grading'!M91)</f>
        <v/>
      </c>
      <c r="BF87" s="191" t="str">
        <f>IF(BF86="",'Egg grading'!N91,BF86+'Egg grading'!N91)</f>
        <v/>
      </c>
    </row>
    <row r="88" spans="1:58" x14ac:dyDescent="0.2">
      <c r="A88" s="194">
        <f>'Production data'!B95</f>
        <v>98</v>
      </c>
      <c r="B88" s="191" t="e">
        <f>IF('Production data'!C95="",#N/A,'Production data'!C95)</f>
        <v>#N/A</v>
      </c>
      <c r="C88" s="191" t="e">
        <f>IF(OR('Input Laying'!E96=0,'Input Laying'!D95=0),#N/A,'Input Laying'!E96/'Input Laying'!D95*100*25)</f>
        <v>#N/A</v>
      </c>
      <c r="D88" s="191">
        <f>IF(OR('Production data'!D95="",'Production data'!D95=0),0,'Production data'!D95)</f>
        <v>0</v>
      </c>
      <c r="E88" s="191">
        <f>IF(OR(Std!B101="",Std!B101=0),0,Std!B101)</f>
        <v>70.693842990506596</v>
      </c>
      <c r="F88" s="193" t="e">
        <f>IF('Production data'!H95="",#N/A,'Production data'!H95)</f>
        <v>#N/A</v>
      </c>
      <c r="G88" s="193">
        <f>IF(OR(Std!C101="",Std!C101=0),#N/A,Std!C101)</f>
        <v>64.98230874897088</v>
      </c>
      <c r="H88" s="191" t="e">
        <f t="shared" si="51"/>
        <v>#N/A</v>
      </c>
      <c r="I88" s="191">
        <f>('Input Laying'!AH96-1000)/25</f>
        <v>-40</v>
      </c>
      <c r="J88" s="191">
        <f>IF((Std!D101-1000)/25&lt;15,#N/A,(Std!D101-1000)/25)</f>
        <v>38.973140166307502</v>
      </c>
      <c r="K88" s="191" t="e">
        <f>IF('Production data'!P95="",#N/A,'Production data'!P95)</f>
        <v>#N/A</v>
      </c>
      <c r="L88" s="191" t="e">
        <f>IF('Production data'!L95="",#N/A,'Production data'!L95)</f>
        <v>#N/A</v>
      </c>
      <c r="M88" s="191">
        <f>IF(Std!E101=0,#N/A,Std!E101)</f>
        <v>45.938491318603702</v>
      </c>
      <c r="O88" s="191" t="e">
        <f>IF('Input Laying'!V96=0,NA(),IF('Input Laying'!V96="",NA(),'Input Laying'!W96/'Input Laying'!O96*100))</f>
        <v>#N/A</v>
      </c>
      <c r="P88" s="191" t="e">
        <f>IF('Input Laying'!T96="",#N/A,'Input Laying'!T96/'Input Laying'!N96*100)</f>
        <v>#N/A</v>
      </c>
      <c r="Q88" s="191" t="e">
        <f>IF('Input Laying'!U96="",#N/A,'Input Laying'!U96/'Input Laying'!N96*100)</f>
        <v>#N/A</v>
      </c>
      <c r="R88" s="191" t="str">
        <f>IF('Input Laying'!V96="",#N/A,'Production data'!W95)</f>
        <v/>
      </c>
      <c r="S88" s="191">
        <f>'Input Laying'!D96*7+'Graph values'!S87</f>
        <v>0</v>
      </c>
      <c r="T88" s="191" t="str">
        <f>IF(OR('Input Laying'!AF96="",'Input Laying'!D96=0,'Input Laying'!O96=0),"#N/A",'Input Laying'!AF96/'Input Laying'!D96/(AD88*7)*1000)</f>
        <v>#N/A</v>
      </c>
      <c r="U88" s="191" t="e">
        <f>IF('Production data'!U95="",#N/A,'Production data'!U95)</f>
        <v>#N/A</v>
      </c>
      <c r="V88" s="191" t="e">
        <f>IF('Production data'!V95="",#N/A,'Production data'!V95)</f>
        <v>#N/A</v>
      </c>
      <c r="W88" s="191" t="e">
        <f>IF('Production data'!S95="",#N/A,'Production data'!S95)</f>
        <v>#N/A</v>
      </c>
      <c r="X88" s="191" t="e">
        <f>IF('Production data'!T95="",#N/A,'Production data'!T95)</f>
        <v>#N/A</v>
      </c>
      <c r="Y88" s="191" t="e">
        <f>IF('Input Laying'!E96="",#N/A,'Production data'!F95)</f>
        <v>#N/A</v>
      </c>
      <c r="Z88" s="191">
        <f>IF('Production data'!G95="",#N/A,'Production data'!G95)</f>
        <v>451.10726947148885</v>
      </c>
      <c r="AD88" s="191">
        <f>IF('Input Laying'!AF96=0,0,(IF('Input Laying'!N96&gt;0,1,IF('Input Laying'!O96&gt;0,0,1))))+AD87</f>
        <v>0</v>
      </c>
      <c r="AE88" s="191">
        <v>98</v>
      </c>
      <c r="AF88" s="191">
        <f t="shared" si="52"/>
        <v>70.693842990506596</v>
      </c>
      <c r="AG88" s="191">
        <f t="shared" si="53"/>
        <v>70.243842990506593</v>
      </c>
      <c r="AH88" s="191">
        <f t="shared" si="54"/>
        <v>69.79384299050659</v>
      </c>
      <c r="AI88" s="191">
        <f t="shared" si="55"/>
        <v>68.29384299050659</v>
      </c>
      <c r="AJ88" s="191">
        <f t="shared" si="56"/>
        <v>67.843842990506587</v>
      </c>
      <c r="AK88" s="191">
        <f t="shared" si="57"/>
        <v>67.393842990506585</v>
      </c>
      <c r="AL88" s="191">
        <f t="shared" si="58"/>
        <v>66.943842990506582</v>
      </c>
      <c r="AM88" s="191">
        <f t="shared" si="59"/>
        <v>64.98230874897088</v>
      </c>
      <c r="AN88" s="191">
        <f t="shared" si="60"/>
        <v>64.682308748970883</v>
      </c>
      <c r="AO88" s="191">
        <f t="shared" si="61"/>
        <v>64.382308748970885</v>
      </c>
      <c r="AP88" s="191">
        <f t="shared" si="62"/>
        <v>64.082308748970888</v>
      </c>
      <c r="AQ88" s="191">
        <f t="shared" si="63"/>
        <v>63.782308748970891</v>
      </c>
      <c r="AR88" s="191">
        <f t="shared" si="64"/>
        <v>63.482308748970894</v>
      </c>
      <c r="AS88" s="191">
        <f t="shared" si="65"/>
        <v>63.182308748970897</v>
      </c>
      <c r="AT88" s="191">
        <f t="shared" si="66"/>
        <v>4.9485690093354613</v>
      </c>
      <c r="AU88" s="191">
        <f t="shared" si="67"/>
        <v>469.44791986590531</v>
      </c>
      <c r="AV88" s="191">
        <v>98</v>
      </c>
      <c r="AW88" s="191">
        <f t="shared" si="68"/>
        <v>321.5694392302259</v>
      </c>
      <c r="AX88" s="191">
        <f t="shared" si="69"/>
        <v>29.607002159502137</v>
      </c>
      <c r="AZ88" s="191">
        <v>98</v>
      </c>
      <c r="BA88" s="191">
        <f>IF('Egg grading'!C92="",IF('Egg grading'!B92="","",'Egg grading'!B92),'Egg grading'!C92)</f>
        <v>64.98230874897088</v>
      </c>
      <c r="BC88" s="191" t="str">
        <f>IF(BC87="",'Egg grading'!K92,BC87+'Egg grading'!K92)</f>
        <v/>
      </c>
      <c r="BD88" s="191" t="str">
        <f>IF(BD87="",'Egg grading'!L92,BD87+'Egg grading'!L92)</f>
        <v/>
      </c>
      <c r="BE88" s="191" t="str">
        <f>IF(BE87="",'Egg grading'!M92,BE87+'Egg grading'!M92)</f>
        <v/>
      </c>
      <c r="BF88" s="191" t="str">
        <f>IF(BF87="",'Egg grading'!N92,BF87+'Egg grading'!N92)</f>
        <v/>
      </c>
    </row>
    <row r="89" spans="1:58" x14ac:dyDescent="0.2">
      <c r="A89" s="194">
        <f>'Production data'!B96</f>
        <v>99</v>
      </c>
      <c r="B89" s="191" t="e">
        <f>IF('Production data'!C96="",#N/A,'Production data'!C96)</f>
        <v>#N/A</v>
      </c>
      <c r="C89" s="191" t="e">
        <f>IF(OR('Input Laying'!E97=0,'Input Laying'!D96=0),#N/A,'Input Laying'!E97/'Input Laying'!D96*100*25)</f>
        <v>#N/A</v>
      </c>
      <c r="D89" s="191">
        <f>IF(OR('Production data'!D96="",'Production data'!D96=0),0,'Production data'!D96)</f>
        <v>0</v>
      </c>
      <c r="E89" s="191">
        <f>IF(OR(Std!B102="",Std!B102=0),0,Std!B102)</f>
        <v>70.227719956600424</v>
      </c>
      <c r="F89" s="193" t="e">
        <f>IF('Production data'!H96="",#N/A,'Production data'!H96)</f>
        <v>#N/A</v>
      </c>
      <c r="G89" s="193">
        <f>IF(OR(Std!C102="",Std!C102=0),#N/A,Std!C102)</f>
        <v>65.013170467040538</v>
      </c>
      <c r="H89" s="191" t="e">
        <f t="shared" si="51"/>
        <v>#N/A</v>
      </c>
      <c r="I89" s="191">
        <f>('Input Laying'!AH97-1000)/25</f>
        <v>-40</v>
      </c>
      <c r="J89" s="191">
        <f>IF((Std!D102-1000)/25&lt;15,#N/A,(Std!D102-1000)/25)</f>
        <v>38.991835641045171</v>
      </c>
      <c r="K89" s="191" t="e">
        <f>IF('Production data'!P96="",#N/A,'Production data'!P96)</f>
        <v>#N/A</v>
      </c>
      <c r="L89" s="191" t="e">
        <f>IF('Production data'!L96="",#N/A,'Production data'!L96)</f>
        <v>#N/A</v>
      </c>
      <c r="M89" s="191">
        <f>IF(Std!E102=0,#N/A,Std!E102)</f>
        <v>45.657267290500485</v>
      </c>
      <c r="O89" s="191" t="e">
        <f>IF('Input Laying'!V97=0,NA(),IF('Input Laying'!V97="",NA(),'Input Laying'!W97/'Input Laying'!O97*100))</f>
        <v>#N/A</v>
      </c>
      <c r="P89" s="191" t="e">
        <f>IF('Input Laying'!T97="",#N/A,'Input Laying'!T97/'Input Laying'!N97*100)</f>
        <v>#N/A</v>
      </c>
      <c r="Q89" s="191" t="e">
        <f>IF('Input Laying'!U97="",#N/A,'Input Laying'!U97/'Input Laying'!N97*100)</f>
        <v>#N/A</v>
      </c>
      <c r="R89" s="191" t="str">
        <f>IF('Input Laying'!V97="",#N/A,'Production data'!W96)</f>
        <v/>
      </c>
      <c r="S89" s="191">
        <f>'Input Laying'!D97*7+'Graph values'!S88</f>
        <v>0</v>
      </c>
      <c r="T89" s="191" t="str">
        <f>IF(OR('Input Laying'!AF97="",'Input Laying'!D97=0,'Input Laying'!O97=0),"#N/A",'Input Laying'!AF97/'Input Laying'!D97/(AD89*7)*1000)</f>
        <v>#N/A</v>
      </c>
      <c r="U89" s="191" t="e">
        <f>IF('Production data'!U96="",#N/A,'Production data'!U96)</f>
        <v>#N/A</v>
      </c>
      <c r="V89" s="191" t="e">
        <f>IF('Production data'!V96="",#N/A,'Production data'!V96)</f>
        <v>#N/A</v>
      </c>
      <c r="W89" s="191" t="e">
        <f>IF('Production data'!S96="",#N/A,'Production data'!S96)</f>
        <v>#N/A</v>
      </c>
      <c r="X89" s="191" t="e">
        <f>IF('Production data'!T96="",#N/A,'Production data'!T96)</f>
        <v>#N/A</v>
      </c>
      <c r="Y89" s="191" t="e">
        <f>IF('Input Laying'!E97="",#N/A,'Production data'!F96)</f>
        <v>#N/A</v>
      </c>
      <c r="Z89" s="191">
        <f>IF('Production data'!G96="",#N/A,'Production data'!G96)</f>
        <v>455.63622704040199</v>
      </c>
      <c r="AD89" s="191">
        <f>IF('Input Laying'!AF97=0,0,(IF('Input Laying'!N97&gt;0,1,IF('Input Laying'!O97&gt;0,0,1))))+AD88</f>
        <v>0</v>
      </c>
      <c r="AE89" s="191">
        <v>99</v>
      </c>
      <c r="AF89" s="191">
        <f t="shared" si="52"/>
        <v>70.227719956600424</v>
      </c>
      <c r="AG89" s="191">
        <f t="shared" si="53"/>
        <v>69.777719956600421</v>
      </c>
      <c r="AH89" s="191">
        <f t="shared" si="54"/>
        <v>69.327719956600419</v>
      </c>
      <c r="AI89" s="191">
        <f t="shared" si="55"/>
        <v>67.827719956600419</v>
      </c>
      <c r="AJ89" s="191">
        <f t="shared" si="56"/>
        <v>67.377719956600416</v>
      </c>
      <c r="AK89" s="191">
        <f t="shared" si="57"/>
        <v>66.927719956600413</v>
      </c>
      <c r="AL89" s="191">
        <f t="shared" si="58"/>
        <v>66.47771995660041</v>
      </c>
      <c r="AM89" s="191">
        <f t="shared" si="59"/>
        <v>65.013170467040538</v>
      </c>
      <c r="AN89" s="191">
        <f t="shared" si="60"/>
        <v>64.713170467040541</v>
      </c>
      <c r="AO89" s="191">
        <f t="shared" si="61"/>
        <v>64.413170467040544</v>
      </c>
      <c r="AP89" s="191">
        <f t="shared" si="62"/>
        <v>64.113170467040547</v>
      </c>
      <c r="AQ89" s="191">
        <f t="shared" si="63"/>
        <v>63.81317046704055</v>
      </c>
      <c r="AR89" s="191">
        <f t="shared" si="64"/>
        <v>63.513170467040553</v>
      </c>
      <c r="AS89" s="191">
        <f t="shared" si="65"/>
        <v>63.213170467040555</v>
      </c>
      <c r="AT89" s="191">
        <f t="shared" si="66"/>
        <v>4.9159403969620294</v>
      </c>
      <c r="AU89" s="191">
        <f>AT89+AU88</f>
        <v>474.36386026286732</v>
      </c>
      <c r="AV89" s="191">
        <v>99</v>
      </c>
      <c r="AW89" s="191">
        <f t="shared" si="68"/>
        <v>319.60087103350338</v>
      </c>
      <c r="AX89" s="191">
        <f t="shared" si="69"/>
        <v>29.926603030535642</v>
      </c>
      <c r="AZ89" s="191">
        <v>99</v>
      </c>
      <c r="BA89" s="191">
        <f>IF('Egg grading'!C93="",IF('Egg grading'!B93="","",'Egg grading'!B93),'Egg grading'!C93)</f>
        <v>65.013170467040538</v>
      </c>
      <c r="BC89" s="191" t="str">
        <f>IF(BC88="",'Egg grading'!K93,BC88+'Egg grading'!K93)</f>
        <v/>
      </c>
      <c r="BD89" s="191" t="str">
        <f>IF(BD88="",'Egg grading'!L93,BD88+'Egg grading'!L93)</f>
        <v/>
      </c>
      <c r="BE89" s="191" t="str">
        <f>IF(BE88="",'Egg grading'!M93,BE88+'Egg grading'!M93)</f>
        <v/>
      </c>
      <c r="BF89" s="191" t="str">
        <f>IF(BF88="",'Egg grading'!N93,BF88+'Egg grading'!N93)</f>
        <v/>
      </c>
    </row>
    <row r="90" spans="1:58" x14ac:dyDescent="0.2">
      <c r="A90" s="194">
        <f>'Production data'!B97</f>
        <v>100</v>
      </c>
      <c r="B90" s="191" t="e">
        <f>IF('Production data'!C97="",#N/A,'Production data'!C97)</f>
        <v>#N/A</v>
      </c>
      <c r="C90" s="191" t="e">
        <f>IF(OR('Input Laying'!E98=0,'Input Laying'!D97=0),#N/A,'Input Laying'!E98/'Input Laying'!D97*100*25)</f>
        <v>#N/A</v>
      </c>
      <c r="D90" s="191">
        <f>IF(OR('Production data'!D97="",'Production data'!D97=0),0,'Production data'!D97)</f>
        <v>0</v>
      </c>
      <c r="E90" s="191">
        <f>IF(OR(Std!B103="",Std!B103=0),0,Std!B103)</f>
        <v>69.75824553049604</v>
      </c>
      <c r="F90" s="193" t="e">
        <f>IF('Production data'!H97="",#N/A,'Production data'!H97)</f>
        <v>#N/A</v>
      </c>
      <c r="G90" s="193">
        <f>IF(OR(Std!C103="",Std!C103=0),#N/A,Std!C103)</f>
        <v>65.044032185110211</v>
      </c>
      <c r="H90" s="191" t="e">
        <f>IF(I90&lt;0,#N/A,I90)</f>
        <v>#N/A</v>
      </c>
      <c r="I90" s="191">
        <f>('Input Laying'!AH98-1000)/25</f>
        <v>-40</v>
      </c>
      <c r="J90" s="191">
        <f>IF((Std!D103-1000)/25&lt;15,#N/A,(Std!D103-1000)/25)</f>
        <v>39.01053111578284</v>
      </c>
      <c r="K90" s="191" t="e">
        <f>IF('Production data'!P97="",#N/A,'Production data'!P97)</f>
        <v>#N/A</v>
      </c>
      <c r="L90" s="191" t="e">
        <f>IF('Production data'!L97="",#N/A,'Production data'!L97)</f>
        <v>#N/A</v>
      </c>
      <c r="M90" s="191">
        <f>IF(Std!E103=0,#N/A,Std!E103)</f>
        <v>45.37357567462405</v>
      </c>
      <c r="O90" s="191" t="e">
        <f>IF('Input Laying'!V98=0,NA(),IF('Input Laying'!V98="",NA(),'Input Laying'!W98/'Input Laying'!O98*100))</f>
        <v>#N/A</v>
      </c>
      <c r="P90" s="191" t="e">
        <f>IF('Input Laying'!T98="",#N/A,'Input Laying'!T98/'Input Laying'!N98*100)</f>
        <v>#N/A</v>
      </c>
      <c r="Q90" s="191" t="e">
        <f>IF('Input Laying'!U98="",#N/A,'Input Laying'!U98/'Input Laying'!N98*100)</f>
        <v>#N/A</v>
      </c>
      <c r="R90" s="191" t="str">
        <f>IF('Input Laying'!V98="",#N/A,'Production data'!W97)</f>
        <v/>
      </c>
      <c r="S90" s="191">
        <f>'Input Laying'!D98*7+'Graph values'!S89</f>
        <v>0</v>
      </c>
      <c r="T90" s="191" t="str">
        <f>IF(OR('Input Laying'!AF98="",'Input Laying'!D98=0,'Input Laying'!O98=0),"#N/A",'Input Laying'!AF98/'Input Laying'!D98/(AD90*7)*1000)</f>
        <v>#N/A</v>
      </c>
      <c r="U90" s="191" t="e">
        <f>IF('Production data'!U97="",#N/A,'Production data'!U97)</f>
        <v>#N/A</v>
      </c>
      <c r="V90" s="191" t="e">
        <f>IF('Production data'!V97="",#N/A,'Production data'!V97)</f>
        <v>#N/A</v>
      </c>
      <c r="W90" s="191" t="e">
        <f>IF('Production data'!S97="",#N/A,'Production data'!S97)</f>
        <v>#N/A</v>
      </c>
      <c r="X90" s="191" t="e">
        <f>IF('Production data'!T97="",#N/A,'Production data'!T97)</f>
        <v>#N/A</v>
      </c>
      <c r="Y90" s="191" t="e">
        <f>IF('Input Laying'!E98="",#N/A,'Production data'!F97)</f>
        <v>#N/A</v>
      </c>
      <c r="Z90" s="191">
        <f>IF('Production data'!G97="",#N/A,'Production data'!G97)</f>
        <v>460.13022063726578</v>
      </c>
      <c r="AD90" s="191">
        <f>IF('Input Laying'!AF98=0,0,(IF('Input Laying'!N98&gt;0,1,IF('Input Laying'!O98&gt;0,0,1))))+AD89</f>
        <v>0</v>
      </c>
      <c r="AE90" s="191">
        <v>100</v>
      </c>
      <c r="AF90" s="191">
        <f>IF(E90&lt;10,#N/A,E90)</f>
        <v>69.75824553049604</v>
      </c>
      <c r="AG90" s="191">
        <f>AF90-0.45</f>
        <v>69.308245530496038</v>
      </c>
      <c r="AH90" s="191">
        <f>AG90-0.45</f>
        <v>68.858245530496035</v>
      </c>
      <c r="AI90" s="191">
        <f>AH90-1.5</f>
        <v>67.358245530496035</v>
      </c>
      <c r="AJ90" s="191">
        <f>AI90-0.45</f>
        <v>66.908245530496032</v>
      </c>
      <c r="AK90" s="191">
        <f>AJ90-0.45</f>
        <v>66.458245530496029</v>
      </c>
      <c r="AL90" s="191">
        <f>AK90-0.45</f>
        <v>66.008245530496026</v>
      </c>
      <c r="AM90" s="191">
        <f>G90</f>
        <v>65.044032185110211</v>
      </c>
      <c r="AN90" s="191">
        <f t="shared" ref="AN90:AS90" si="70">AM90-0.3</f>
        <v>64.744032185110214</v>
      </c>
      <c r="AO90" s="191">
        <f t="shared" si="70"/>
        <v>64.444032185110217</v>
      </c>
      <c r="AP90" s="191">
        <f t="shared" si="70"/>
        <v>64.14403218511022</v>
      </c>
      <c r="AQ90" s="191">
        <f t="shared" si="70"/>
        <v>63.844032185110223</v>
      </c>
      <c r="AR90" s="191">
        <f t="shared" si="70"/>
        <v>63.544032185110225</v>
      </c>
      <c r="AS90" s="191">
        <f t="shared" si="70"/>
        <v>63.244032185110228</v>
      </c>
      <c r="AT90" s="191">
        <f>E90*7/100</f>
        <v>4.8830771871347229</v>
      </c>
      <c r="AU90" s="191">
        <f>AT90+AU89</f>
        <v>479.24693745000206</v>
      </c>
      <c r="AV90" s="191">
        <v>100</v>
      </c>
      <c r="AW90" s="191">
        <f>(G90*E90/100)*7</f>
        <v>317.61502972236838</v>
      </c>
      <c r="AX90" s="191">
        <f>AX89+(AW90/1000)</f>
        <v>30.24421806025801</v>
      </c>
      <c r="AZ90" s="191">
        <v>100</v>
      </c>
      <c r="BA90" s="191">
        <f>IF('Egg grading'!C94="",IF('Egg grading'!B94="","",'Egg grading'!B94),'Egg grading'!C94)</f>
        <v>65.044032185110211</v>
      </c>
      <c r="BC90" s="191" t="str">
        <f>IF(BC89="",'Egg grading'!K94,BC89+'Egg grading'!K94)</f>
        <v/>
      </c>
      <c r="BD90" s="191" t="str">
        <f>IF(BD89="",'Egg grading'!L94,BD89+'Egg grading'!L94)</f>
        <v/>
      </c>
      <c r="BE90" s="191" t="str">
        <f>IF(BE89="",'Egg grading'!M94,BE89+'Egg grading'!M94)</f>
        <v/>
      </c>
      <c r="BF90" s="191" t="str">
        <f>IF(BF89="",'Egg grading'!N94,BF89+'Egg grading'!N94)</f>
        <v/>
      </c>
    </row>
    <row r="91" spans="1:58" x14ac:dyDescent="0.2">
      <c r="A91" s="194"/>
      <c r="F91" s="193"/>
      <c r="G91" s="193"/>
    </row>
    <row r="92" spans="1:58" x14ac:dyDescent="0.2">
      <c r="A92" s="194"/>
    </row>
    <row r="93" spans="1:58" x14ac:dyDescent="0.2">
      <c r="A93" s="194"/>
    </row>
    <row r="94" spans="1:58" x14ac:dyDescent="0.2">
      <c r="A94" s="194" t="s">
        <v>533</v>
      </c>
    </row>
    <row r="95" spans="1:58" x14ac:dyDescent="0.2">
      <c r="A95" s="194"/>
      <c r="B95" s="191" t="str">
        <f>Language!B283</f>
        <v>Mortality %</v>
      </c>
      <c r="D95" s="191" t="str">
        <f>Language!B284</f>
        <v>Body weight</v>
      </c>
      <c r="E95" s="191" t="str">
        <f>Language!B285</f>
        <v>Uniformity</v>
      </c>
      <c r="F95" s="191" t="str">
        <f>Language!B286</f>
        <v>Unif %</v>
      </c>
      <c r="G95" s="191" t="str">
        <f>Language!B287</f>
        <v>feed/water ratio</v>
      </c>
      <c r="H95" s="191" t="str">
        <f>Language!B288</f>
        <v>cum cons per bird</v>
      </c>
      <c r="J95" s="191" t="str">
        <f>Language!B289</f>
        <v>std min</v>
      </c>
      <c r="N95" s="191" t="s">
        <v>1369</v>
      </c>
      <c r="O95" s="192" t="s">
        <v>5144</v>
      </c>
      <c r="Q95" s="191" t="s">
        <v>408</v>
      </c>
      <c r="R95" s="191" t="s">
        <v>409</v>
      </c>
      <c r="S95" s="191" t="s">
        <v>410</v>
      </c>
      <c r="T95" s="191" t="s">
        <v>411</v>
      </c>
      <c r="U95" s="191" t="s">
        <v>415</v>
      </c>
      <c r="V95" s="191" t="s">
        <v>414</v>
      </c>
      <c r="X95" s="191" t="s">
        <v>416</v>
      </c>
      <c r="Y95" s="191" t="s">
        <v>417</v>
      </c>
      <c r="Z95" s="191" t="s">
        <v>421</v>
      </c>
      <c r="AA95" s="191" t="s">
        <v>422</v>
      </c>
      <c r="AB95" s="191" t="s">
        <v>418</v>
      </c>
      <c r="AC95" s="191" t="s">
        <v>419</v>
      </c>
    </row>
    <row r="96" spans="1:58" x14ac:dyDescent="0.2">
      <c r="A96" s="194">
        <v>1</v>
      </c>
      <c r="B96" s="194">
        <f ca="1">OFFSET('Input Rearing'!J12,M96,0)*100000</f>
        <v>0</v>
      </c>
      <c r="C96" s="346">
        <f ca="1">B96/100000</f>
        <v>0</v>
      </c>
      <c r="D96" s="191" t="e">
        <f ca="1">IF(OFFSET('Input Rearing'!M12,M96,0)="",#N/A,OFFSET('Input Rearing'!M12,M96,0))</f>
        <v>#N/A</v>
      </c>
      <c r="E96" s="191" t="e">
        <f ca="1">IF(OFFSET('Input Rearing'!Q12,O96,0)="",#N/A,OFFSET('Input Rearing'!Q12,O96,0)*100)</f>
        <v>#N/A</v>
      </c>
      <c r="F96" s="191" t="e">
        <f ca="1">E96/10000</f>
        <v>#N/A</v>
      </c>
      <c r="G96" s="191" t="e">
        <f ca="1">IF(OFFSET('Input Rearing'!U12,O96,0)="",#N/A,OFFSET('Input Rearing'!U12,O96,0)*500)</f>
        <v>#DIV/0!</v>
      </c>
      <c r="H96" s="191">
        <f ca="1">OFFSET('Input Rearing'!AA12,M96,0)</f>
        <v>0</v>
      </c>
      <c r="J96" s="191">
        <f ca="1">OFFSET('Input Rearing'!N18,M96,0)</f>
        <v>63.862499999999997</v>
      </c>
      <c r="K96" s="191">
        <f>Std!I4</f>
        <v>67.137499999999989</v>
      </c>
      <c r="L96" s="191" t="e">
        <f ca="1">H96/D96</f>
        <v>#N/A</v>
      </c>
      <c r="M96" s="191">
        <v>0</v>
      </c>
      <c r="N96" s="191">
        <f ca="1">OFFSET('Input Rearing'!AA18,M96,0)</f>
        <v>0</v>
      </c>
      <c r="O96" s="191">
        <v>0</v>
      </c>
      <c r="P96" s="191">
        <v>1</v>
      </c>
      <c r="Q96" s="191">
        <f ca="1">OFFSET('Input Rearing'!I12,'Graph values'!O96,0)</f>
        <v>0</v>
      </c>
      <c r="R96" s="191">
        <f ca="1">Q96</f>
        <v>0</v>
      </c>
      <c r="S96" s="191">
        <f ca="1">IF(Q96=0,0,Q96)</f>
        <v>0</v>
      </c>
      <c r="T96" s="191" t="b">
        <f ca="1">IF(S96=0,TRUE,FALSE)</f>
        <v>1</v>
      </c>
      <c r="U96" s="191">
        <f ca="1">IF(T96=TRUE,0,1-($Q$115/$Q$116))</f>
        <v>0</v>
      </c>
      <c r="V96" s="191">
        <f ca="1">IF(T96=FALSE,U96,IF(T97=FALSE,U97,IF(T98=FALSE,U98,IF(T99=FALSE,U99,IF(T100=FALSE,U100,IF(T101=FALSE,U101,IF(T102=FALSE,U102,IF(T103=FALSE,U103,V115))))))))</f>
        <v>1</v>
      </c>
      <c r="X96" s="191">
        <f ca="1">OFFSET('Input Rearing'!F12,O96,)*'Graph values'!V96</f>
        <v>0</v>
      </c>
      <c r="Y96" s="191">
        <f ca="1">X96</f>
        <v>0</v>
      </c>
      <c r="Z96" s="191">
        <f ca="1">OFFSET('Input Rearing'!X12,O96,0)*'Graph values'!V96</f>
        <v>0</v>
      </c>
      <c r="AA96" s="191">
        <f ca="1">Z96</f>
        <v>0</v>
      </c>
      <c r="AB96" s="191">
        <f ca="1">OFFSET('Input Rearing'!X12,O96,0)*'Graph values'!V96</f>
        <v>0</v>
      </c>
      <c r="AC96" s="191">
        <f ca="1">AB96</f>
        <v>0</v>
      </c>
    </row>
    <row r="97" spans="1:29" x14ac:dyDescent="0.2">
      <c r="A97" s="194">
        <v>2</v>
      </c>
      <c r="B97" s="194">
        <f ca="1">OFFSET('Input Rearing'!J13,M97,0)*100000</f>
        <v>0</v>
      </c>
      <c r="C97" s="346">
        <f t="shared" ref="C97:C113" ca="1" si="71">B97/100000</f>
        <v>0</v>
      </c>
      <c r="D97" s="191" t="e">
        <f ca="1">IF(OFFSET('Input Rearing'!M13,M97,0)="",#N/A,OFFSET('Input Rearing'!M13,M97,0))</f>
        <v>#N/A</v>
      </c>
      <c r="E97" s="191" t="e">
        <f ca="1">IF(OFFSET('Input Rearing'!Q13,O97,0)="",#N/A,OFFSET('Input Rearing'!Q13,O97,0)*100)</f>
        <v>#N/A</v>
      </c>
      <c r="F97" s="191" t="e">
        <f t="shared" ref="F97:F113" ca="1" si="72">E97/10000</f>
        <v>#N/A</v>
      </c>
      <c r="G97" s="191" t="e">
        <f ca="1">IF(OFFSET('Input Rearing'!U13,O97,0)="",#N/A,OFFSET('Input Rearing'!U13,O97,0)*500)</f>
        <v>#DIV/0!</v>
      </c>
      <c r="H97" s="191">
        <f ca="1">OFFSET('Input Rearing'!AA13,M97,0)</f>
        <v>0</v>
      </c>
      <c r="J97" s="191">
        <f ca="1">OFFSET('Input Rearing'!N19,M97,0)</f>
        <v>114.5625</v>
      </c>
      <c r="K97" s="191">
        <f>Std!I5</f>
        <v>120.43749999999999</v>
      </c>
      <c r="L97" s="191" t="e">
        <f t="shared" ref="L97:L113" ca="1" si="73">H97/D97</f>
        <v>#N/A</v>
      </c>
      <c r="M97" s="191">
        <f>M96+6</f>
        <v>6</v>
      </c>
      <c r="O97" s="191">
        <f>O96+6</f>
        <v>6</v>
      </c>
      <c r="P97" s="191">
        <v>2</v>
      </c>
      <c r="Q97" s="191">
        <f ca="1">OFFSET('Input Rearing'!I13,'Graph values'!O97,0)</f>
        <v>0</v>
      </c>
      <c r="R97" s="191">
        <f t="shared" ref="R97:R113" ca="1" si="74">R96+Q97</f>
        <v>0</v>
      </c>
      <c r="S97" s="191">
        <f t="shared" ref="S97:S113" ca="1" si="75">IF(Q97=0,S96,Q97)</f>
        <v>0</v>
      </c>
      <c r="T97" s="191" t="b">
        <f t="shared" ref="T97:T113" ca="1" si="76">IF(S97=S96,TRUE,FALSE)</f>
        <v>1</v>
      </c>
      <c r="U97" s="191">
        <f t="shared" ref="U97:U113" ca="1" si="77">IF(T97=TRUE,U96,1-($Q$115/$Q$116))</f>
        <v>0</v>
      </c>
      <c r="V97" s="191">
        <f t="shared" ref="V97:V104" ca="1" si="78">IF(T97=FALSE,U97,IF(T98=FALSE,U98,IF(T99=FALSE,U99,IF(T100=FALSE,U100,IF(T101=FALSE,U101,IF(T102=FALSE,U102,IF(T103=FALSE,U103,IF(T104=FALSE,U104,V116))))))))</f>
        <v>1</v>
      </c>
      <c r="X97" s="191">
        <f ca="1">OFFSET('Input Rearing'!F13,O97,)*'Graph values'!V97</f>
        <v>0</v>
      </c>
      <c r="Y97" s="191">
        <f ca="1">X97+Y96</f>
        <v>0</v>
      </c>
      <c r="Z97" s="191">
        <f ca="1">OFFSET('Input Rearing'!X13,O97,0)*'Graph values'!V97</f>
        <v>0</v>
      </c>
      <c r="AA97" s="191">
        <f t="shared" ref="AA97:AA113" ca="1" si="79">Z97+AA96</f>
        <v>0</v>
      </c>
      <c r="AB97" s="191">
        <f ca="1">OFFSET('Input Rearing'!X13,O97,0)*'Graph values'!V97</f>
        <v>0</v>
      </c>
      <c r="AC97" s="191">
        <f t="shared" ref="AC97:AC113" ca="1" si="80">AB97+AC96</f>
        <v>0</v>
      </c>
    </row>
    <row r="98" spans="1:29" x14ac:dyDescent="0.2">
      <c r="A98" s="194">
        <v>3</v>
      </c>
      <c r="B98" s="194">
        <f ca="1">OFFSET('Input Rearing'!J14,M98,0)*100000</f>
        <v>0</v>
      </c>
      <c r="C98" s="346">
        <f t="shared" ca="1" si="71"/>
        <v>0</v>
      </c>
      <c r="D98" s="191" t="e">
        <f ca="1">IF(OFFSET('Input Rearing'!M14,M98,0)="",#N/A,OFFSET('Input Rearing'!M14,M98,0))</f>
        <v>#N/A</v>
      </c>
      <c r="E98" s="191" t="e">
        <f ca="1">IF(OFFSET('Input Rearing'!Q14,O98,0)="",#N/A,OFFSET('Input Rearing'!Q14,O98,0)*100)</f>
        <v>#N/A</v>
      </c>
      <c r="F98" s="191" t="e">
        <f t="shared" ca="1" si="72"/>
        <v>#N/A</v>
      </c>
      <c r="G98" s="191" t="e">
        <f ca="1">IF(OFFSET('Input Rearing'!U14,O98,0)="",#N/A,OFFSET('Input Rearing'!U14,O98,0)*500)</f>
        <v>#DIV/0!</v>
      </c>
      <c r="H98" s="191">
        <f ca="1">OFFSET('Input Rearing'!AA14,M98,0)</f>
        <v>0</v>
      </c>
      <c r="J98" s="191">
        <f ca="1">OFFSET('Input Rearing'!N20,M98,0)</f>
        <v>186.71250000000001</v>
      </c>
      <c r="K98" s="191">
        <f>Std!I6</f>
        <v>196.28749999999999</v>
      </c>
      <c r="L98" s="191" t="e">
        <f t="shared" ca="1" si="73"/>
        <v>#N/A</v>
      </c>
      <c r="M98" s="191">
        <f t="shared" ref="M98:M113" si="81">M97+6</f>
        <v>12</v>
      </c>
      <c r="O98" s="191">
        <f t="shared" ref="O98:O113" si="82">O97+6</f>
        <v>12</v>
      </c>
      <c r="P98" s="191">
        <v>3</v>
      </c>
      <c r="Q98" s="191">
        <f ca="1">OFFSET('Input Rearing'!I14,'Graph values'!O98,0)</f>
        <v>0</v>
      </c>
      <c r="R98" s="191">
        <f t="shared" ca="1" si="74"/>
        <v>0</v>
      </c>
      <c r="S98" s="191">
        <f t="shared" ca="1" si="75"/>
        <v>0</v>
      </c>
      <c r="T98" s="191" t="b">
        <f t="shared" ca="1" si="76"/>
        <v>1</v>
      </c>
      <c r="U98" s="191">
        <f t="shared" ca="1" si="77"/>
        <v>0</v>
      </c>
      <c r="V98" s="191">
        <f t="shared" ca="1" si="78"/>
        <v>1</v>
      </c>
      <c r="X98" s="191">
        <f ca="1">OFFSET('Input Rearing'!F14,O98,)*'Graph values'!V98</f>
        <v>0</v>
      </c>
      <c r="Y98" s="191">
        <f t="shared" ref="Y98:Y113" ca="1" si="83">X98+Y97</f>
        <v>0</v>
      </c>
      <c r="Z98" s="191">
        <f ca="1">OFFSET('Input Rearing'!X14,O98,0)*'Graph values'!V98</f>
        <v>0</v>
      </c>
      <c r="AA98" s="191">
        <f t="shared" ca="1" si="79"/>
        <v>0</v>
      </c>
      <c r="AB98" s="191">
        <f ca="1">OFFSET('Input Rearing'!X14,O98,0)*'Graph values'!V98</f>
        <v>0</v>
      </c>
      <c r="AC98" s="191">
        <f t="shared" ca="1" si="80"/>
        <v>0</v>
      </c>
    </row>
    <row r="99" spans="1:29" x14ac:dyDescent="0.2">
      <c r="A99" s="194">
        <v>4</v>
      </c>
      <c r="B99" s="194">
        <f ca="1">OFFSET('Input Rearing'!J15,M99,0)*100000</f>
        <v>0</v>
      </c>
      <c r="C99" s="346">
        <f t="shared" ca="1" si="71"/>
        <v>0</v>
      </c>
      <c r="D99" s="191" t="e">
        <f ca="1">IF(OFFSET('Input Rearing'!M15,M99,0)="",#N/A,OFFSET('Input Rearing'!M15,M99,0))</f>
        <v>#N/A</v>
      </c>
      <c r="E99" s="191" t="e">
        <f ca="1">IF(OFFSET('Input Rearing'!Q15,O99,0)="",#N/A,OFFSET('Input Rearing'!Q15,O99,0)*100)</f>
        <v>#N/A</v>
      </c>
      <c r="F99" s="191" t="e">
        <f t="shared" ca="1" si="72"/>
        <v>#N/A</v>
      </c>
      <c r="G99" s="191" t="e">
        <f ca="1">IF(OFFSET('Input Rearing'!U15,O99,0)="",#N/A,OFFSET('Input Rearing'!U15,O99,0)*500)</f>
        <v>#DIV/0!</v>
      </c>
      <c r="H99" s="191">
        <f ca="1">OFFSET('Input Rearing'!AA15,M99,0)</f>
        <v>0</v>
      </c>
      <c r="J99" s="191">
        <f ca="1">OFFSET('Input Rearing'!N21,M99,0)</f>
        <v>268.61250000000001</v>
      </c>
      <c r="K99" s="191">
        <f>Std!I7</f>
        <v>282.38749999999999</v>
      </c>
      <c r="L99" s="191" t="e">
        <f t="shared" ca="1" si="73"/>
        <v>#N/A</v>
      </c>
      <c r="M99" s="191">
        <f t="shared" si="81"/>
        <v>18</v>
      </c>
      <c r="O99" s="191">
        <f t="shared" si="82"/>
        <v>18</v>
      </c>
      <c r="P99" s="191">
        <v>4</v>
      </c>
      <c r="Q99" s="191">
        <f ca="1">OFFSET('Input Rearing'!I15,'Graph values'!O99,0)</f>
        <v>0</v>
      </c>
      <c r="R99" s="191">
        <f t="shared" ca="1" si="74"/>
        <v>0</v>
      </c>
      <c r="S99" s="191">
        <f t="shared" ca="1" si="75"/>
        <v>0</v>
      </c>
      <c r="T99" s="191" t="b">
        <f t="shared" ca="1" si="76"/>
        <v>1</v>
      </c>
      <c r="U99" s="191">
        <f t="shared" ca="1" si="77"/>
        <v>0</v>
      </c>
      <c r="V99" s="191">
        <f t="shared" ca="1" si="78"/>
        <v>1</v>
      </c>
      <c r="X99" s="191">
        <f ca="1">OFFSET('Input Rearing'!F15,O99,)*'Graph values'!V99</f>
        <v>0</v>
      </c>
      <c r="Y99" s="191">
        <f t="shared" ca="1" si="83"/>
        <v>0</v>
      </c>
      <c r="Z99" s="191">
        <f ca="1">OFFSET('Input Rearing'!X15,O99,0)*'Graph values'!V99</f>
        <v>0</v>
      </c>
      <c r="AA99" s="191">
        <f t="shared" ca="1" si="79"/>
        <v>0</v>
      </c>
      <c r="AB99" s="191">
        <f ca="1">OFFSET('Input Rearing'!X15,O99,0)*'Graph values'!V99</f>
        <v>0</v>
      </c>
      <c r="AC99" s="191">
        <f t="shared" ca="1" si="80"/>
        <v>0</v>
      </c>
    </row>
    <row r="100" spans="1:29" x14ac:dyDescent="0.2">
      <c r="A100" s="194">
        <v>5</v>
      </c>
      <c r="B100" s="194">
        <f ca="1">OFFSET('Input Rearing'!J16,M100,0)*100000</f>
        <v>0</v>
      </c>
      <c r="C100" s="346">
        <f t="shared" ca="1" si="71"/>
        <v>0</v>
      </c>
      <c r="D100" s="191" t="e">
        <f ca="1">IF(OFFSET('Input Rearing'!M16,M100,0)="",#N/A,OFFSET('Input Rearing'!M16,M100,0))</f>
        <v>#N/A</v>
      </c>
      <c r="E100" s="191" t="e">
        <f ca="1">IF(OFFSET('Input Rearing'!Q16,O100,0)="",#N/A,OFFSET('Input Rearing'!Q16,O100,0)*100)</f>
        <v>#N/A</v>
      </c>
      <c r="F100" s="191" t="e">
        <f t="shared" ca="1" si="72"/>
        <v>#N/A</v>
      </c>
      <c r="G100" s="191" t="e">
        <f ca="1">IF(OFFSET('Input Rearing'!U16,O100,0)="",#N/A,OFFSET('Input Rearing'!U16,O100,0)*500)</f>
        <v>#DIV/0!</v>
      </c>
      <c r="H100" s="191">
        <f ca="1">OFFSET('Input Rearing'!AA16,M100,0)</f>
        <v>0</v>
      </c>
      <c r="J100" s="191">
        <f ca="1">OFFSET('Input Rearing'!N22,M100,0)</f>
        <v>360.75</v>
      </c>
      <c r="K100" s="191">
        <f>Std!I8</f>
        <v>379.24999999999994</v>
      </c>
      <c r="L100" s="191" t="e">
        <f t="shared" ca="1" si="73"/>
        <v>#N/A</v>
      </c>
      <c r="M100" s="191">
        <f t="shared" si="81"/>
        <v>24</v>
      </c>
      <c r="O100" s="191">
        <f t="shared" si="82"/>
        <v>24</v>
      </c>
      <c r="P100" s="191">
        <v>5</v>
      </c>
      <c r="Q100" s="191">
        <f ca="1">OFFSET('Input Rearing'!I16,'Graph values'!O100,0)</f>
        <v>0</v>
      </c>
      <c r="R100" s="191">
        <f t="shared" ca="1" si="74"/>
        <v>0</v>
      </c>
      <c r="S100" s="191">
        <f t="shared" ca="1" si="75"/>
        <v>0</v>
      </c>
      <c r="T100" s="191" t="b">
        <f t="shared" ca="1" si="76"/>
        <v>1</v>
      </c>
      <c r="U100" s="191">
        <f t="shared" ca="1" si="77"/>
        <v>0</v>
      </c>
      <c r="V100" s="191">
        <f t="shared" ca="1" si="78"/>
        <v>1</v>
      </c>
      <c r="X100" s="191">
        <f ca="1">OFFSET('Input Rearing'!F16,O100,)*'Graph values'!V100</f>
        <v>0</v>
      </c>
      <c r="Y100" s="191">
        <f t="shared" ca="1" si="83"/>
        <v>0</v>
      </c>
      <c r="Z100" s="191">
        <f ca="1">OFFSET('Input Rearing'!X16,O100,0)*'Graph values'!V100</f>
        <v>0</v>
      </c>
      <c r="AA100" s="191">
        <f t="shared" ca="1" si="79"/>
        <v>0</v>
      </c>
      <c r="AB100" s="191">
        <f ca="1">OFFSET('Input Rearing'!X16,O100,0)*'Graph values'!V100</f>
        <v>0</v>
      </c>
      <c r="AC100" s="191">
        <f t="shared" ca="1" si="80"/>
        <v>0</v>
      </c>
    </row>
    <row r="101" spans="1:29" x14ac:dyDescent="0.2">
      <c r="A101" s="194">
        <v>6</v>
      </c>
      <c r="B101" s="194">
        <f ca="1">OFFSET('Input Rearing'!J17,M101,0)*100000</f>
        <v>0</v>
      </c>
      <c r="C101" s="346">
        <f t="shared" ca="1" si="71"/>
        <v>0</v>
      </c>
      <c r="D101" s="191" t="e">
        <f ca="1">IF(OFFSET('Input Rearing'!M17,M101,0)="",#N/A,OFFSET('Input Rearing'!M17,M101,0))</f>
        <v>#N/A</v>
      </c>
      <c r="E101" s="191" t="e">
        <f ca="1">IF(OFFSET('Input Rearing'!Q17,O101,0)="",#N/A,OFFSET('Input Rearing'!Q17,O101,0)*100)</f>
        <v>#N/A</v>
      </c>
      <c r="F101" s="191" t="e">
        <f t="shared" ca="1" si="72"/>
        <v>#N/A</v>
      </c>
      <c r="G101" s="191" t="e">
        <f ca="1">IF(OFFSET('Input Rearing'!U17,O101,0)="",#N/A,OFFSET('Input Rearing'!U17,O101,0)*500)</f>
        <v>#DIV/0!</v>
      </c>
      <c r="H101" s="191">
        <f ca="1">OFFSET('Input Rearing'!AA17,M101,0)</f>
        <v>0</v>
      </c>
      <c r="J101" s="191">
        <f ca="1">OFFSET('Input Rearing'!N23,M101,0)</f>
        <v>459.22499999999997</v>
      </c>
      <c r="K101" s="191">
        <f>Std!I9</f>
        <v>482.77499999999998</v>
      </c>
      <c r="L101" s="191" t="e">
        <f t="shared" ca="1" si="73"/>
        <v>#N/A</v>
      </c>
      <c r="M101" s="191">
        <f t="shared" si="81"/>
        <v>30</v>
      </c>
      <c r="O101" s="191">
        <f t="shared" si="82"/>
        <v>30</v>
      </c>
      <c r="P101" s="191">
        <v>6</v>
      </c>
      <c r="Q101" s="191">
        <f ca="1">OFFSET('Input Rearing'!I17,'Graph values'!O101,0)</f>
        <v>0</v>
      </c>
      <c r="R101" s="191">
        <f t="shared" ca="1" si="74"/>
        <v>0</v>
      </c>
      <c r="S101" s="191">
        <f t="shared" ca="1" si="75"/>
        <v>0</v>
      </c>
      <c r="T101" s="191" t="b">
        <f t="shared" ca="1" si="76"/>
        <v>1</v>
      </c>
      <c r="U101" s="191">
        <f t="shared" ca="1" si="77"/>
        <v>0</v>
      </c>
      <c r="V101" s="191">
        <f t="shared" ca="1" si="78"/>
        <v>1</v>
      </c>
      <c r="X101" s="191">
        <f ca="1">OFFSET('Input Rearing'!F17,O101,)*'Graph values'!V101</f>
        <v>0</v>
      </c>
      <c r="Y101" s="191">
        <f t="shared" ca="1" si="83"/>
        <v>0</v>
      </c>
      <c r="Z101" s="191">
        <f ca="1">OFFSET('Input Rearing'!X17,O101,0)*'Graph values'!V101</f>
        <v>0</v>
      </c>
      <c r="AA101" s="191">
        <f t="shared" ca="1" si="79"/>
        <v>0</v>
      </c>
      <c r="AB101" s="191">
        <f ca="1">OFFSET('Input Rearing'!X17,O101,0)*'Graph values'!V101</f>
        <v>0</v>
      </c>
      <c r="AC101" s="191">
        <f t="shared" ca="1" si="80"/>
        <v>0</v>
      </c>
    </row>
    <row r="102" spans="1:29" x14ac:dyDescent="0.2">
      <c r="A102" s="194">
        <v>7</v>
      </c>
      <c r="B102" s="194">
        <f ca="1">OFFSET('Input Rearing'!J18,M102,0)*100000</f>
        <v>0</v>
      </c>
      <c r="C102" s="346">
        <f t="shared" ca="1" si="71"/>
        <v>0</v>
      </c>
      <c r="D102" s="191" t="e">
        <f ca="1">IF(OFFSET('Input Rearing'!M18,M102,0)="",#N/A,OFFSET('Input Rearing'!M18,M102,0))</f>
        <v>#N/A</v>
      </c>
      <c r="E102" s="191" t="e">
        <f ca="1">IF(OFFSET('Input Rearing'!Q18,O102,0)="",#N/A,OFFSET('Input Rearing'!Q18,O102,0)*100)</f>
        <v>#N/A</v>
      </c>
      <c r="F102" s="191" t="e">
        <f t="shared" ca="1" si="72"/>
        <v>#N/A</v>
      </c>
      <c r="G102" s="191" t="e">
        <f ca="1">IF(OFFSET('Input Rearing'!U18,O102,0)="",#N/A,OFFSET('Input Rearing'!U18,O102,0)*500)</f>
        <v>#DIV/0!</v>
      </c>
      <c r="H102" s="191">
        <f ca="1">OFFSET('Input Rearing'!AA18,M102,0)</f>
        <v>0</v>
      </c>
      <c r="J102" s="191">
        <f ca="1">OFFSET('Input Rearing'!N24,M102,0)</f>
        <v>563.0625</v>
      </c>
      <c r="K102" s="191">
        <f>Std!I10</f>
        <v>591.9375</v>
      </c>
      <c r="L102" s="191" t="e">
        <f t="shared" ca="1" si="73"/>
        <v>#N/A</v>
      </c>
      <c r="M102" s="191">
        <f t="shared" si="81"/>
        <v>36</v>
      </c>
      <c r="O102" s="191">
        <f t="shared" si="82"/>
        <v>36</v>
      </c>
      <c r="P102" s="191">
        <v>7</v>
      </c>
      <c r="Q102" s="191">
        <f ca="1">OFFSET('Input Rearing'!I18,'Graph values'!O102,0)</f>
        <v>0</v>
      </c>
      <c r="R102" s="191">
        <f t="shared" ca="1" si="74"/>
        <v>0</v>
      </c>
      <c r="S102" s="191">
        <f t="shared" ca="1" si="75"/>
        <v>0</v>
      </c>
      <c r="T102" s="191" t="b">
        <f t="shared" ca="1" si="76"/>
        <v>1</v>
      </c>
      <c r="U102" s="191">
        <f t="shared" ca="1" si="77"/>
        <v>0</v>
      </c>
      <c r="V102" s="191">
        <f t="shared" ca="1" si="78"/>
        <v>1</v>
      </c>
      <c r="X102" s="191">
        <f ca="1">OFFSET('Input Rearing'!F18,O102,)*'Graph values'!V102</f>
        <v>0</v>
      </c>
      <c r="Y102" s="191">
        <f t="shared" ca="1" si="83"/>
        <v>0</v>
      </c>
      <c r="Z102" s="191">
        <f ca="1">OFFSET('Input Rearing'!X18,O102,0)*'Graph values'!V102</f>
        <v>0</v>
      </c>
      <c r="AA102" s="191">
        <f t="shared" ca="1" si="79"/>
        <v>0</v>
      </c>
      <c r="AB102" s="191">
        <f ca="1">OFFSET('Input Rearing'!X18,O102,0)*'Graph values'!V102</f>
        <v>0</v>
      </c>
      <c r="AC102" s="191">
        <f t="shared" ca="1" si="80"/>
        <v>0</v>
      </c>
    </row>
    <row r="103" spans="1:29" x14ac:dyDescent="0.2">
      <c r="A103" s="194">
        <v>8</v>
      </c>
      <c r="B103" s="194">
        <f ca="1">OFFSET('Input Rearing'!J19,M103,0)*100000</f>
        <v>0</v>
      </c>
      <c r="C103" s="346">
        <f t="shared" ca="1" si="71"/>
        <v>0</v>
      </c>
      <c r="D103" s="191" t="e">
        <f ca="1">IF(OFFSET('Input Rearing'!M19,M103,0)="",#N/A,OFFSET('Input Rearing'!M19,M103,0))</f>
        <v>#N/A</v>
      </c>
      <c r="E103" s="191" t="e">
        <f ca="1">IF(OFFSET('Input Rearing'!Q19,O103,0)="",#N/A,OFFSET('Input Rearing'!Q19,O103,0)*100)</f>
        <v>#N/A</v>
      </c>
      <c r="F103" s="191" t="e">
        <f t="shared" ca="1" si="72"/>
        <v>#N/A</v>
      </c>
      <c r="G103" s="191" t="e">
        <f ca="1">IF(OFFSET('Input Rearing'!U19,O103,0)="",#N/A,OFFSET('Input Rearing'!U19,O103,0)*500)</f>
        <v>#DIV/0!</v>
      </c>
      <c r="H103" s="191">
        <f ca="1">OFFSET('Input Rearing'!AA19,M103,0)</f>
        <v>0</v>
      </c>
      <c r="J103" s="191">
        <f ca="1">OFFSET('Input Rearing'!N25,M103,0)</f>
        <v>669.33749999999998</v>
      </c>
      <c r="K103" s="191">
        <f>Std!I11</f>
        <v>703.66249999999991</v>
      </c>
      <c r="L103" s="191" t="e">
        <f t="shared" ca="1" si="73"/>
        <v>#N/A</v>
      </c>
      <c r="M103" s="191">
        <f t="shared" si="81"/>
        <v>42</v>
      </c>
      <c r="O103" s="191">
        <f t="shared" si="82"/>
        <v>42</v>
      </c>
      <c r="P103" s="191">
        <v>8</v>
      </c>
      <c r="Q103" s="191">
        <f ca="1">OFFSET('Input Rearing'!I19,'Graph values'!O103,0)</f>
        <v>0</v>
      </c>
      <c r="R103" s="191">
        <f t="shared" ca="1" si="74"/>
        <v>0</v>
      </c>
      <c r="S103" s="191">
        <f t="shared" ca="1" si="75"/>
        <v>0</v>
      </c>
      <c r="T103" s="191" t="b">
        <f t="shared" ca="1" si="76"/>
        <v>1</v>
      </c>
      <c r="U103" s="191">
        <f t="shared" ca="1" si="77"/>
        <v>0</v>
      </c>
      <c r="V103" s="191">
        <f t="shared" ca="1" si="78"/>
        <v>1</v>
      </c>
      <c r="X103" s="191">
        <f ca="1">OFFSET('Input Rearing'!F19,O103,)*'Graph values'!V103</f>
        <v>0</v>
      </c>
      <c r="Y103" s="191">
        <f t="shared" ca="1" si="83"/>
        <v>0</v>
      </c>
      <c r="Z103" s="191">
        <f ca="1">OFFSET('Input Rearing'!X19,O103,0)*'Graph values'!V103</f>
        <v>0</v>
      </c>
      <c r="AA103" s="191">
        <f t="shared" ca="1" si="79"/>
        <v>0</v>
      </c>
      <c r="AB103" s="191">
        <f ca="1">OFFSET('Input Rearing'!X19,O103,0)*'Graph values'!V103</f>
        <v>0</v>
      </c>
      <c r="AC103" s="191">
        <f t="shared" ca="1" si="80"/>
        <v>0</v>
      </c>
    </row>
    <row r="104" spans="1:29" x14ac:dyDescent="0.2">
      <c r="A104" s="194">
        <v>9</v>
      </c>
      <c r="B104" s="194">
        <f ca="1">OFFSET('Input Rearing'!J20,M104,0)*100000</f>
        <v>0</v>
      </c>
      <c r="C104" s="346">
        <f t="shared" ca="1" si="71"/>
        <v>0</v>
      </c>
      <c r="D104" s="191" t="e">
        <f ca="1">IF(OFFSET('Input Rearing'!M20,M104,0)="",#N/A,OFFSET('Input Rearing'!M20,M104,0))</f>
        <v>#N/A</v>
      </c>
      <c r="E104" s="191" t="e">
        <f ca="1">IF(OFFSET('Input Rearing'!Q20,O104,0)="",#N/A,OFFSET('Input Rearing'!Q20,O104,0)*100)</f>
        <v>#N/A</v>
      </c>
      <c r="F104" s="191" t="e">
        <f t="shared" ca="1" si="72"/>
        <v>#N/A</v>
      </c>
      <c r="G104" s="191" t="e">
        <f ca="1">IF(OFFSET('Input Rearing'!U20,O104,0)="",#N/A,OFFSET('Input Rearing'!U20,O104,0)*500)</f>
        <v>#DIV/0!</v>
      </c>
      <c r="H104" s="191">
        <f ca="1">OFFSET('Input Rearing'!AA20,M104,0)</f>
        <v>0</v>
      </c>
      <c r="J104" s="191">
        <f ca="1">OFFSET('Input Rearing'!N26,M104,0)</f>
        <v>773.66250000000002</v>
      </c>
      <c r="K104" s="191">
        <f>Std!I12</f>
        <v>813.33749999999998</v>
      </c>
      <c r="L104" s="191" t="e">
        <f t="shared" ca="1" si="73"/>
        <v>#N/A</v>
      </c>
      <c r="M104" s="191">
        <f t="shared" si="81"/>
        <v>48</v>
      </c>
      <c r="O104" s="191">
        <f t="shared" si="82"/>
        <v>48</v>
      </c>
      <c r="P104" s="191">
        <v>9</v>
      </c>
      <c r="Q104" s="191">
        <f ca="1">OFFSET('Input Rearing'!I20,'Graph values'!O104,0)</f>
        <v>0</v>
      </c>
      <c r="R104" s="191">
        <f t="shared" ca="1" si="74"/>
        <v>0</v>
      </c>
      <c r="S104" s="191">
        <f t="shared" ca="1" si="75"/>
        <v>0</v>
      </c>
      <c r="T104" s="191" t="b">
        <f t="shared" ca="1" si="76"/>
        <v>1</v>
      </c>
      <c r="U104" s="191">
        <f t="shared" ca="1" si="77"/>
        <v>0</v>
      </c>
      <c r="V104" s="191">
        <f t="shared" ca="1" si="78"/>
        <v>1</v>
      </c>
      <c r="X104" s="191">
        <f ca="1">OFFSET('Input Rearing'!F20,O104,)*'Graph values'!V104</f>
        <v>0</v>
      </c>
      <c r="Y104" s="191">
        <f t="shared" ca="1" si="83"/>
        <v>0</v>
      </c>
      <c r="Z104" s="191">
        <f ca="1">OFFSET('Input Rearing'!X20,O104,0)*'Graph values'!V104</f>
        <v>0</v>
      </c>
      <c r="AA104" s="191">
        <f t="shared" ca="1" si="79"/>
        <v>0</v>
      </c>
      <c r="AB104" s="191">
        <f ca="1">OFFSET('Input Rearing'!X20,O104,0)*'Graph values'!V104</f>
        <v>0</v>
      </c>
      <c r="AC104" s="191">
        <f t="shared" ca="1" si="80"/>
        <v>0</v>
      </c>
    </row>
    <row r="105" spans="1:29" x14ac:dyDescent="0.2">
      <c r="A105" s="194">
        <v>10</v>
      </c>
      <c r="B105" s="194">
        <f ca="1">OFFSET('Input Rearing'!J21,M105,0)*100000</f>
        <v>0</v>
      </c>
      <c r="C105" s="346">
        <f t="shared" ca="1" si="71"/>
        <v>0</v>
      </c>
      <c r="D105" s="191" t="e">
        <f ca="1">IF(OFFSET('Input Rearing'!M21,M105,0)="",#N/A,OFFSET('Input Rearing'!M21,M105,0))</f>
        <v>#N/A</v>
      </c>
      <c r="E105" s="191" t="e">
        <f ca="1">IF(OFFSET('Input Rearing'!Q21,O105,0)="",#N/A,OFFSET('Input Rearing'!Q21,O105,0)*100)</f>
        <v>#N/A</v>
      </c>
      <c r="F105" s="191" t="e">
        <f t="shared" ca="1" si="72"/>
        <v>#N/A</v>
      </c>
      <c r="G105" s="191" t="e">
        <f ca="1">IF(OFFSET('Input Rearing'!U21,O105,0)="",#N/A,OFFSET('Input Rearing'!U21,O105,0)*500)</f>
        <v>#DIV/0!</v>
      </c>
      <c r="H105" s="191">
        <f ca="1">OFFSET('Input Rearing'!AA21,M105,0)</f>
        <v>0</v>
      </c>
      <c r="J105" s="191">
        <f ca="1">OFFSET('Input Rearing'!N27,M105,0)</f>
        <v>872.13749999999993</v>
      </c>
      <c r="K105" s="191">
        <f>Std!I13</f>
        <v>916.86249999999995</v>
      </c>
      <c r="L105" s="191" t="e">
        <f t="shared" ca="1" si="73"/>
        <v>#N/A</v>
      </c>
      <c r="M105" s="191">
        <f t="shared" si="81"/>
        <v>54</v>
      </c>
      <c r="O105" s="191">
        <f t="shared" si="82"/>
        <v>54</v>
      </c>
      <c r="P105" s="191">
        <v>10</v>
      </c>
      <c r="Q105" s="191">
        <f ca="1">OFFSET('Input Rearing'!I21,'Graph values'!O105,0)</f>
        <v>0</v>
      </c>
      <c r="R105" s="191">
        <f t="shared" ca="1" si="74"/>
        <v>0</v>
      </c>
      <c r="S105" s="191">
        <f t="shared" ca="1" si="75"/>
        <v>0</v>
      </c>
      <c r="T105" s="191" t="b">
        <f t="shared" ca="1" si="76"/>
        <v>1</v>
      </c>
      <c r="U105" s="191">
        <f t="shared" ca="1" si="77"/>
        <v>0</v>
      </c>
      <c r="V105" s="191">
        <f ca="1">IF(T105=FALSE,U105,IF(T106=FALSE,U106,IF(T107=FALSE,U107,IF(T108=FALSE,U108,IF(T109=FALSE,U109,IF(T110=FALSE,U110,IF(T111=FALSE,U111,IF(T112=FALSE,U112,V124))))))))</f>
        <v>1</v>
      </c>
      <c r="X105" s="191">
        <f ca="1">OFFSET('Input Rearing'!F21,O105,)*'Graph values'!V105</f>
        <v>0</v>
      </c>
      <c r="Y105" s="191">
        <f t="shared" ca="1" si="83"/>
        <v>0</v>
      </c>
      <c r="Z105" s="191">
        <f ca="1">OFFSET('Input Rearing'!X21,O105,0)*'Graph values'!V105</f>
        <v>0</v>
      </c>
      <c r="AA105" s="191">
        <f t="shared" ca="1" si="79"/>
        <v>0</v>
      </c>
      <c r="AB105" s="191">
        <f ca="1">OFFSET('Input Rearing'!X21,O105,0)*'Graph values'!V105</f>
        <v>0</v>
      </c>
      <c r="AC105" s="191">
        <f t="shared" ca="1" si="80"/>
        <v>0</v>
      </c>
    </row>
    <row r="106" spans="1:29" x14ac:dyDescent="0.2">
      <c r="A106" s="194">
        <v>11</v>
      </c>
      <c r="B106" s="194">
        <f ca="1">OFFSET('Input Rearing'!J22,M106,0)*100000</f>
        <v>0</v>
      </c>
      <c r="C106" s="346">
        <f t="shared" ca="1" si="71"/>
        <v>0</v>
      </c>
      <c r="D106" s="191" t="e">
        <f ca="1">IF(OFFSET('Input Rearing'!M22,M106,0)="",#N/A,OFFSET('Input Rearing'!M22,M106,0))</f>
        <v>#N/A</v>
      </c>
      <c r="E106" s="191" t="e">
        <f ca="1">IF(OFFSET('Input Rearing'!Q22,O106,0)="",#N/A,OFFSET('Input Rearing'!Q22,O106,0)*100)</f>
        <v>#N/A</v>
      </c>
      <c r="F106" s="191" t="e">
        <f t="shared" ca="1" si="72"/>
        <v>#N/A</v>
      </c>
      <c r="G106" s="191" t="e">
        <f ca="1">IF(OFFSET('Input Rearing'!U22,O106,0)="",#N/A,OFFSET('Input Rearing'!U22,O106,0)*500)</f>
        <v>#DIV/0!</v>
      </c>
      <c r="H106" s="191">
        <f ca="1">OFFSET('Input Rearing'!AA22,M106,0)</f>
        <v>0</v>
      </c>
      <c r="J106" s="191">
        <f ca="1">OFFSET('Input Rearing'!N28,M106,0)</f>
        <v>964.27499999999998</v>
      </c>
      <c r="K106" s="191">
        <f>Std!I14</f>
        <v>1013.7249999999999</v>
      </c>
      <c r="L106" s="191" t="e">
        <f t="shared" ca="1" si="73"/>
        <v>#N/A</v>
      </c>
      <c r="M106" s="191">
        <f t="shared" si="81"/>
        <v>60</v>
      </c>
      <c r="O106" s="191">
        <f t="shared" si="82"/>
        <v>60</v>
      </c>
      <c r="P106" s="191">
        <v>11</v>
      </c>
      <c r="Q106" s="191">
        <f ca="1">OFFSET('Input Rearing'!I22,'Graph values'!O106,0)</f>
        <v>0</v>
      </c>
      <c r="R106" s="191">
        <f t="shared" ca="1" si="74"/>
        <v>0</v>
      </c>
      <c r="S106" s="191">
        <f t="shared" ca="1" si="75"/>
        <v>0</v>
      </c>
      <c r="T106" s="191" t="b">
        <f t="shared" ca="1" si="76"/>
        <v>1</v>
      </c>
      <c r="U106" s="191">
        <f t="shared" ca="1" si="77"/>
        <v>0</v>
      </c>
      <c r="V106" s="191">
        <f ca="1">IF(T106=FALSE,U106,IF(T107=FALSE,U107,IF(T108=FALSE,U108,IF(T109=FALSE,U109,IF(T110=FALSE,U110,IF(T111=FALSE,U111,IF(T112=FALSE,U112,IF(T113=FALSE,U113,1))))))))</f>
        <v>1</v>
      </c>
      <c r="X106" s="191">
        <f ca="1">OFFSET('Input Rearing'!F22,O106,)*'Graph values'!V106</f>
        <v>0</v>
      </c>
      <c r="Y106" s="191">
        <f t="shared" ca="1" si="83"/>
        <v>0</v>
      </c>
      <c r="Z106" s="191">
        <f ca="1">OFFSET('Input Rearing'!X22,O106,0)*'Graph values'!V106</f>
        <v>0</v>
      </c>
      <c r="AA106" s="191">
        <f t="shared" ca="1" si="79"/>
        <v>0</v>
      </c>
      <c r="AB106" s="191">
        <f ca="1">OFFSET('Input Rearing'!X22,O106,0)*'Graph values'!V106</f>
        <v>0</v>
      </c>
      <c r="AC106" s="191">
        <f t="shared" ca="1" si="80"/>
        <v>0</v>
      </c>
    </row>
    <row r="107" spans="1:29" x14ac:dyDescent="0.2">
      <c r="A107" s="194">
        <v>12</v>
      </c>
      <c r="B107" s="194">
        <f ca="1">OFFSET('Input Rearing'!J23,M107,0)*100000</f>
        <v>0</v>
      </c>
      <c r="C107" s="346">
        <f t="shared" ca="1" si="71"/>
        <v>0</v>
      </c>
      <c r="D107" s="191" t="e">
        <f ca="1">IF(OFFSET('Input Rearing'!M23,M107,0)="",#N/A,OFFSET('Input Rearing'!M23,M107,0))</f>
        <v>#N/A</v>
      </c>
      <c r="E107" s="191" t="e">
        <f ca="1">IF(OFFSET('Input Rearing'!Q23,O107,0)="",#N/A,OFFSET('Input Rearing'!Q23,O107,0)*100)</f>
        <v>#N/A</v>
      </c>
      <c r="F107" s="191" t="e">
        <f t="shared" ca="1" si="72"/>
        <v>#N/A</v>
      </c>
      <c r="G107" s="191" t="e">
        <f ca="1">IF(OFFSET('Input Rearing'!U23,O107,0)="",#N/A,OFFSET('Input Rearing'!U23,O107,0)*500)</f>
        <v>#DIV/0!</v>
      </c>
      <c r="H107" s="191">
        <f ca="1">OFFSET('Input Rearing'!AA23,M107,0)</f>
        <v>0</v>
      </c>
      <c r="J107" s="191">
        <f ca="1">OFFSET('Input Rearing'!N29,M107,0)</f>
        <v>1049.5874999999999</v>
      </c>
      <c r="K107" s="191">
        <f>Std!I15</f>
        <v>1103.4124999999999</v>
      </c>
      <c r="L107" s="191" t="e">
        <f t="shared" ca="1" si="73"/>
        <v>#N/A</v>
      </c>
      <c r="M107" s="191">
        <f t="shared" si="81"/>
        <v>66</v>
      </c>
      <c r="O107" s="191">
        <f t="shared" si="82"/>
        <v>66</v>
      </c>
      <c r="P107" s="191">
        <v>12</v>
      </c>
      <c r="Q107" s="191">
        <f ca="1">OFFSET('Input Rearing'!I23,'Graph values'!O107,0)</f>
        <v>0</v>
      </c>
      <c r="R107" s="191">
        <f t="shared" ca="1" si="74"/>
        <v>0</v>
      </c>
      <c r="S107" s="191">
        <f t="shared" ca="1" si="75"/>
        <v>0</v>
      </c>
      <c r="T107" s="191" t="b">
        <f t="shared" ca="1" si="76"/>
        <v>1</v>
      </c>
      <c r="U107" s="191">
        <f t="shared" ca="1" si="77"/>
        <v>0</v>
      </c>
      <c r="V107" s="191">
        <f ca="1">IF(T107=FALSE,U107,IF(T108=FALSE,U108,IF(T109=FALSE,U109,IF(T110=FALSE,U110,IF(T111=FALSE,U111,IF(T112=FALSE,U112,IF(T113=FALSE,U113,1)))))))</f>
        <v>1</v>
      </c>
      <c r="X107" s="191">
        <f ca="1">OFFSET('Input Rearing'!F23,O107,)*'Graph values'!V107</f>
        <v>0</v>
      </c>
      <c r="Y107" s="191">
        <f t="shared" ca="1" si="83"/>
        <v>0</v>
      </c>
      <c r="Z107" s="191">
        <f ca="1">OFFSET('Input Rearing'!X23,O107,0)*'Graph values'!V107</f>
        <v>0</v>
      </c>
      <c r="AA107" s="191">
        <f t="shared" ca="1" si="79"/>
        <v>0</v>
      </c>
      <c r="AB107" s="191">
        <f ca="1">OFFSET('Input Rearing'!X23,O107,0)*'Graph values'!V107</f>
        <v>0</v>
      </c>
      <c r="AC107" s="191">
        <f t="shared" ca="1" si="80"/>
        <v>0</v>
      </c>
    </row>
    <row r="108" spans="1:29" x14ac:dyDescent="0.2">
      <c r="A108" s="194">
        <v>13</v>
      </c>
      <c r="B108" s="194">
        <f ca="1">OFFSET('Input Rearing'!J24,M108,0)*100000</f>
        <v>0</v>
      </c>
      <c r="C108" s="346">
        <f t="shared" ca="1" si="71"/>
        <v>0</v>
      </c>
      <c r="D108" s="191" t="e">
        <f ca="1">IF(OFFSET('Input Rearing'!M24,M108,0)="",#N/A,OFFSET('Input Rearing'!M24,M108,0))</f>
        <v>#N/A</v>
      </c>
      <c r="E108" s="191" t="e">
        <f ca="1">IF(OFFSET('Input Rearing'!Q24,O108,0)="",#N/A,OFFSET('Input Rearing'!Q24,O108,0)*100)</f>
        <v>#N/A</v>
      </c>
      <c r="F108" s="191" t="e">
        <f t="shared" ca="1" si="72"/>
        <v>#N/A</v>
      </c>
      <c r="G108" s="191" t="e">
        <f ca="1">IF(OFFSET('Input Rearing'!U24,O108,0)="",#N/A,OFFSET('Input Rearing'!U24,O108,0)*500)</f>
        <v>#DIV/0!</v>
      </c>
      <c r="H108" s="191">
        <f ca="1">OFFSET('Input Rearing'!AA24,M108,0)</f>
        <v>0</v>
      </c>
      <c r="J108" s="191">
        <f ca="1">OFFSET('Input Rearing'!N30,M108,0)</f>
        <v>1131.9749999999999</v>
      </c>
      <c r="K108" s="191">
        <f>Std!I16</f>
        <v>1190.0249999999999</v>
      </c>
      <c r="L108" s="191" t="e">
        <f t="shared" ca="1" si="73"/>
        <v>#N/A</v>
      </c>
      <c r="M108" s="191">
        <f t="shared" si="81"/>
        <v>72</v>
      </c>
      <c r="O108" s="191">
        <f t="shared" si="82"/>
        <v>72</v>
      </c>
      <c r="P108" s="191">
        <v>13</v>
      </c>
      <c r="Q108" s="191">
        <f ca="1">OFFSET('Input Rearing'!I24,'Graph values'!O108,0)</f>
        <v>0</v>
      </c>
      <c r="R108" s="191">
        <f t="shared" ca="1" si="74"/>
        <v>0</v>
      </c>
      <c r="S108" s="191">
        <f t="shared" ca="1" si="75"/>
        <v>0</v>
      </c>
      <c r="T108" s="191" t="b">
        <f t="shared" ca="1" si="76"/>
        <v>1</v>
      </c>
      <c r="U108" s="191">
        <f t="shared" ca="1" si="77"/>
        <v>0</v>
      </c>
      <c r="V108" s="191">
        <f ca="1">IF(T108=FALSE,U108,IF(T109=FALSE,U109,IF(T110=FALSE,U110,IF(T111=FALSE,U111,IF(T112=FALSE,U112,IF(T113=FALSE,U113,1))))))</f>
        <v>1</v>
      </c>
      <c r="X108" s="191">
        <f ca="1">OFFSET('Input Rearing'!F24,O108,)*'Graph values'!V108</f>
        <v>0</v>
      </c>
      <c r="Y108" s="191">
        <f t="shared" ca="1" si="83"/>
        <v>0</v>
      </c>
      <c r="Z108" s="191">
        <f ca="1">OFFSET('Input Rearing'!X24,O108,0)*'Graph values'!V108</f>
        <v>0</v>
      </c>
      <c r="AA108" s="191">
        <f t="shared" ca="1" si="79"/>
        <v>0</v>
      </c>
      <c r="AB108" s="191">
        <f ca="1">OFFSET('Input Rearing'!X24,O108,0)*'Graph values'!V108</f>
        <v>0</v>
      </c>
      <c r="AC108" s="191">
        <f t="shared" ca="1" si="80"/>
        <v>0</v>
      </c>
    </row>
    <row r="109" spans="1:29" x14ac:dyDescent="0.2">
      <c r="A109" s="194">
        <v>14</v>
      </c>
      <c r="B109" s="194">
        <f ca="1">OFFSET('Input Rearing'!J25,M109,0)*100000</f>
        <v>0</v>
      </c>
      <c r="C109" s="346">
        <f t="shared" ca="1" si="71"/>
        <v>0</v>
      </c>
      <c r="D109" s="191" t="e">
        <f ca="1">IF(OFFSET('Input Rearing'!M25,M109,0)="",#N/A,OFFSET('Input Rearing'!M25,M109,0))</f>
        <v>#N/A</v>
      </c>
      <c r="E109" s="191" t="e">
        <f ca="1">IF(OFFSET('Input Rearing'!Q25,O109,0)="",#N/A,OFFSET('Input Rearing'!Q25,O109,0)*100)</f>
        <v>#N/A</v>
      </c>
      <c r="F109" s="191" t="e">
        <f t="shared" ca="1" si="72"/>
        <v>#N/A</v>
      </c>
      <c r="G109" s="191" t="e">
        <f ca="1">IF(OFFSET('Input Rearing'!U25,O109,0)="",#N/A,OFFSET('Input Rearing'!U25,O109,0)*500)</f>
        <v>#DIV/0!</v>
      </c>
      <c r="H109" s="191">
        <f ca="1">OFFSET('Input Rearing'!AA25,M109,0)</f>
        <v>0</v>
      </c>
      <c r="J109" s="191">
        <f ca="1">OFFSET('Input Rearing'!N31,M109,0)</f>
        <v>1206.5625</v>
      </c>
      <c r="K109" s="191">
        <f>Std!I17</f>
        <v>1268.4375</v>
      </c>
      <c r="L109" s="191" t="e">
        <f t="shared" ca="1" si="73"/>
        <v>#N/A</v>
      </c>
      <c r="M109" s="191">
        <f t="shared" si="81"/>
        <v>78</v>
      </c>
      <c r="O109" s="191">
        <f t="shared" si="82"/>
        <v>78</v>
      </c>
      <c r="P109" s="191">
        <v>14</v>
      </c>
      <c r="Q109" s="191">
        <f ca="1">OFFSET('Input Rearing'!I25,'Graph values'!O109,0)</f>
        <v>0</v>
      </c>
      <c r="R109" s="191">
        <f t="shared" ca="1" si="74"/>
        <v>0</v>
      </c>
      <c r="S109" s="191">
        <f t="shared" ca="1" si="75"/>
        <v>0</v>
      </c>
      <c r="T109" s="191" t="b">
        <f t="shared" ca="1" si="76"/>
        <v>1</v>
      </c>
      <c r="U109" s="191">
        <f t="shared" ca="1" si="77"/>
        <v>0</v>
      </c>
      <c r="V109" s="191">
        <f ca="1">IF(T109=FALSE,U109,IF(T110=FALSE,U110,IF(T111=FALSE,U111,IF(T112=FALSE,U112,IF(T113=FALSE,U113,1)))))</f>
        <v>1</v>
      </c>
      <c r="X109" s="191">
        <f ca="1">OFFSET('Input Rearing'!F25,O109,)*'Graph values'!V109</f>
        <v>0</v>
      </c>
      <c r="Y109" s="191">
        <f t="shared" ca="1" si="83"/>
        <v>0</v>
      </c>
      <c r="Z109" s="191">
        <f ca="1">OFFSET('Input Rearing'!X25,O109,0)*'Graph values'!V109</f>
        <v>0</v>
      </c>
      <c r="AA109" s="191">
        <f t="shared" ca="1" si="79"/>
        <v>0</v>
      </c>
      <c r="AB109" s="191">
        <f ca="1">OFFSET('Input Rearing'!X25,O109,0)*'Graph values'!V109</f>
        <v>0</v>
      </c>
      <c r="AC109" s="191">
        <f t="shared" ca="1" si="80"/>
        <v>0</v>
      </c>
    </row>
    <row r="110" spans="1:29" x14ac:dyDescent="0.2">
      <c r="A110" s="194">
        <v>15</v>
      </c>
      <c r="B110" s="194">
        <f ca="1">OFFSET('Input Rearing'!J26,M110,0)*100000</f>
        <v>0</v>
      </c>
      <c r="C110" s="346">
        <f t="shared" ca="1" si="71"/>
        <v>0</v>
      </c>
      <c r="D110" s="191" t="e">
        <f ca="1">IF(OFFSET('Input Rearing'!M26,M110,0)="",#N/A,OFFSET('Input Rearing'!M26,M110,0))</f>
        <v>#N/A</v>
      </c>
      <c r="E110" s="191" t="e">
        <f ca="1">IF(OFFSET('Input Rearing'!Q26,O110,0)="",#N/A,OFFSET('Input Rearing'!Q26,O110,0)*100)</f>
        <v>#N/A</v>
      </c>
      <c r="F110" s="191" t="e">
        <f t="shared" ca="1" si="72"/>
        <v>#N/A</v>
      </c>
      <c r="G110" s="191" t="e">
        <f ca="1">IF(OFFSET('Input Rearing'!U26,O110,0)="",#N/A,OFFSET('Input Rearing'!U26,O110,0)*500)</f>
        <v>#DIV/0!</v>
      </c>
      <c r="H110" s="191">
        <f ca="1">OFFSET('Input Rearing'!AA26,M110,0)</f>
        <v>0</v>
      </c>
      <c r="J110" s="191">
        <f ca="1">OFFSET('Input Rearing'!N32,M110,0)</f>
        <v>1274.8125</v>
      </c>
      <c r="K110" s="191">
        <f>Std!I18</f>
        <v>1340.1874999999998</v>
      </c>
      <c r="L110" s="191" t="e">
        <f t="shared" ca="1" si="73"/>
        <v>#N/A</v>
      </c>
      <c r="M110" s="191">
        <f t="shared" si="81"/>
        <v>84</v>
      </c>
      <c r="O110" s="191">
        <f t="shared" si="82"/>
        <v>84</v>
      </c>
      <c r="P110" s="191">
        <v>15</v>
      </c>
      <c r="Q110" s="191">
        <f ca="1">OFFSET('Input Rearing'!I26,'Graph values'!O110,0)</f>
        <v>0</v>
      </c>
      <c r="R110" s="191">
        <f t="shared" ca="1" si="74"/>
        <v>0</v>
      </c>
      <c r="S110" s="191">
        <f t="shared" ca="1" si="75"/>
        <v>0</v>
      </c>
      <c r="T110" s="191" t="b">
        <f t="shared" ca="1" si="76"/>
        <v>1</v>
      </c>
      <c r="U110" s="191">
        <f t="shared" ca="1" si="77"/>
        <v>0</v>
      </c>
      <c r="V110" s="191">
        <f ca="1">IF(T110=FALSE,U110,IF(T111=FALSE,U111,IF(T112=FALSE,U112,IF(T113=FALSE,U113,1))))</f>
        <v>1</v>
      </c>
      <c r="X110" s="191">
        <f ca="1">OFFSET('Input Rearing'!F26,O110,)*'Graph values'!V110</f>
        <v>0</v>
      </c>
      <c r="Y110" s="191">
        <f t="shared" ca="1" si="83"/>
        <v>0</v>
      </c>
      <c r="Z110" s="191">
        <f ca="1">OFFSET('Input Rearing'!X26,O110,0)*'Graph values'!V110</f>
        <v>0</v>
      </c>
      <c r="AA110" s="191">
        <f t="shared" ca="1" si="79"/>
        <v>0</v>
      </c>
      <c r="AB110" s="191">
        <f ca="1">OFFSET('Input Rearing'!X26,O110,0)*'Graph values'!V110</f>
        <v>0</v>
      </c>
      <c r="AC110" s="191">
        <f t="shared" ca="1" si="80"/>
        <v>0</v>
      </c>
    </row>
    <row r="111" spans="1:29" x14ac:dyDescent="0.2">
      <c r="A111" s="194">
        <v>16</v>
      </c>
      <c r="B111" s="194">
        <f ca="1">OFFSET('Input Rearing'!J27,M111,0)*100000</f>
        <v>0</v>
      </c>
      <c r="C111" s="346">
        <f t="shared" ca="1" si="71"/>
        <v>0</v>
      </c>
      <c r="D111" s="191" t="e">
        <f ca="1">IF(OFFSET('Input Rearing'!M27,M111,0)="",#N/A,OFFSET('Input Rearing'!M27,M111,0))</f>
        <v>#N/A</v>
      </c>
      <c r="E111" s="191" t="e">
        <f ca="1">IF(OFFSET('Input Rearing'!Q27,O111,0)="",#N/A,OFFSET('Input Rearing'!Q27,O111,0)*100)</f>
        <v>#N/A</v>
      </c>
      <c r="F111" s="191" t="e">
        <f t="shared" ca="1" si="72"/>
        <v>#N/A</v>
      </c>
      <c r="G111" s="191" t="e">
        <f ca="1">IF(OFFSET('Input Rearing'!U27,O111,0)="",#N/A,OFFSET('Input Rearing'!U27,O111,0)*500)</f>
        <v>#DIV/0!</v>
      </c>
      <c r="H111" s="191">
        <f ca="1">OFFSET('Input Rearing'!AA27,M111,0)</f>
        <v>0</v>
      </c>
      <c r="J111" s="191">
        <f ca="1">OFFSET('Input Rearing'!N33,M111,0)</f>
        <v>1343.0625</v>
      </c>
      <c r="K111" s="191">
        <f>Std!I19</f>
        <v>1411.9374999999998</v>
      </c>
      <c r="L111" s="191" t="e">
        <f t="shared" ca="1" si="73"/>
        <v>#N/A</v>
      </c>
      <c r="M111" s="191">
        <f t="shared" si="81"/>
        <v>90</v>
      </c>
      <c r="O111" s="191">
        <f t="shared" si="82"/>
        <v>90</v>
      </c>
      <c r="P111" s="191">
        <v>16</v>
      </c>
      <c r="Q111" s="191">
        <f ca="1">OFFSET('Input Rearing'!I27,'Graph values'!O111,0)</f>
        <v>0</v>
      </c>
      <c r="R111" s="191">
        <f t="shared" ca="1" si="74"/>
        <v>0</v>
      </c>
      <c r="S111" s="191">
        <f t="shared" ca="1" si="75"/>
        <v>0</v>
      </c>
      <c r="T111" s="191" t="b">
        <f t="shared" ca="1" si="76"/>
        <v>1</v>
      </c>
      <c r="U111" s="191">
        <f t="shared" ca="1" si="77"/>
        <v>0</v>
      </c>
      <c r="V111" s="191">
        <f ca="1">IF(T111=FALSE,U111,IF(T112=FALSE,U112,IF(T113=FALSE,U113,1)))</f>
        <v>1</v>
      </c>
      <c r="X111" s="191">
        <f ca="1">OFFSET('Input Rearing'!F27,O111,)*'Graph values'!V111</f>
        <v>0</v>
      </c>
      <c r="Y111" s="191">
        <f t="shared" ca="1" si="83"/>
        <v>0</v>
      </c>
      <c r="Z111" s="191">
        <f ca="1">OFFSET('Input Rearing'!X27,O111,0)*'Graph values'!V111</f>
        <v>0</v>
      </c>
      <c r="AA111" s="191">
        <f t="shared" ca="1" si="79"/>
        <v>0</v>
      </c>
      <c r="AB111" s="191">
        <f ca="1">OFFSET('Input Rearing'!X27,O111,0)*'Graph values'!V111</f>
        <v>0</v>
      </c>
      <c r="AC111" s="191">
        <f t="shared" ca="1" si="80"/>
        <v>0</v>
      </c>
    </row>
    <row r="112" spans="1:29" x14ac:dyDescent="0.2">
      <c r="A112" s="194">
        <v>17</v>
      </c>
      <c r="B112" s="194">
        <f ca="1">OFFSET('Input Rearing'!J28,M112,0)*100000</f>
        <v>0</v>
      </c>
      <c r="C112" s="346">
        <f t="shared" ca="1" si="71"/>
        <v>0</v>
      </c>
      <c r="D112" s="191" t="e">
        <f ca="1">IF(OFFSET('Input Rearing'!M28,M112,0)="",#N/A,OFFSET('Input Rearing'!M28,M112,0))</f>
        <v>#N/A</v>
      </c>
      <c r="E112" s="191" t="e">
        <f ca="1">IF(OFFSET('Input Rearing'!Q28,O112,0)="",#N/A,OFFSET('Input Rearing'!Q28,O112,0)*100)</f>
        <v>#N/A</v>
      </c>
      <c r="F112" s="191" t="e">
        <f t="shared" ca="1" si="72"/>
        <v>#N/A</v>
      </c>
      <c r="G112" s="191" t="e">
        <f ca="1">IF(OFFSET('Input Rearing'!U28,O112,0)="",#N/A,OFFSET('Input Rearing'!U28,O112,0)*500)</f>
        <v>#DIV/0!</v>
      </c>
      <c r="H112" s="191">
        <f ca="1">OFFSET('Input Rearing'!AA28,M112,0)</f>
        <v>0</v>
      </c>
      <c r="J112" s="191">
        <f ca="1">OFFSET('Input Rearing'!N34,M112,0)</f>
        <v>1403.5125</v>
      </c>
      <c r="K112" s="191">
        <f>Std!I20</f>
        <v>1475.4875</v>
      </c>
      <c r="L112" s="191" t="e">
        <f t="shared" ca="1" si="73"/>
        <v>#N/A</v>
      </c>
      <c r="M112" s="191">
        <f t="shared" si="81"/>
        <v>96</v>
      </c>
      <c r="O112" s="191">
        <f t="shared" si="82"/>
        <v>96</v>
      </c>
      <c r="P112" s="191">
        <v>17</v>
      </c>
      <c r="Q112" s="191">
        <f ca="1">OFFSET('Input Rearing'!I28,'Graph values'!O112,0)</f>
        <v>0</v>
      </c>
      <c r="R112" s="191">
        <f t="shared" ca="1" si="74"/>
        <v>0</v>
      </c>
      <c r="S112" s="191">
        <f t="shared" ca="1" si="75"/>
        <v>0</v>
      </c>
      <c r="T112" s="191" t="b">
        <f t="shared" ca="1" si="76"/>
        <v>1</v>
      </c>
      <c r="U112" s="191">
        <f t="shared" ca="1" si="77"/>
        <v>0</v>
      </c>
      <c r="V112" s="191">
        <f ca="1">IF(T112=FALSE,U112,IF(T113=FALSE,U113,1))</f>
        <v>1</v>
      </c>
      <c r="X112" s="191">
        <f ca="1">OFFSET('Input Rearing'!F28,O112,)*'Graph values'!V112</f>
        <v>0</v>
      </c>
      <c r="Y112" s="191">
        <f t="shared" ca="1" si="83"/>
        <v>0</v>
      </c>
      <c r="Z112" s="191">
        <f ca="1">OFFSET('Input Rearing'!X28,O112,0)*'Graph values'!V112</f>
        <v>0</v>
      </c>
      <c r="AA112" s="191">
        <f t="shared" ca="1" si="79"/>
        <v>0</v>
      </c>
      <c r="AB112" s="191">
        <f ca="1">OFFSET('Input Rearing'!X28,O112,0)*'Graph values'!V112</f>
        <v>0</v>
      </c>
      <c r="AC112" s="191">
        <f t="shared" ca="1" si="80"/>
        <v>0</v>
      </c>
    </row>
    <row r="113" spans="1:29" x14ac:dyDescent="0.2">
      <c r="A113" s="194">
        <v>18</v>
      </c>
      <c r="B113" s="194">
        <f ca="1">OFFSET('Input Rearing'!J29,M113,0)*100000</f>
        <v>0</v>
      </c>
      <c r="C113" s="346">
        <f t="shared" ca="1" si="71"/>
        <v>0</v>
      </c>
      <c r="D113" s="191" t="e">
        <f ca="1">IF(OFFSET('Input Rearing'!M29,M113,0)="",#N/A,OFFSET('Input Rearing'!M29,M113,0))</f>
        <v>#N/A</v>
      </c>
      <c r="E113" s="191" t="e">
        <f ca="1">IF(OFFSET('Input Rearing'!Q29,O113,0)="",#N/A,OFFSET('Input Rearing'!Q29,O113,0)*100)</f>
        <v>#N/A</v>
      </c>
      <c r="F113" s="191" t="e">
        <f t="shared" ca="1" si="72"/>
        <v>#N/A</v>
      </c>
      <c r="G113" s="191" t="e">
        <f ca="1">IF(OFFSET('Input Rearing'!U29,O113,0)="",#N/A,OFFSET('Input Rearing'!U29,O113,0)*500)</f>
        <v>#DIV/0!</v>
      </c>
      <c r="H113" s="191">
        <f ca="1">OFFSET('Input Rearing'!AA29,M113,0)</f>
        <v>0</v>
      </c>
      <c r="J113" s="191">
        <f ca="1">OFFSET('Input Rearing'!N35,M113,0)</f>
        <v>1462.5</v>
      </c>
      <c r="K113" s="191">
        <f>Std!I21</f>
        <v>1537.4999999999998</v>
      </c>
      <c r="L113" s="191" t="e">
        <f t="shared" ca="1" si="73"/>
        <v>#N/A</v>
      </c>
      <c r="M113" s="191">
        <f t="shared" si="81"/>
        <v>102</v>
      </c>
      <c r="O113" s="191">
        <f t="shared" si="82"/>
        <v>102</v>
      </c>
      <c r="P113" s="191">
        <v>18</v>
      </c>
      <c r="Q113" s="191">
        <f ca="1">OFFSET('Input Rearing'!I29,'Graph values'!O113,0)</f>
        <v>0</v>
      </c>
      <c r="R113" s="191">
        <f t="shared" ca="1" si="74"/>
        <v>0</v>
      </c>
      <c r="S113" s="191">
        <f t="shared" ca="1" si="75"/>
        <v>0</v>
      </c>
      <c r="T113" s="191" t="b">
        <f t="shared" ca="1" si="76"/>
        <v>1</v>
      </c>
      <c r="U113" s="191">
        <f t="shared" ca="1" si="77"/>
        <v>0</v>
      </c>
      <c r="V113" s="191">
        <f ca="1">IF(T113=FALSE,U113,1)</f>
        <v>1</v>
      </c>
      <c r="X113" s="191">
        <f ca="1">OFFSET('Input Rearing'!F29,O113,)*'Graph values'!V113</f>
        <v>0</v>
      </c>
      <c r="Y113" s="191">
        <f t="shared" ca="1" si="83"/>
        <v>0</v>
      </c>
      <c r="Z113" s="191">
        <f ca="1">OFFSET('Input Rearing'!X29,O113,0)*'Graph values'!V113</f>
        <v>0</v>
      </c>
      <c r="AA113" s="191">
        <f t="shared" ca="1" si="79"/>
        <v>0</v>
      </c>
      <c r="AB113" s="191">
        <f ca="1">OFFSET('Input Rearing'!X29,O113,0)*'Graph values'!V113</f>
        <v>0</v>
      </c>
      <c r="AC113" s="191">
        <f t="shared" ca="1" si="80"/>
        <v>0</v>
      </c>
    </row>
    <row r="115" spans="1:29" x14ac:dyDescent="0.2">
      <c r="P115" s="191" t="s">
        <v>412</v>
      </c>
      <c r="Q115" s="191">
        <f ca="1">Q113+Q112+Q111+Q110+Q109+Q108+Q107+Q106+Q105+Q104+Q103+Q102+Q101+Q100+Q99+Q98+Q97+Q96</f>
        <v>0</v>
      </c>
      <c r="V115" s="191">
        <f ca="1">IF(T104=FALSE,U104,IF(T105=FALSE,U105,IF(T106=FALSE,U106,IF(T107=FALSE,U107,IF(T108=FALSE,U108,IF(T109=FALSE,U109,IF(T110=FALSE,U110,IF(T111=FALSE,U111,W115))))))))</f>
        <v>1</v>
      </c>
      <c r="W115" s="191">
        <f ca="1">IF(T111=FALSE,U111,IF(T112=FALSE,U112,IF(T113=FALSE,U113,1)))</f>
        <v>1</v>
      </c>
    </row>
    <row r="116" spans="1:29" x14ac:dyDescent="0.2">
      <c r="B116" s="191" t="s">
        <v>362</v>
      </c>
      <c r="C116" s="191" t="s">
        <v>362</v>
      </c>
      <c r="D116" s="191" t="s">
        <v>560</v>
      </c>
      <c r="E116" s="191" t="s">
        <v>560</v>
      </c>
      <c r="F116" s="191" t="s">
        <v>362</v>
      </c>
      <c r="P116" s="191" t="s">
        <v>413</v>
      </c>
      <c r="Q116" s="191">
        <f>'Input Rearing'!G3</f>
        <v>10000</v>
      </c>
      <c r="V116" s="191">
        <f ca="1">IF(T105=FALSE,U105,IF(T106=FALSE,U106,IF(T107=FALSE,U107,IF(T108=FALSE,U108,IF(T109=FALSE,U109,IF(T110=FALSE,U110,IF(T111=FALSE,U111,IF(T112=FALSE,U112,W116))))))))</f>
        <v>1</v>
      </c>
      <c r="W116" s="191">
        <f ca="1">IF(T112=FALSE,U112,IF(T113=FALSE,U113,1))</f>
        <v>1</v>
      </c>
    </row>
    <row r="117" spans="1:29" x14ac:dyDescent="0.2">
      <c r="A117" s="191" t="s">
        <v>559</v>
      </c>
      <c r="B117" s="191" t="str">
        <f>Language!B346</f>
        <v>AEW</v>
      </c>
      <c r="C117" s="191" t="str">
        <f>Language!B347</f>
        <v>Egg/hh</v>
      </c>
      <c r="D117" s="191" t="str">
        <f>Language!B348</f>
        <v>FCR</v>
      </c>
      <c r="E117" s="191" t="str">
        <f>Language!B349</f>
        <v>FCR egg</v>
      </c>
      <c r="F117" s="191" t="str">
        <f>Language!B350</f>
        <v>Cum feed cons</v>
      </c>
      <c r="G117" s="191" t="str">
        <f>Language!B351</f>
        <v>Week</v>
      </c>
      <c r="H117" s="191" t="s">
        <v>561</v>
      </c>
      <c r="P117" s="191" t="s">
        <v>420</v>
      </c>
      <c r="Q117" s="191">
        <f ca="1">Q116-Q115</f>
        <v>10000</v>
      </c>
      <c r="V117" s="191">
        <f ca="1">IF(T106=FALSE,U106,IF(T107=FALSE,U107,IF(T108=FALSE,U108,IF(T109=FALSE,U109,IF(T110=FALSE,U110,IF(T111=FALSE,U111,IF(T112=FALSE,U112,IF(T113=FALSE,U113,W117))))))))</f>
        <v>1</v>
      </c>
      <c r="W117" s="191">
        <f ca="1">IF(T113=FALSE,U113,1)</f>
        <v>1</v>
      </c>
    </row>
    <row r="118" spans="1:29" x14ac:dyDescent="0.2">
      <c r="B118" s="193">
        <f>MAX('Production data'!J14:J97)</f>
        <v>0</v>
      </c>
      <c r="C118" s="193">
        <f>MAX('Production data'!F14:F97)</f>
        <v>0</v>
      </c>
      <c r="D118" s="191" t="e">
        <f>VLOOKUP(9^9,'Production data'!V14:V97,1)</f>
        <v>#N/A</v>
      </c>
      <c r="E118" s="194" t="e">
        <f>VLOOKUP(9^9,'Production data'!$T$14:$T$97,1)</f>
        <v>#N/A</v>
      </c>
      <c r="F118" s="194">
        <f>MAX(T7:T90)</f>
        <v>0</v>
      </c>
      <c r="G118" s="194">
        <f>MAX(H118:H205)</f>
        <v>0</v>
      </c>
      <c r="H118" s="194">
        <f>IF('Input Laying'!N11=0,0,'Input Laying'!C11)</f>
        <v>0</v>
      </c>
      <c r="V118" s="191">
        <f ca="1">IF(T107=FALSE,U107,IF(T108=FALSE,U108,IF(T109=FALSE,U109,IF(T110=FALSE,U110,IF(T111=FALSE,U111,IF(T112=FALSE,U112,IF(T113=FALSE,U113,1)))))))</f>
        <v>1</v>
      </c>
      <c r="W118" s="191">
        <f>IF(T114=FALSE,U114,1)</f>
        <v>0</v>
      </c>
    </row>
    <row r="119" spans="1:29" x14ac:dyDescent="0.2">
      <c r="H119" s="194">
        <f>IF('Input Laying'!N12=0,0,'Input Laying'!C12)</f>
        <v>0</v>
      </c>
      <c r="V119" s="191">
        <f ca="1">IF(T108=FALSE,U108,IF(T109=FALSE,U109,IF(T110=FALSE,U110,IF(T111=FALSE,U111,IF(T112=FALSE,U112,IF(T113=FALSE,U113,1))))))</f>
        <v>1</v>
      </c>
      <c r="W119" s="191">
        <f>IF(T115=FALSE,U115,1)</f>
        <v>0</v>
      </c>
    </row>
    <row r="120" spans="1:29" x14ac:dyDescent="0.2">
      <c r="H120" s="194">
        <f>IF('Input Laying'!N13=0,0,'Input Laying'!C13)</f>
        <v>0</v>
      </c>
      <c r="V120" s="191">
        <f ca="1">IF(T109=FALSE,U109,IF(T110=FALSE,U110,IF(T111=FALSE,U111,IF(T112=FALSE,U112,IF(T113=FALSE,U113,1)))))</f>
        <v>1</v>
      </c>
      <c r="W120" s="191">
        <f>IF(T116=FALSE,U116,1)</f>
        <v>0</v>
      </c>
    </row>
    <row r="121" spans="1:29" x14ac:dyDescent="0.2">
      <c r="H121" s="194">
        <f>IF('Input Laying'!N14=0,0,'Input Laying'!C14)</f>
        <v>0</v>
      </c>
      <c r="V121" s="191">
        <f ca="1">IF(T110=FALSE,U110,IF(T111=FALSE,U111,IF(T112=FALSE,U112,IF(T113=FALSE,U113,1))))</f>
        <v>1</v>
      </c>
    </row>
    <row r="122" spans="1:29" x14ac:dyDescent="0.2">
      <c r="H122" s="194">
        <f>IF('Input Laying'!N15=0,0,'Input Laying'!C15)</f>
        <v>0</v>
      </c>
      <c r="V122" s="191">
        <f ca="1">IF(T111=FALSE,U111,IF(T112=FALSE,U112,IF(T113=FALSE,U113,1)))</f>
        <v>1</v>
      </c>
    </row>
    <row r="123" spans="1:29" x14ac:dyDescent="0.2">
      <c r="H123" s="194">
        <f>IF('Input Laying'!N16=0,0,'Input Laying'!C16)</f>
        <v>0</v>
      </c>
      <c r="V123" s="191">
        <f ca="1">IF(T112=FALSE,U112,IF(T113=FALSE,U113,1))</f>
        <v>1</v>
      </c>
    </row>
    <row r="124" spans="1:29" x14ac:dyDescent="0.2">
      <c r="H124" s="194">
        <f>IF('Input Laying'!N17=0,0,'Input Laying'!C17)</f>
        <v>0</v>
      </c>
      <c r="V124" s="191">
        <f ca="1">IF(T113=FALSE,U113,1)</f>
        <v>1</v>
      </c>
    </row>
    <row r="125" spans="1:29" x14ac:dyDescent="0.2">
      <c r="H125" s="194">
        <f>IF('Input Laying'!N18=0,0,'Input Laying'!C18)</f>
        <v>0</v>
      </c>
      <c r="V125" s="191">
        <f t="shared" ref="V125:V131" si="84">IF(T114=FALSE,U114,1)</f>
        <v>0</v>
      </c>
    </row>
    <row r="126" spans="1:29" x14ac:dyDescent="0.2">
      <c r="H126" s="194">
        <f>IF('Input Laying'!N19=0,0,'Input Laying'!C19)</f>
        <v>0</v>
      </c>
      <c r="V126" s="191">
        <f t="shared" si="84"/>
        <v>0</v>
      </c>
    </row>
    <row r="127" spans="1:29" x14ac:dyDescent="0.2">
      <c r="H127" s="194">
        <f>IF('Input Laying'!N20=0,0,'Input Laying'!C20)</f>
        <v>0</v>
      </c>
      <c r="V127" s="191">
        <f t="shared" si="84"/>
        <v>0</v>
      </c>
    </row>
    <row r="128" spans="1:29" x14ac:dyDescent="0.2">
      <c r="H128" s="194">
        <f>IF('Input Laying'!N21=0,0,'Input Laying'!C21)</f>
        <v>0</v>
      </c>
      <c r="V128" s="191">
        <f t="shared" si="84"/>
        <v>0</v>
      </c>
    </row>
    <row r="129" spans="8:22" x14ac:dyDescent="0.2">
      <c r="H129" s="194">
        <f>IF('Input Laying'!N22=0,0,'Input Laying'!C22)</f>
        <v>0</v>
      </c>
      <c r="V129" s="191">
        <f t="shared" si="84"/>
        <v>0</v>
      </c>
    </row>
    <row r="130" spans="8:22" x14ac:dyDescent="0.2">
      <c r="H130" s="194">
        <f>IF('Input Laying'!N23=0,0,'Input Laying'!C23)</f>
        <v>0</v>
      </c>
      <c r="V130" s="191">
        <f t="shared" si="84"/>
        <v>0</v>
      </c>
    </row>
    <row r="131" spans="8:22" x14ac:dyDescent="0.2">
      <c r="H131" s="194">
        <f>IF('Input Laying'!N24=0,0,'Input Laying'!C24)</f>
        <v>0</v>
      </c>
      <c r="V131" s="191">
        <f t="shared" si="84"/>
        <v>0</v>
      </c>
    </row>
    <row r="132" spans="8:22" x14ac:dyDescent="0.2">
      <c r="H132" s="194">
        <f>IF('Input Laying'!N25=0,0,'Input Laying'!C25)</f>
        <v>0</v>
      </c>
    </row>
    <row r="133" spans="8:22" x14ac:dyDescent="0.2">
      <c r="H133" s="194">
        <f>IF('Input Laying'!N26=0,0,'Input Laying'!C26)</f>
        <v>0</v>
      </c>
    </row>
    <row r="134" spans="8:22" x14ac:dyDescent="0.2">
      <c r="H134" s="194">
        <f>IF('Input Laying'!N27=0,0,'Input Laying'!C27)</f>
        <v>0</v>
      </c>
    </row>
    <row r="135" spans="8:22" x14ac:dyDescent="0.2">
      <c r="H135" s="194">
        <f>IF('Input Laying'!N28=0,0,'Input Laying'!C28)</f>
        <v>0</v>
      </c>
    </row>
    <row r="136" spans="8:22" x14ac:dyDescent="0.2">
      <c r="H136" s="194">
        <f>IF('Input Laying'!N29=0,0,'Input Laying'!C29)</f>
        <v>0</v>
      </c>
    </row>
    <row r="137" spans="8:22" x14ac:dyDescent="0.2">
      <c r="H137" s="194">
        <f>IF('Input Laying'!N30=0,0,'Input Laying'!C30)</f>
        <v>0</v>
      </c>
    </row>
    <row r="138" spans="8:22" x14ac:dyDescent="0.2">
      <c r="H138" s="194">
        <f>IF('Input Laying'!N31=0,0,'Input Laying'!C31)</f>
        <v>0</v>
      </c>
    </row>
    <row r="139" spans="8:22" x14ac:dyDescent="0.2">
      <c r="H139" s="194">
        <f>IF('Input Laying'!N32=0,0,'Input Laying'!C32)</f>
        <v>0</v>
      </c>
    </row>
    <row r="140" spans="8:22" x14ac:dyDescent="0.2">
      <c r="H140" s="194">
        <f>IF('Input Laying'!N33=0,0,'Input Laying'!C33)</f>
        <v>0</v>
      </c>
    </row>
    <row r="141" spans="8:22" x14ac:dyDescent="0.2">
      <c r="H141" s="194">
        <f>IF('Input Laying'!N34=0,0,'Input Laying'!C34)</f>
        <v>0</v>
      </c>
    </row>
    <row r="142" spans="8:22" x14ac:dyDescent="0.2">
      <c r="H142" s="194">
        <f>IF('Input Laying'!N35=0,0,'Input Laying'!C35)</f>
        <v>0</v>
      </c>
    </row>
    <row r="143" spans="8:22" x14ac:dyDescent="0.2">
      <c r="H143" s="194">
        <f>IF('Input Laying'!N36=0,0,'Input Laying'!C36)</f>
        <v>0</v>
      </c>
    </row>
    <row r="144" spans="8:22" x14ac:dyDescent="0.2">
      <c r="H144" s="194">
        <f>IF('Input Laying'!N37=0,0,'Input Laying'!C37)</f>
        <v>0</v>
      </c>
    </row>
    <row r="145" spans="8:8" x14ac:dyDescent="0.2">
      <c r="H145" s="194">
        <f>IF('Input Laying'!N38=0,0,'Input Laying'!C38)</f>
        <v>0</v>
      </c>
    </row>
    <row r="146" spans="8:8" x14ac:dyDescent="0.2">
      <c r="H146" s="194">
        <f>IF('Input Laying'!N39=0,0,'Input Laying'!C39)</f>
        <v>0</v>
      </c>
    </row>
    <row r="147" spans="8:8" x14ac:dyDescent="0.2">
      <c r="H147" s="194">
        <f>IF('Input Laying'!N40=0,0,'Input Laying'!C40)</f>
        <v>0</v>
      </c>
    </row>
    <row r="148" spans="8:8" x14ac:dyDescent="0.2">
      <c r="H148" s="194">
        <f>IF('Input Laying'!N41=0,0,'Input Laying'!C41)</f>
        <v>0</v>
      </c>
    </row>
    <row r="149" spans="8:8" x14ac:dyDescent="0.2">
      <c r="H149" s="194">
        <f>IF('Input Laying'!N42=0,0,'Input Laying'!C42)</f>
        <v>0</v>
      </c>
    </row>
    <row r="150" spans="8:8" x14ac:dyDescent="0.2">
      <c r="H150" s="194">
        <f>IF('Input Laying'!N43=0,0,'Input Laying'!C43)</f>
        <v>0</v>
      </c>
    </row>
    <row r="151" spans="8:8" x14ac:dyDescent="0.2">
      <c r="H151" s="194">
        <f>IF('Input Laying'!N44=0,0,'Input Laying'!C44)</f>
        <v>0</v>
      </c>
    </row>
    <row r="152" spans="8:8" x14ac:dyDescent="0.2">
      <c r="H152" s="194">
        <f>IF('Input Laying'!N45=0,0,'Input Laying'!C45)</f>
        <v>0</v>
      </c>
    </row>
    <row r="153" spans="8:8" x14ac:dyDescent="0.2">
      <c r="H153" s="194">
        <f>IF('Input Laying'!N46=0,0,'Input Laying'!C46)</f>
        <v>0</v>
      </c>
    </row>
    <row r="154" spans="8:8" x14ac:dyDescent="0.2">
      <c r="H154" s="194">
        <f>IF('Input Laying'!N47=0,0,'Input Laying'!C47)</f>
        <v>0</v>
      </c>
    </row>
    <row r="155" spans="8:8" x14ac:dyDescent="0.2">
      <c r="H155" s="194">
        <f>IF('Input Laying'!N48=0,0,'Input Laying'!C48)</f>
        <v>0</v>
      </c>
    </row>
    <row r="156" spans="8:8" x14ac:dyDescent="0.2">
      <c r="H156" s="194">
        <f>IF('Input Laying'!N49=0,0,'Input Laying'!C49)</f>
        <v>0</v>
      </c>
    </row>
    <row r="157" spans="8:8" x14ac:dyDescent="0.2">
      <c r="H157" s="194">
        <f>IF('Input Laying'!N50=0,0,'Input Laying'!C50)</f>
        <v>0</v>
      </c>
    </row>
    <row r="158" spans="8:8" x14ac:dyDescent="0.2">
      <c r="H158" s="194">
        <f>IF('Input Laying'!N51=0,0,'Input Laying'!C51)</f>
        <v>0</v>
      </c>
    </row>
    <row r="159" spans="8:8" x14ac:dyDescent="0.2">
      <c r="H159" s="194">
        <f>IF('Input Laying'!N52=0,0,'Input Laying'!C52)</f>
        <v>0</v>
      </c>
    </row>
    <row r="160" spans="8:8" x14ac:dyDescent="0.2">
      <c r="H160" s="194">
        <f>IF('Input Laying'!N53=0,0,'Input Laying'!C53)</f>
        <v>0</v>
      </c>
    </row>
    <row r="161" spans="8:8" x14ac:dyDescent="0.2">
      <c r="H161" s="194">
        <f>IF('Input Laying'!N54=0,0,'Input Laying'!C54)</f>
        <v>0</v>
      </c>
    </row>
    <row r="162" spans="8:8" x14ac:dyDescent="0.2">
      <c r="H162" s="194">
        <f>IF('Input Laying'!N55=0,0,'Input Laying'!C55)</f>
        <v>0</v>
      </c>
    </row>
    <row r="163" spans="8:8" x14ac:dyDescent="0.2">
      <c r="H163" s="194">
        <f>IF('Input Laying'!N56=0,0,'Input Laying'!C56)</f>
        <v>0</v>
      </c>
    </row>
    <row r="164" spans="8:8" x14ac:dyDescent="0.2">
      <c r="H164" s="194">
        <f>IF('Input Laying'!N57=0,0,'Input Laying'!C57)</f>
        <v>0</v>
      </c>
    </row>
    <row r="165" spans="8:8" x14ac:dyDescent="0.2">
      <c r="H165" s="194">
        <f>IF('Input Laying'!N58=0,0,'Input Laying'!C58)</f>
        <v>0</v>
      </c>
    </row>
    <row r="166" spans="8:8" x14ac:dyDescent="0.2">
      <c r="H166" s="194">
        <f>IF('Input Laying'!N59=0,0,'Input Laying'!C59)</f>
        <v>0</v>
      </c>
    </row>
    <row r="167" spans="8:8" x14ac:dyDescent="0.2">
      <c r="H167" s="194">
        <f>IF('Input Laying'!N60=0,0,'Input Laying'!C60)</f>
        <v>0</v>
      </c>
    </row>
    <row r="168" spans="8:8" x14ac:dyDescent="0.2">
      <c r="H168" s="194">
        <f>IF('Input Laying'!N61=0,0,'Input Laying'!C61)</f>
        <v>0</v>
      </c>
    </row>
    <row r="169" spans="8:8" x14ac:dyDescent="0.2">
      <c r="H169" s="194">
        <f>IF('Input Laying'!N62=0,0,'Input Laying'!C62)</f>
        <v>0</v>
      </c>
    </row>
    <row r="170" spans="8:8" x14ac:dyDescent="0.2">
      <c r="H170" s="194">
        <f>IF('Input Laying'!N63=0,0,'Input Laying'!C63)</f>
        <v>0</v>
      </c>
    </row>
    <row r="171" spans="8:8" x14ac:dyDescent="0.2">
      <c r="H171" s="194">
        <f>IF('Input Laying'!N64=0,0,'Input Laying'!C64)</f>
        <v>0</v>
      </c>
    </row>
    <row r="172" spans="8:8" x14ac:dyDescent="0.2">
      <c r="H172" s="194">
        <f>IF('Input Laying'!N65=0,0,'Input Laying'!C65)</f>
        <v>0</v>
      </c>
    </row>
    <row r="173" spans="8:8" x14ac:dyDescent="0.2">
      <c r="H173" s="194">
        <f>IF('Input Laying'!N66=0,0,'Input Laying'!C66)</f>
        <v>0</v>
      </c>
    </row>
    <row r="174" spans="8:8" x14ac:dyDescent="0.2">
      <c r="H174" s="194">
        <f>IF('Input Laying'!N67=0,0,'Input Laying'!C67)</f>
        <v>0</v>
      </c>
    </row>
    <row r="175" spans="8:8" x14ac:dyDescent="0.2">
      <c r="H175" s="194">
        <f>IF('Input Laying'!N68=0,0,'Input Laying'!C68)</f>
        <v>0</v>
      </c>
    </row>
    <row r="176" spans="8:8" x14ac:dyDescent="0.2">
      <c r="H176" s="194">
        <f>IF('Input Laying'!N69=0,0,'Input Laying'!C69)</f>
        <v>0</v>
      </c>
    </row>
    <row r="177" spans="8:8" x14ac:dyDescent="0.2">
      <c r="H177" s="194">
        <f>IF('Input Laying'!N70=0,0,'Input Laying'!C70)</f>
        <v>0</v>
      </c>
    </row>
    <row r="178" spans="8:8" x14ac:dyDescent="0.2">
      <c r="H178" s="194">
        <f>IF('Input Laying'!N71=0,0,'Input Laying'!C71)</f>
        <v>0</v>
      </c>
    </row>
    <row r="179" spans="8:8" x14ac:dyDescent="0.2">
      <c r="H179" s="194">
        <f>IF('Input Laying'!N72=0,0,'Input Laying'!C72)</f>
        <v>0</v>
      </c>
    </row>
    <row r="180" spans="8:8" x14ac:dyDescent="0.2">
      <c r="H180" s="194">
        <f>IF('Input Laying'!N73=0,0,'Input Laying'!C73)</f>
        <v>0</v>
      </c>
    </row>
    <row r="181" spans="8:8" x14ac:dyDescent="0.2">
      <c r="H181" s="194">
        <f>IF('Input Laying'!N74=0,0,'Input Laying'!C74)</f>
        <v>0</v>
      </c>
    </row>
    <row r="182" spans="8:8" x14ac:dyDescent="0.2">
      <c r="H182" s="194">
        <f>IF('Input Laying'!N75=0,0,'Input Laying'!C75)</f>
        <v>0</v>
      </c>
    </row>
    <row r="183" spans="8:8" x14ac:dyDescent="0.2">
      <c r="H183" s="194">
        <f>IF('Input Laying'!N76=0,0,'Input Laying'!C76)</f>
        <v>0</v>
      </c>
    </row>
    <row r="184" spans="8:8" x14ac:dyDescent="0.2">
      <c r="H184" s="194">
        <f>IF('Input Laying'!N77=0,0,'Input Laying'!C77)</f>
        <v>0</v>
      </c>
    </row>
    <row r="185" spans="8:8" x14ac:dyDescent="0.2">
      <c r="H185" s="194">
        <f>IF('Input Laying'!N78=0,0,'Input Laying'!C78)</f>
        <v>0</v>
      </c>
    </row>
    <row r="186" spans="8:8" x14ac:dyDescent="0.2">
      <c r="H186" s="194">
        <f>IF('Input Laying'!N79=0,0,'Input Laying'!C79)</f>
        <v>0</v>
      </c>
    </row>
    <row r="187" spans="8:8" x14ac:dyDescent="0.2">
      <c r="H187" s="194">
        <f>IF('Input Laying'!N80=0,0,'Input Laying'!C80)</f>
        <v>0</v>
      </c>
    </row>
    <row r="188" spans="8:8" x14ac:dyDescent="0.2">
      <c r="H188" s="194">
        <f>IF('Input Laying'!N81=0,0,'Input Laying'!C81)</f>
        <v>0</v>
      </c>
    </row>
    <row r="189" spans="8:8" x14ac:dyDescent="0.2">
      <c r="H189" s="194">
        <f>IF('Input Laying'!N82=0,0,'Input Laying'!C82)</f>
        <v>0</v>
      </c>
    </row>
    <row r="190" spans="8:8" x14ac:dyDescent="0.2">
      <c r="H190" s="194">
        <f>IF('Input Laying'!N83=0,0,'Input Laying'!C83)</f>
        <v>0</v>
      </c>
    </row>
    <row r="191" spans="8:8" x14ac:dyDescent="0.2">
      <c r="H191" s="194">
        <f>IF('Input Laying'!N84=0,0,'Input Laying'!C84)</f>
        <v>0</v>
      </c>
    </row>
    <row r="192" spans="8:8" x14ac:dyDescent="0.2">
      <c r="H192" s="194">
        <f>IF('Input Laying'!N85=0,0,'Input Laying'!C85)</f>
        <v>0</v>
      </c>
    </row>
    <row r="193" spans="8:8" x14ac:dyDescent="0.2">
      <c r="H193" s="194">
        <f>IF('Input Laying'!N86=0,0,'Input Laying'!C86)</f>
        <v>0</v>
      </c>
    </row>
    <row r="194" spans="8:8" x14ac:dyDescent="0.2">
      <c r="H194" s="194">
        <f>IF('Input Laying'!N87=0,0,'Input Laying'!C87)</f>
        <v>0</v>
      </c>
    </row>
    <row r="195" spans="8:8" x14ac:dyDescent="0.2">
      <c r="H195" s="194">
        <f>IF('Input Laying'!N88=0,0,'Input Laying'!C88)</f>
        <v>0</v>
      </c>
    </row>
    <row r="196" spans="8:8" x14ac:dyDescent="0.2">
      <c r="H196" s="194">
        <f>IF('Input Laying'!N89=0,0,'Input Laying'!C89)</f>
        <v>0</v>
      </c>
    </row>
    <row r="197" spans="8:8" x14ac:dyDescent="0.2">
      <c r="H197" s="194">
        <f>IF('Input Laying'!N90=0,0,'Input Laying'!C90)</f>
        <v>0</v>
      </c>
    </row>
    <row r="198" spans="8:8" x14ac:dyDescent="0.2">
      <c r="H198" s="194">
        <f>IF('Input Laying'!N91=0,0,'Input Laying'!C91)</f>
        <v>0</v>
      </c>
    </row>
    <row r="199" spans="8:8" x14ac:dyDescent="0.2">
      <c r="H199" s="194">
        <f>IF('Input Laying'!N92=0,0,'Input Laying'!C92)</f>
        <v>0</v>
      </c>
    </row>
    <row r="200" spans="8:8" x14ac:dyDescent="0.2">
      <c r="H200" s="194">
        <f>IF('Input Laying'!N93=0,0,'Input Laying'!C93)</f>
        <v>0</v>
      </c>
    </row>
    <row r="201" spans="8:8" x14ac:dyDescent="0.2">
      <c r="H201" s="194">
        <f>IF('Input Laying'!N94=0,0,'Input Laying'!C94)</f>
        <v>0</v>
      </c>
    </row>
    <row r="202" spans="8:8" x14ac:dyDescent="0.2">
      <c r="H202" s="194">
        <f>IF('Input Laying'!N95=0,0,'Input Laying'!C95)</f>
        <v>0</v>
      </c>
    </row>
    <row r="203" spans="8:8" x14ac:dyDescent="0.2">
      <c r="H203" s="194">
        <f>IF('Input Laying'!N96=0,0,'Input Laying'!C96)</f>
        <v>0</v>
      </c>
    </row>
    <row r="204" spans="8:8" x14ac:dyDescent="0.2">
      <c r="H204" s="194">
        <f>IF('Input Laying'!N97=0,0,'Input Laying'!C97)</f>
        <v>0</v>
      </c>
    </row>
    <row r="205" spans="8:8" x14ac:dyDescent="0.2">
      <c r="H205" s="194">
        <f>IF('Input Laying'!N98=0,0,'Input Laying'!C98)</f>
        <v>0</v>
      </c>
    </row>
    <row r="206" spans="8:8" x14ac:dyDescent="0.2">
      <c r="H206" s="194">
        <f>IF('Input Laying'!N99=0,0,'Input Laying'!C99)</f>
        <v>0</v>
      </c>
    </row>
    <row r="207" spans="8:8" x14ac:dyDescent="0.2">
      <c r="H207" s="194">
        <f>IF('Input Laying'!N100=0,0,'Input Laying'!C100)</f>
        <v>0</v>
      </c>
    </row>
    <row r="208" spans="8:8" x14ac:dyDescent="0.2">
      <c r="H208" s="194">
        <f>IF('Input Laying'!N101=0,0,'Input Laying'!C101)</f>
        <v>0</v>
      </c>
    </row>
    <row r="209" spans="8:8" x14ac:dyDescent="0.2">
      <c r="H209" s="194">
        <f>IF('Input Laying'!N102=0,0,'Input Laying'!C102)</f>
        <v>0</v>
      </c>
    </row>
    <row r="210" spans="8:8" x14ac:dyDescent="0.2">
      <c r="H210" s="194">
        <f>IF('Input Laying'!N103=0,0,'Input Laying'!C103)</f>
        <v>0</v>
      </c>
    </row>
    <row r="211" spans="8:8" x14ac:dyDescent="0.2">
      <c r="H211" s="194">
        <f>IF('Input Laying'!N104=0,0,'Input Laying'!C104)</f>
        <v>0</v>
      </c>
    </row>
    <row r="212" spans="8:8" x14ac:dyDescent="0.2">
      <c r="H212" s="194">
        <f>IF('Input Laying'!N105=0,0,'Input Laying'!C105)</f>
        <v>0</v>
      </c>
    </row>
    <row r="213" spans="8:8" x14ac:dyDescent="0.2">
      <c r="H213" s="194">
        <f>IF('Input Laying'!N106=0,0,'Input Laying'!C106)</f>
        <v>0</v>
      </c>
    </row>
    <row r="214" spans="8:8" x14ac:dyDescent="0.2">
      <c r="H214" s="194">
        <f>IF('Input Laying'!N107=0,0,'Input Laying'!C107)</f>
        <v>0</v>
      </c>
    </row>
    <row r="215" spans="8:8" x14ac:dyDescent="0.2">
      <c r="H215" s="194">
        <f>IF('Input Laying'!N108=0,0,'Input Laying'!C108)</f>
        <v>0</v>
      </c>
    </row>
  </sheetData>
  <sheetProtection selectLockedCells="1"/>
  <phoneticPr fontId="0" type="noConversion"/>
  <pageMargins left="0.75" right="0.75" top="1" bottom="1" header="0.4921259845" footer="0.4921259845"/>
  <pageSetup paperSize="8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03">
    <tabColor theme="0"/>
  </sheetPr>
  <dimension ref="A1:AB87"/>
  <sheetViews>
    <sheetView topLeftCell="D1" zoomScaleNormal="100" workbookViewId="0">
      <selection activeCell="Q4" sqref="Q4"/>
    </sheetView>
  </sheetViews>
  <sheetFormatPr defaultColWidth="9.140625" defaultRowHeight="12.75" x14ac:dyDescent="0.2"/>
  <cols>
    <col min="2" max="3" width="10.140625" bestFit="1" customWidth="1"/>
  </cols>
  <sheetData>
    <row r="1" spans="1:28" x14ac:dyDescent="0.2">
      <c r="A1" t="s">
        <v>980</v>
      </c>
      <c r="B1" t="s">
        <v>552</v>
      </c>
      <c r="E1" t="s">
        <v>398</v>
      </c>
      <c r="P1" t="s">
        <v>399</v>
      </c>
    </row>
    <row r="2" spans="1:28" x14ac:dyDescent="0.2">
      <c r="A2" t="s">
        <v>401</v>
      </c>
      <c r="B2" s="52">
        <f>C19</f>
        <v>0</v>
      </c>
      <c r="D2" t="s">
        <v>406</v>
      </c>
      <c r="E2" t="str">
        <f>IF('Input Rearing'!G1="","",'Input Rearing'!G1)</f>
        <v/>
      </c>
      <c r="P2" t="s">
        <v>407</v>
      </c>
      <c r="Q2">
        <f>'Input Laying'!$G$6</f>
        <v>0</v>
      </c>
    </row>
    <row r="3" spans="1:28" x14ac:dyDescent="0.2">
      <c r="A3" t="s">
        <v>562</v>
      </c>
      <c r="B3" t="str">
        <f>IF('General Input'!B17="","",'General Input'!B17)</f>
        <v>ISA BROWN</v>
      </c>
      <c r="D3" t="s">
        <v>535</v>
      </c>
      <c r="E3">
        <f ca="1">IF(OR('Graph values'!Q117="",'Graph values'!Q117=0),"",'Graph values'!Q117)</f>
        <v>10000</v>
      </c>
      <c r="F3" t="s">
        <v>539</v>
      </c>
      <c r="G3" t="s">
        <v>540</v>
      </c>
      <c r="H3" t="s">
        <v>408</v>
      </c>
      <c r="I3" t="s">
        <v>541</v>
      </c>
      <c r="J3" t="s">
        <v>542</v>
      </c>
      <c r="K3" t="s">
        <v>543</v>
      </c>
      <c r="L3" t="s">
        <v>544</v>
      </c>
      <c r="M3" t="s">
        <v>545</v>
      </c>
      <c r="N3" t="s">
        <v>974</v>
      </c>
      <c r="O3" t="s">
        <v>973</v>
      </c>
      <c r="Q3" t="s">
        <v>423</v>
      </c>
      <c r="R3" t="s">
        <v>424</v>
      </c>
      <c r="S3" t="s">
        <v>425</v>
      </c>
      <c r="T3" t="s">
        <v>426</v>
      </c>
      <c r="U3" t="s">
        <v>427</v>
      </c>
      <c r="V3" t="s">
        <v>428</v>
      </c>
      <c r="W3" t="s">
        <v>975</v>
      </c>
      <c r="X3" t="s">
        <v>431</v>
      </c>
      <c r="Y3" t="s">
        <v>430</v>
      </c>
      <c r="Z3" t="s">
        <v>542</v>
      </c>
      <c r="AA3" t="s">
        <v>429</v>
      </c>
      <c r="AB3" t="s">
        <v>973</v>
      </c>
    </row>
    <row r="4" spans="1:28" x14ac:dyDescent="0.2">
      <c r="A4" t="s">
        <v>580</v>
      </c>
      <c r="B4" t="str">
        <f>IF(ISNA(Diverse!N2),"",Diverse!N2)</f>
        <v/>
      </c>
      <c r="D4" t="s">
        <v>581</v>
      </c>
      <c r="E4" t="str">
        <f>IF(ISNA(Diverse!O15),"",Diverse!O15)</f>
        <v/>
      </c>
      <c r="F4">
        <v>1</v>
      </c>
      <c r="G4" t="str">
        <f ca="1">IF(OR('Graph values'!X96="",'Graph values'!X96=0),"",'Graph values'!X96)</f>
        <v/>
      </c>
      <c r="H4" t="str">
        <f ca="1">IF(OR('Graph values'!Q96="",'Graph values'!Q96=0),"",'Graph values'!Q96)</f>
        <v/>
      </c>
      <c r="I4" t="str">
        <f ca="1">IF(ISNA('Graph values'!D96),"",'Graph values'!D96)</f>
        <v/>
      </c>
      <c r="J4" t="str">
        <f ca="1">IF(ISNA('Graph values'!F96*100),"",'Graph values'!F96*100)</f>
        <v/>
      </c>
      <c r="K4">
        <f ca="1">OFFSET('Input Rearing'!S12,'Graph values'!O96,0)</f>
        <v>0</v>
      </c>
      <c r="L4" s="191">
        <f ca="1">'Graph values'!Z96</f>
        <v>0</v>
      </c>
      <c r="M4" t="str">
        <f ca="1">OFFSET('Input Rearing'!AC12,'Graph values'!O96,0)</f>
        <v/>
      </c>
      <c r="N4" t="str">
        <f ca="1">OFFSET('Input Rearing'!AE12,'Graph values'!O96,0)</f>
        <v/>
      </c>
      <c r="O4">
        <f ca="1">OFFSET('Input Rearing'!AF12,'Graph values'!O96,0)</f>
        <v>0</v>
      </c>
      <c r="P4">
        <v>17</v>
      </c>
      <c r="Q4" t="str">
        <f>IF(OR('Input Laying'!E15="",'Input Laying'!E15=0),"",'Input Laying'!E15)</f>
        <v/>
      </c>
      <c r="R4" t="str">
        <f>IF(OR('Input Laying'!N15="",'Input Laying'!N15=0),"",'Input Laying'!N15)</f>
        <v/>
      </c>
      <c r="S4" t="str">
        <f>IF(OR('Input Laying'!T15="",'Input Laying'!T15=0),"",'Input Laying'!T15)</f>
        <v/>
      </c>
      <c r="T4" t="str">
        <f>IF(OR('Input Laying'!U15="",'Input Laying'!U15=0),"",'Input Laying'!U15)</f>
        <v/>
      </c>
      <c r="U4" t="str">
        <f>IF(OR('Input Laying'!X15="",'Input Laying'!X15=0),"",'Input Laying'!X15)</f>
        <v/>
      </c>
      <c r="V4" t="str">
        <f>IF(OR('Input Laying'!Z15="",'Input Laying'!Z15=0),"",'Input Laying'!Z15)</f>
        <v/>
      </c>
      <c r="W4" t="str">
        <f>IF('Input Laying'!AC15="","",'Input Laying'!AC15)</f>
        <v/>
      </c>
      <c r="X4" t="str">
        <f>IF('Input Laying'!AD15="","",'Input Laying'!AD15)</f>
        <v/>
      </c>
      <c r="Y4" t="str">
        <f>IF('Input Laying'!AE15="","",'Input Laying'!AE15)</f>
        <v/>
      </c>
      <c r="Z4" t="str">
        <f>IF('Input Laying'!AG15="","",'Input Laying'!AG15)</f>
        <v/>
      </c>
      <c r="AA4" t="str">
        <f>IF(OR('Input Laying'!AH15=0,'Input Laying'!AH15=""),"",'Input Laying'!AH15)</f>
        <v/>
      </c>
      <c r="AB4" t="str">
        <f>IF('Input Laying'!AJ15="","",'Input Laying'!AJ15)</f>
        <v/>
      </c>
    </row>
    <row r="5" spans="1:28" x14ac:dyDescent="0.2">
      <c r="A5" t="s">
        <v>403</v>
      </c>
      <c r="B5" t="str">
        <f>(IF('General Input'!B19="","",'General Input'!B19))</f>
        <v/>
      </c>
      <c r="D5" t="s">
        <v>1368</v>
      </c>
      <c r="E5" t="str">
        <f>IF('Input Rearing'!G7="","",'Input Rearing'!G7)</f>
        <v/>
      </c>
      <c r="F5">
        <v>2</v>
      </c>
      <c r="G5" t="str">
        <f ca="1">IF(OR('Graph values'!X97="",'Graph values'!X97=0),"",'Graph values'!X97)</f>
        <v/>
      </c>
      <c r="H5" t="str">
        <f ca="1">IF(OR('Graph values'!Q97="",'Graph values'!Q97=0),"",'Graph values'!Q97)</f>
        <v/>
      </c>
      <c r="I5" t="str">
        <f ca="1">IF(ISNA('Graph values'!D97),"",'Graph values'!D97)</f>
        <v/>
      </c>
      <c r="J5" t="str">
        <f ca="1">IF(ISNA('Graph values'!F97*100),"",'Graph values'!F97*100)</f>
        <v/>
      </c>
      <c r="K5">
        <f ca="1">OFFSET('Input Rearing'!S13,'Graph values'!O97,0)</f>
        <v>0</v>
      </c>
      <c r="L5" s="191">
        <f ca="1">'Graph values'!Z97</f>
        <v>0</v>
      </c>
      <c r="M5" t="str">
        <f ca="1">OFFSET('Input Rearing'!AC13,'Graph values'!O97,0)</f>
        <v/>
      </c>
      <c r="N5" t="str">
        <f ca="1">OFFSET('Input Rearing'!AE13,'Graph values'!O97,0)</f>
        <v/>
      </c>
      <c r="O5">
        <f ca="1">OFFSET('Input Rearing'!AF13,'Graph values'!O97,0)</f>
        <v>0</v>
      </c>
      <c r="P5">
        <v>18</v>
      </c>
      <c r="Q5" t="str">
        <f>IF(OR('Input Laying'!E16="",'Input Laying'!E16=0),"",'Input Laying'!E16)</f>
        <v/>
      </c>
      <c r="R5" t="str">
        <f>IF(OR('Input Laying'!N16="",'Input Laying'!N16=0),"",'Input Laying'!N16)</f>
        <v/>
      </c>
      <c r="S5" t="str">
        <f>IF(OR('Input Laying'!T16="",'Input Laying'!T16=0),"",'Input Laying'!T16)</f>
        <v/>
      </c>
      <c r="T5" t="str">
        <f>IF(OR('Input Laying'!U16="",'Input Laying'!U16=0),"",'Input Laying'!U16)</f>
        <v/>
      </c>
      <c r="U5" t="str">
        <f>IF(OR('Input Laying'!X16="",'Input Laying'!X16=0),"",'Input Laying'!X16)</f>
        <v/>
      </c>
      <c r="V5" t="str">
        <f>IF(OR('Input Laying'!Z16="",'Input Laying'!Z16=0),"",'Input Laying'!Z16)</f>
        <v/>
      </c>
      <c r="W5" t="str">
        <f>IF('Input Laying'!AC16="","",'Input Laying'!AC16)</f>
        <v/>
      </c>
      <c r="X5" t="str">
        <f>IF('Input Laying'!AD16="","",'Input Laying'!AD16)</f>
        <v/>
      </c>
      <c r="Y5" t="str">
        <f>IF('Input Laying'!AE16="","",'Input Laying'!AE16)</f>
        <v/>
      </c>
      <c r="Z5" t="str">
        <f>IF('Input Laying'!AG16="","",'Input Laying'!AG16)</f>
        <v/>
      </c>
      <c r="AA5" t="str">
        <f>IF(OR('Input Laying'!AH16=0,'Input Laying'!AH16=""),"",'Input Laying'!AH16)</f>
        <v/>
      </c>
      <c r="AB5" t="str">
        <f>IF('Input Laying'!AJ16="","",'Input Laying'!AJ16)</f>
        <v/>
      </c>
    </row>
    <row r="6" spans="1:28" x14ac:dyDescent="0.2">
      <c r="A6" t="s">
        <v>402</v>
      </c>
      <c r="B6" t="str">
        <f>IF('General Input'!B20="","",'General Input'!B20)</f>
        <v/>
      </c>
      <c r="F6">
        <v>3</v>
      </c>
      <c r="G6" t="str">
        <f ca="1">IF(OR('Graph values'!X98="",'Graph values'!X98=0),"",'Graph values'!X98)</f>
        <v/>
      </c>
      <c r="H6" t="str">
        <f ca="1">IF(OR('Graph values'!Q98="",'Graph values'!Q98=0),"",'Graph values'!Q98)</f>
        <v/>
      </c>
      <c r="I6" t="str">
        <f ca="1">IF(ISNA('Graph values'!D98),"",'Graph values'!D98)</f>
        <v/>
      </c>
      <c r="J6" t="str">
        <f ca="1">IF(ISNA('Graph values'!F98*100),"",'Graph values'!F98*100)</f>
        <v/>
      </c>
      <c r="K6">
        <f ca="1">OFFSET('Input Rearing'!S14,'Graph values'!O98,0)</f>
        <v>0</v>
      </c>
      <c r="L6" s="191">
        <f ca="1">'Graph values'!Z98</f>
        <v>0</v>
      </c>
      <c r="M6" t="str">
        <f ca="1">OFFSET('Input Rearing'!AC14,'Graph values'!O98,0)</f>
        <v/>
      </c>
      <c r="N6" t="str">
        <f ca="1">OFFSET('Input Rearing'!AE14,'Graph values'!O98,0)</f>
        <v/>
      </c>
      <c r="O6">
        <f ca="1">OFFSET('Input Rearing'!AF14,'Graph values'!O98,0)</f>
        <v>0</v>
      </c>
      <c r="P6">
        <v>19</v>
      </c>
      <c r="Q6" t="str">
        <f>IF(OR('Input Laying'!E17="",'Input Laying'!E17=0),"",'Input Laying'!E17)</f>
        <v/>
      </c>
      <c r="R6" t="str">
        <f>IF(OR('Input Laying'!N17="",'Input Laying'!N17=0),"",'Input Laying'!N17)</f>
        <v/>
      </c>
      <c r="S6" t="str">
        <f>IF(OR('Input Laying'!T17="",'Input Laying'!T17=0),"",'Input Laying'!T17)</f>
        <v/>
      </c>
      <c r="T6" t="str">
        <f>IF(OR('Input Laying'!U17="",'Input Laying'!U17=0),"",'Input Laying'!U17)</f>
        <v/>
      </c>
      <c r="U6" t="str">
        <f>IF(OR('Input Laying'!X17="",'Input Laying'!X17=0),"",'Input Laying'!X17)</f>
        <v/>
      </c>
      <c r="V6" t="str">
        <f>IF(OR('Input Laying'!Z17="",'Input Laying'!Z17=0),"",'Input Laying'!Z17)</f>
        <v/>
      </c>
      <c r="W6" t="str">
        <f>IF('Input Laying'!AC17="","",'Input Laying'!AC17)</f>
        <v/>
      </c>
      <c r="X6" t="str">
        <f>IF('Input Laying'!AD17="","",'Input Laying'!AD17)</f>
        <v/>
      </c>
      <c r="Y6" t="str">
        <f>IF('Input Laying'!AE17="","",'Input Laying'!AE17)</f>
        <v/>
      </c>
      <c r="Z6" t="str">
        <f>IF('Input Laying'!AG17="","",'Input Laying'!AG17)</f>
        <v/>
      </c>
      <c r="AA6" t="str">
        <f>IF(OR('Input Laying'!AH17=0,'Input Laying'!AH17=""),"",'Input Laying'!AH17)</f>
        <v/>
      </c>
      <c r="AB6" t="str">
        <f>IF('Input Laying'!AJ17="","",'Input Laying'!AJ17)</f>
        <v/>
      </c>
    </row>
    <row r="7" spans="1:28" x14ac:dyDescent="0.2">
      <c r="A7" t="s">
        <v>404</v>
      </c>
      <c r="B7" t="str">
        <f>IF('General Input'!B21="","",'General Input'!B21)</f>
        <v/>
      </c>
      <c r="F7">
        <v>4</v>
      </c>
      <c r="G7" t="str">
        <f ca="1">IF(OR('Graph values'!X99="",'Graph values'!X99=0),"",'Graph values'!X99)</f>
        <v/>
      </c>
      <c r="H7" t="str">
        <f ca="1">IF(OR('Graph values'!Q99="",'Graph values'!Q99=0),"",'Graph values'!Q99)</f>
        <v/>
      </c>
      <c r="I7" t="str">
        <f ca="1">IF(ISNA('Graph values'!D99),"",'Graph values'!D99)</f>
        <v/>
      </c>
      <c r="J7" t="str">
        <f ca="1">IF(ISNA('Graph values'!F99*100),"",'Graph values'!F99*100)</f>
        <v/>
      </c>
      <c r="K7">
        <f ca="1">OFFSET('Input Rearing'!S15,'Graph values'!O99,0)</f>
        <v>0</v>
      </c>
      <c r="L7" s="191">
        <f ca="1">'Graph values'!Z99</f>
        <v>0</v>
      </c>
      <c r="M7" t="str">
        <f ca="1">OFFSET('Input Rearing'!AC15,'Graph values'!O99,0)</f>
        <v/>
      </c>
      <c r="N7" t="str">
        <f ca="1">OFFSET('Input Rearing'!AE15,'Graph values'!O99,0)</f>
        <v/>
      </c>
      <c r="O7">
        <f ca="1">OFFSET('Input Rearing'!AF15,'Graph values'!O99,0)</f>
        <v>0</v>
      </c>
      <c r="P7">
        <v>20</v>
      </c>
      <c r="Q7" t="str">
        <f>IF(OR('Input Laying'!E18="",'Input Laying'!E18=0),"",'Input Laying'!E18)</f>
        <v/>
      </c>
      <c r="R7" t="str">
        <f>IF(OR('Input Laying'!N18="",'Input Laying'!N18=0),"",'Input Laying'!N18)</f>
        <v/>
      </c>
      <c r="S7" t="str">
        <f>IF(OR('Input Laying'!T18="",'Input Laying'!T18=0),"",'Input Laying'!T18)</f>
        <v/>
      </c>
      <c r="T7" t="str">
        <f>IF(OR('Input Laying'!U18="",'Input Laying'!U18=0),"",'Input Laying'!U18)</f>
        <v/>
      </c>
      <c r="U7" t="str">
        <f>IF(OR('Input Laying'!X18="",'Input Laying'!X18=0),"",'Input Laying'!X18)</f>
        <v/>
      </c>
      <c r="V7" t="str">
        <f>IF(OR('Input Laying'!Z18="",'Input Laying'!Z18=0),"",'Input Laying'!Z18)</f>
        <v/>
      </c>
      <c r="W7" t="str">
        <f>IF('Input Laying'!AC18="","",'Input Laying'!AC18)</f>
        <v/>
      </c>
      <c r="X7" t="str">
        <f>IF('Input Laying'!AD18="","",'Input Laying'!AD18)</f>
        <v/>
      </c>
      <c r="Y7" t="str">
        <f>IF('Input Laying'!AE18="","",'Input Laying'!AE18)</f>
        <v/>
      </c>
      <c r="Z7" t="str">
        <f>IF('Input Laying'!AG18="","",'Input Laying'!AG18)</f>
        <v/>
      </c>
      <c r="AA7" t="str">
        <f>IF(OR('Input Laying'!AH18=0,'Input Laying'!AH18=""),"",'Input Laying'!AH18)</f>
        <v/>
      </c>
      <c r="AB7" t="str">
        <f>IF('Input Laying'!AJ18="","",'Input Laying'!AJ18)</f>
        <v/>
      </c>
    </row>
    <row r="8" spans="1:28" x14ac:dyDescent="0.2">
      <c r="A8" t="s">
        <v>405</v>
      </c>
      <c r="B8">
        <f>'General Input'!B22</f>
        <v>0</v>
      </c>
      <c r="F8">
        <v>5</v>
      </c>
      <c r="G8" t="str">
        <f ca="1">IF(OR('Graph values'!X100="",'Graph values'!X100=0),"",'Graph values'!X100)</f>
        <v/>
      </c>
      <c r="H8" t="str">
        <f ca="1">IF(OR('Graph values'!Q100="",'Graph values'!Q100=0),"",'Graph values'!Q100)</f>
        <v/>
      </c>
      <c r="I8" t="str">
        <f ca="1">IF(ISNA('Graph values'!D100),"",'Graph values'!D100)</f>
        <v/>
      </c>
      <c r="J8" t="str">
        <f ca="1">IF(ISNA('Graph values'!F100*100),"",'Graph values'!F100*100)</f>
        <v/>
      </c>
      <c r="K8">
        <f ca="1">OFFSET('Input Rearing'!S16,'Graph values'!O100,0)</f>
        <v>0</v>
      </c>
      <c r="L8" s="191">
        <f ca="1">'Graph values'!Z100</f>
        <v>0</v>
      </c>
      <c r="M8" t="str">
        <f ca="1">OFFSET('Input Rearing'!AC16,'Graph values'!O100,0)</f>
        <v/>
      </c>
      <c r="N8" t="str">
        <f ca="1">OFFSET('Input Rearing'!AE16,'Graph values'!O100,0)</f>
        <v/>
      </c>
      <c r="O8">
        <f ca="1">OFFSET('Input Rearing'!AF16,'Graph values'!O100,0)</f>
        <v>0</v>
      </c>
      <c r="P8">
        <v>21</v>
      </c>
      <c r="Q8" t="str">
        <f>IF(OR('Input Laying'!E19="",'Input Laying'!E19=0),"",'Input Laying'!E19)</f>
        <v/>
      </c>
      <c r="R8" t="str">
        <f>IF(OR('Input Laying'!N19="",'Input Laying'!N19=0),"",'Input Laying'!N19)</f>
        <v/>
      </c>
      <c r="S8" t="str">
        <f>IF(OR('Input Laying'!T19="",'Input Laying'!T19=0),"",'Input Laying'!T19)</f>
        <v/>
      </c>
      <c r="T8" t="str">
        <f>IF(OR('Input Laying'!U19="",'Input Laying'!U19=0),"",'Input Laying'!U19)</f>
        <v/>
      </c>
      <c r="U8" t="str">
        <f>IF(OR('Input Laying'!X19="",'Input Laying'!X19=0),"",'Input Laying'!X19)</f>
        <v/>
      </c>
      <c r="V8" t="str">
        <f>IF(OR('Input Laying'!Z19="",'Input Laying'!Z19=0),"",'Input Laying'!Z19)</f>
        <v/>
      </c>
      <c r="W8" t="str">
        <f>IF('Input Laying'!AC19="","",'Input Laying'!AC19)</f>
        <v/>
      </c>
      <c r="X8" t="str">
        <f>IF('Input Laying'!AD19="","",'Input Laying'!AD19)</f>
        <v/>
      </c>
      <c r="Y8" t="str">
        <f>IF('Input Laying'!AE19="","",'Input Laying'!AE19)</f>
        <v/>
      </c>
      <c r="Z8" t="str">
        <f>IF('Input Laying'!AG19="","",'Input Laying'!AG19)</f>
        <v/>
      </c>
      <c r="AA8" t="str">
        <f>IF(OR('Input Laying'!AH19=0,'Input Laying'!AH19=""),"",'Input Laying'!AH19)</f>
        <v/>
      </c>
      <c r="AB8" t="str">
        <f>IF('Input Laying'!AJ19="","",'Input Laying'!AJ19)</f>
        <v/>
      </c>
    </row>
    <row r="9" spans="1:28" x14ac:dyDescent="0.2">
      <c r="A9" t="s">
        <v>536</v>
      </c>
      <c r="B9" s="376" t="s">
        <v>5262</v>
      </c>
      <c r="F9">
        <v>6</v>
      </c>
      <c r="G9" t="str">
        <f ca="1">IF(OR('Graph values'!X101="",'Graph values'!X101=0),"",'Graph values'!X101)</f>
        <v/>
      </c>
      <c r="H9" t="str">
        <f ca="1">IF(OR('Graph values'!Q101="",'Graph values'!Q101=0),"",'Graph values'!Q101)</f>
        <v/>
      </c>
      <c r="I9" t="str">
        <f ca="1">IF(ISNA('Graph values'!D101),"",'Graph values'!D101)</f>
        <v/>
      </c>
      <c r="J9" t="str">
        <f ca="1">IF(ISNA('Graph values'!F101*100),"",'Graph values'!F101*100)</f>
        <v/>
      </c>
      <c r="K9">
        <f ca="1">OFFSET('Input Rearing'!S17,'Graph values'!O101,0)</f>
        <v>0</v>
      </c>
      <c r="L9" s="191">
        <f ca="1">'Graph values'!Z101</f>
        <v>0</v>
      </c>
      <c r="M9" t="str">
        <f ca="1">OFFSET('Input Rearing'!AC17,'Graph values'!O101,0)</f>
        <v/>
      </c>
      <c r="N9" t="str">
        <f ca="1">OFFSET('Input Rearing'!AE17,'Graph values'!O101,0)</f>
        <v/>
      </c>
      <c r="O9">
        <f ca="1">OFFSET('Input Rearing'!AF17,'Graph values'!O101,0)</f>
        <v>0</v>
      </c>
      <c r="P9">
        <v>22</v>
      </c>
      <c r="Q9" t="str">
        <f>IF(OR('Input Laying'!E20="",'Input Laying'!E20=0),"",'Input Laying'!E20)</f>
        <v/>
      </c>
      <c r="R9" t="str">
        <f>IF(OR('Input Laying'!N20="",'Input Laying'!N20=0),"",'Input Laying'!N20)</f>
        <v/>
      </c>
      <c r="S9" t="str">
        <f>IF(OR('Input Laying'!T20="",'Input Laying'!T20=0),"",'Input Laying'!T20)</f>
        <v/>
      </c>
      <c r="T9" t="str">
        <f>IF(OR('Input Laying'!U20="",'Input Laying'!U20=0),"",'Input Laying'!U20)</f>
        <v/>
      </c>
      <c r="U9" t="str">
        <f>IF(OR('Input Laying'!X20="",'Input Laying'!X20=0),"",'Input Laying'!X20)</f>
        <v/>
      </c>
      <c r="V9" t="str">
        <f>IF(OR('Input Laying'!Z20="",'Input Laying'!Z20=0),"",'Input Laying'!Z20)</f>
        <v/>
      </c>
      <c r="W9" t="str">
        <f>IF('Input Laying'!AC20="","",'Input Laying'!AC20)</f>
        <v/>
      </c>
      <c r="X9" t="str">
        <f>IF('Input Laying'!AD20="","",'Input Laying'!AD20)</f>
        <v/>
      </c>
      <c r="Y9" t="str">
        <f>IF('Input Laying'!AE20="","",'Input Laying'!AE20)</f>
        <v/>
      </c>
      <c r="Z9" t="str">
        <f>IF('Input Laying'!AG20="","",'Input Laying'!AG20)</f>
        <v/>
      </c>
      <c r="AA9" t="str">
        <f>IF(OR('Input Laying'!AH20=0,'Input Laying'!AH20=""),"",'Input Laying'!AH20)</f>
        <v/>
      </c>
      <c r="AB9" t="str">
        <f>IF('Input Laying'!AJ20="","",'Input Laying'!AJ20)</f>
        <v/>
      </c>
    </row>
    <row r="10" spans="1:28" x14ac:dyDescent="0.2">
      <c r="A10" t="s">
        <v>943</v>
      </c>
      <c r="B10" t="str">
        <f>IF('General Input'!B24="","",'General Input'!B24)</f>
        <v/>
      </c>
      <c r="F10">
        <v>7</v>
      </c>
      <c r="G10" t="str">
        <f ca="1">IF(OR('Graph values'!X102="",'Graph values'!X102=0),"",'Graph values'!X102)</f>
        <v/>
      </c>
      <c r="H10" t="str">
        <f ca="1">IF(OR('Graph values'!Q102="",'Graph values'!Q102=0),"",'Graph values'!Q102)</f>
        <v/>
      </c>
      <c r="I10" t="str">
        <f ca="1">IF(ISNA('Graph values'!D102),"",'Graph values'!D102)</f>
        <v/>
      </c>
      <c r="J10" t="str">
        <f ca="1">IF(ISNA('Graph values'!F102*100),"",'Graph values'!F102*100)</f>
        <v/>
      </c>
      <c r="K10">
        <f ca="1">OFFSET('Input Rearing'!S18,'Graph values'!O102,0)</f>
        <v>0</v>
      </c>
      <c r="L10" s="191">
        <f ca="1">'Graph values'!Z102</f>
        <v>0</v>
      </c>
      <c r="M10" t="str">
        <f ca="1">OFFSET('Input Rearing'!AC18,'Graph values'!O102,0)</f>
        <v/>
      </c>
      <c r="N10" t="str">
        <f ca="1">OFFSET('Input Rearing'!AE18,'Graph values'!O102,0)</f>
        <v/>
      </c>
      <c r="O10">
        <f ca="1">OFFSET('Input Rearing'!AF18,'Graph values'!O102,0)</f>
        <v>0</v>
      </c>
      <c r="P10">
        <v>23</v>
      </c>
      <c r="Q10" t="str">
        <f>IF(OR('Input Laying'!E21="",'Input Laying'!E21=0),"",'Input Laying'!E21)</f>
        <v/>
      </c>
      <c r="R10" t="str">
        <f>IF(OR('Input Laying'!N21="",'Input Laying'!N21=0),"",'Input Laying'!N21)</f>
        <v/>
      </c>
      <c r="S10" t="str">
        <f>IF(OR('Input Laying'!T21="",'Input Laying'!T21=0),"",'Input Laying'!T21)</f>
        <v/>
      </c>
      <c r="T10" t="str">
        <f>IF(OR('Input Laying'!U21="",'Input Laying'!U21=0),"",'Input Laying'!U21)</f>
        <v/>
      </c>
      <c r="U10" t="str">
        <f>IF(OR('Input Laying'!X21="",'Input Laying'!X21=0),"",'Input Laying'!X21)</f>
        <v/>
      </c>
      <c r="V10" t="str">
        <f>IF(OR('Input Laying'!Z21="",'Input Laying'!Z21=0),"",'Input Laying'!Z21)</f>
        <v/>
      </c>
      <c r="W10" t="str">
        <f>IF('Input Laying'!AC21="","",'Input Laying'!AC21)</f>
        <v/>
      </c>
      <c r="X10" t="str">
        <f>IF('Input Laying'!AD21="","",'Input Laying'!AD21)</f>
        <v/>
      </c>
      <c r="Y10" t="str">
        <f>IF('Input Laying'!AE21="","",'Input Laying'!AE21)</f>
        <v/>
      </c>
      <c r="Z10" t="str">
        <f>IF('Input Laying'!AG21="","",'Input Laying'!AG21)</f>
        <v/>
      </c>
      <c r="AA10" t="str">
        <f>IF(OR('Input Laying'!AH21=0,'Input Laying'!AH21=""),"",'Input Laying'!AH21)</f>
        <v/>
      </c>
      <c r="AB10" t="str">
        <f>IF('Input Laying'!AJ21="","",'Input Laying'!AJ21)</f>
        <v/>
      </c>
    </row>
    <row r="11" spans="1:28" x14ac:dyDescent="0.2">
      <c r="A11" t="s">
        <v>537</v>
      </c>
      <c r="B11" t="str">
        <f>IF('General Input'!B26="#N/A",DEFAULT,'General Input'!B26)</f>
        <v xml:space="preserve">000100 ISA BROWN   -   </v>
      </c>
      <c r="F11">
        <v>8</v>
      </c>
      <c r="G11" t="str">
        <f ca="1">IF(OR('Graph values'!X103="",'Graph values'!X103=0),"",'Graph values'!X103)</f>
        <v/>
      </c>
      <c r="H11" t="str">
        <f ca="1">IF(OR('Graph values'!Q103="",'Graph values'!Q103=0),"",'Graph values'!Q103)</f>
        <v/>
      </c>
      <c r="I11" t="str">
        <f ca="1">IF(ISNA('Graph values'!D103),"",'Graph values'!D103)</f>
        <v/>
      </c>
      <c r="J11" t="str">
        <f ca="1">IF(ISNA('Graph values'!F103*100),"",'Graph values'!F103*100)</f>
        <v/>
      </c>
      <c r="K11">
        <f ca="1">OFFSET('Input Rearing'!S19,'Graph values'!O103,0)</f>
        <v>0</v>
      </c>
      <c r="L11" s="191">
        <f ca="1">'Graph values'!Z103</f>
        <v>0</v>
      </c>
      <c r="M11" t="str">
        <f ca="1">OFFSET('Input Rearing'!AC19,'Graph values'!O103,0)</f>
        <v/>
      </c>
      <c r="N11" t="str">
        <f ca="1">OFFSET('Input Rearing'!AE19,'Graph values'!O103,0)</f>
        <v/>
      </c>
      <c r="O11">
        <f ca="1">OFFSET('Input Rearing'!AF19,'Graph values'!O103,0)</f>
        <v>0</v>
      </c>
      <c r="P11">
        <v>24</v>
      </c>
      <c r="Q11" t="str">
        <f>IF(OR('Input Laying'!E22="",'Input Laying'!E22=0),"",'Input Laying'!E22)</f>
        <v/>
      </c>
      <c r="R11" t="str">
        <f>IF(OR('Input Laying'!N22="",'Input Laying'!N22=0),"",'Input Laying'!N22)</f>
        <v/>
      </c>
      <c r="S11" t="str">
        <f>IF(OR('Input Laying'!T22="",'Input Laying'!T22=0),"",'Input Laying'!T22)</f>
        <v/>
      </c>
      <c r="T11" t="str">
        <f>IF(OR('Input Laying'!U22="",'Input Laying'!U22=0),"",'Input Laying'!U22)</f>
        <v/>
      </c>
      <c r="U11" t="str">
        <f>IF(OR('Input Laying'!X22="",'Input Laying'!X22=0),"",'Input Laying'!X22)</f>
        <v/>
      </c>
      <c r="V11" t="str">
        <f>IF(OR('Input Laying'!Z22="",'Input Laying'!Z22=0),"",'Input Laying'!Z22)</f>
        <v/>
      </c>
      <c r="W11" t="str">
        <f>IF('Input Laying'!AC22="","",'Input Laying'!AC22)</f>
        <v/>
      </c>
      <c r="X11" t="str">
        <f>IF('Input Laying'!AD22="","",'Input Laying'!AD22)</f>
        <v/>
      </c>
      <c r="Y11" t="str">
        <f>IF('Input Laying'!AE22="","",'Input Laying'!AE22)</f>
        <v/>
      </c>
      <c r="Z11" t="str">
        <f>IF('Input Laying'!AG22="","",'Input Laying'!AG22)</f>
        <v/>
      </c>
      <c r="AA11" t="str">
        <f>IF(OR('Input Laying'!AH22=0,'Input Laying'!AH22=""),"",'Input Laying'!AH22)</f>
        <v/>
      </c>
      <c r="AB11" t="str">
        <f>IF('Input Laying'!AJ22="","",'Input Laying'!AJ22)</f>
        <v/>
      </c>
    </row>
    <row r="12" spans="1:28" x14ac:dyDescent="0.2">
      <c r="A12" t="s">
        <v>538</v>
      </c>
      <c r="B12" t="str">
        <f>CONCATENATE(B5," ",B6," ",B7)</f>
        <v xml:space="preserve">  </v>
      </c>
      <c r="F12">
        <v>9</v>
      </c>
      <c r="G12" t="str">
        <f ca="1">IF(OR('Graph values'!X104="",'Graph values'!X104=0),"",'Graph values'!X104)</f>
        <v/>
      </c>
      <c r="H12" t="str">
        <f ca="1">IF(OR('Graph values'!Q104="",'Graph values'!Q104=0),"",'Graph values'!Q104)</f>
        <v/>
      </c>
      <c r="I12" t="str">
        <f ca="1">IF(ISNA('Graph values'!D104),"",'Graph values'!D104)</f>
        <v/>
      </c>
      <c r="J12" t="str">
        <f ca="1">IF(ISNA('Graph values'!F104*100),"",'Graph values'!F104*100)</f>
        <v/>
      </c>
      <c r="K12">
        <f ca="1">OFFSET('Input Rearing'!S20,'Graph values'!O104,0)</f>
        <v>0</v>
      </c>
      <c r="L12" s="191">
        <f ca="1">'Graph values'!Z104</f>
        <v>0</v>
      </c>
      <c r="M12" t="str">
        <f ca="1">OFFSET('Input Rearing'!AC20,'Graph values'!O104,0)</f>
        <v/>
      </c>
      <c r="N12" t="str">
        <f ca="1">OFFSET('Input Rearing'!AE20,'Graph values'!O104,0)</f>
        <v/>
      </c>
      <c r="O12">
        <f ca="1">OFFSET('Input Rearing'!AF20,'Graph values'!O104,0)</f>
        <v>0</v>
      </c>
      <c r="P12">
        <v>25</v>
      </c>
      <c r="Q12" t="str">
        <f>IF(OR('Input Laying'!E23="",'Input Laying'!E23=0),"",'Input Laying'!E23)</f>
        <v/>
      </c>
      <c r="R12" t="str">
        <f>IF(OR('Input Laying'!N23="",'Input Laying'!N23=0),"",'Input Laying'!N23)</f>
        <v/>
      </c>
      <c r="S12" t="str">
        <f>IF(OR('Input Laying'!T23="",'Input Laying'!T23=0),"",'Input Laying'!T23)</f>
        <v/>
      </c>
      <c r="T12" t="str">
        <f>IF(OR('Input Laying'!U23="",'Input Laying'!U23=0),"",'Input Laying'!U23)</f>
        <v/>
      </c>
      <c r="U12" t="str">
        <f>IF(OR('Input Laying'!X23="",'Input Laying'!X23=0),"",'Input Laying'!X23)</f>
        <v/>
      </c>
      <c r="V12" t="str">
        <f>IF(OR('Input Laying'!Z23="",'Input Laying'!Z23=0),"",'Input Laying'!Z23)</f>
        <v/>
      </c>
      <c r="W12" t="str">
        <f>IF('Input Laying'!AC23="","",'Input Laying'!AC23)</f>
        <v/>
      </c>
      <c r="X12" t="str">
        <f>IF('Input Laying'!AD23="","",'Input Laying'!AD23)</f>
        <v/>
      </c>
      <c r="Y12" t="str">
        <f>IF('Input Laying'!AE23="","",'Input Laying'!AE23)</f>
        <v/>
      </c>
      <c r="Z12" t="str">
        <f>IF('Input Laying'!AG23="","",'Input Laying'!AG23)</f>
        <v/>
      </c>
      <c r="AA12" t="str">
        <f>IF(OR('Input Laying'!AH23=0,'Input Laying'!AH23=""),"",'Input Laying'!AH23)</f>
        <v/>
      </c>
      <c r="AB12" t="str">
        <f>IF('Input Laying'!AJ23="","",'Input Laying'!AJ23)</f>
        <v/>
      </c>
    </row>
    <row r="13" spans="1:28" x14ac:dyDescent="0.2">
      <c r="F13">
        <v>10</v>
      </c>
      <c r="G13" t="str">
        <f ca="1">IF(OR('Graph values'!X105="",'Graph values'!X105=0),"",'Graph values'!X105)</f>
        <v/>
      </c>
      <c r="H13" t="str">
        <f ca="1">IF(OR('Graph values'!Q105="",'Graph values'!Q105=0),"",'Graph values'!Q105)</f>
        <v/>
      </c>
      <c r="I13" t="str">
        <f ca="1">IF(ISNA('Graph values'!D105),"",'Graph values'!D105)</f>
        <v/>
      </c>
      <c r="J13" t="str">
        <f ca="1">IF(ISNA('Graph values'!F105*100),"",'Graph values'!F105*100)</f>
        <v/>
      </c>
      <c r="K13">
        <f ca="1">OFFSET('Input Rearing'!S21,'Graph values'!O105,0)</f>
        <v>0</v>
      </c>
      <c r="L13" s="191">
        <f ca="1">'Graph values'!Z105</f>
        <v>0</v>
      </c>
      <c r="M13" t="str">
        <f ca="1">OFFSET('Input Rearing'!AC21,'Graph values'!O105,0)</f>
        <v/>
      </c>
      <c r="N13" t="str">
        <f ca="1">OFFSET('Input Rearing'!AE21,'Graph values'!O105,0)</f>
        <v/>
      </c>
      <c r="O13">
        <f ca="1">OFFSET('Input Rearing'!AF21,'Graph values'!O105,0)</f>
        <v>0</v>
      </c>
      <c r="P13">
        <v>26</v>
      </c>
      <c r="Q13" t="str">
        <f>IF(OR('Input Laying'!E24="",'Input Laying'!E24=0),"",'Input Laying'!E24)</f>
        <v/>
      </c>
      <c r="R13" t="str">
        <f>IF(OR('Input Laying'!N24="",'Input Laying'!N24=0),"",'Input Laying'!N24)</f>
        <v/>
      </c>
      <c r="S13" t="str">
        <f>IF(OR('Input Laying'!T24="",'Input Laying'!T24=0),"",'Input Laying'!T24)</f>
        <v/>
      </c>
      <c r="T13" t="str">
        <f>IF(OR('Input Laying'!U24="",'Input Laying'!U24=0),"",'Input Laying'!U24)</f>
        <v/>
      </c>
      <c r="U13" t="str">
        <f>IF(OR('Input Laying'!X24="",'Input Laying'!X24=0),"",'Input Laying'!X24)</f>
        <v/>
      </c>
      <c r="V13" t="str">
        <f>IF(OR('Input Laying'!Z24="",'Input Laying'!Z24=0),"",'Input Laying'!Z24)</f>
        <v/>
      </c>
      <c r="W13" t="str">
        <f>IF('Input Laying'!AC24="","",'Input Laying'!AC24)</f>
        <v/>
      </c>
      <c r="X13" t="str">
        <f>IF('Input Laying'!AD24="","",'Input Laying'!AD24)</f>
        <v/>
      </c>
      <c r="Y13" t="str">
        <f>IF('Input Laying'!AE24="","",'Input Laying'!AE24)</f>
        <v/>
      </c>
      <c r="Z13" t="str">
        <f>IF('Input Laying'!AG24="","",'Input Laying'!AG24)</f>
        <v/>
      </c>
      <c r="AA13" t="str">
        <f>IF(OR('Input Laying'!AH24=0,'Input Laying'!AH24=""),"",'Input Laying'!AH24)</f>
        <v/>
      </c>
      <c r="AB13" t="str">
        <f>IF('Input Laying'!AJ24="","",'Input Laying'!AJ24)</f>
        <v/>
      </c>
    </row>
    <row r="14" spans="1:28" x14ac:dyDescent="0.2">
      <c r="B14" t="s">
        <v>356</v>
      </c>
      <c r="F14">
        <v>11</v>
      </c>
      <c r="G14" t="str">
        <f ca="1">IF(OR('Graph values'!X106="",'Graph values'!X106=0),"",'Graph values'!X106)</f>
        <v/>
      </c>
      <c r="H14" t="str">
        <f ca="1">IF(OR('Graph values'!Q106="",'Graph values'!Q106=0),"",'Graph values'!Q106)</f>
        <v/>
      </c>
      <c r="I14" t="str">
        <f ca="1">IF(ISNA('Graph values'!D106),"",'Graph values'!D106)</f>
        <v/>
      </c>
      <c r="J14" t="str">
        <f ca="1">IF(ISNA('Graph values'!F106*100),"",'Graph values'!F106*100)</f>
        <v/>
      </c>
      <c r="K14">
        <f ca="1">OFFSET('Input Rearing'!S22,'Graph values'!O106,0)</f>
        <v>0</v>
      </c>
      <c r="L14" s="191">
        <f ca="1">'Graph values'!Z106</f>
        <v>0</v>
      </c>
      <c r="M14" t="str">
        <f ca="1">OFFSET('Input Rearing'!AC22,'Graph values'!O106,0)</f>
        <v/>
      </c>
      <c r="N14" t="str">
        <f ca="1">OFFSET('Input Rearing'!AE22,'Graph values'!O106,0)</f>
        <v/>
      </c>
      <c r="O14">
        <f ca="1">OFFSET('Input Rearing'!AF22,'Graph values'!O106,0)</f>
        <v>0</v>
      </c>
      <c r="P14">
        <v>27</v>
      </c>
      <c r="Q14" t="str">
        <f>IF(OR('Input Laying'!E25="",'Input Laying'!E25=0),"",'Input Laying'!E25)</f>
        <v/>
      </c>
      <c r="R14" t="str">
        <f>IF(OR('Input Laying'!N25="",'Input Laying'!N25=0),"",'Input Laying'!N25)</f>
        <v/>
      </c>
      <c r="S14" t="str">
        <f>IF(OR('Input Laying'!T25="",'Input Laying'!T25=0),"",'Input Laying'!T25)</f>
        <v/>
      </c>
      <c r="T14" t="str">
        <f>IF(OR('Input Laying'!U25="",'Input Laying'!U25=0),"",'Input Laying'!U25)</f>
        <v/>
      </c>
      <c r="U14" t="str">
        <f>IF(OR('Input Laying'!X25="",'Input Laying'!X25=0),"",'Input Laying'!X25)</f>
        <v/>
      </c>
      <c r="V14" t="str">
        <f>IF(OR('Input Laying'!Z25="",'Input Laying'!Z25=0),"",'Input Laying'!Z25)</f>
        <v/>
      </c>
      <c r="W14" t="str">
        <f>IF('Input Laying'!AC25="","",'Input Laying'!AC25)</f>
        <v/>
      </c>
      <c r="X14" t="str">
        <f>IF('Input Laying'!AD25="","",'Input Laying'!AD25)</f>
        <v/>
      </c>
      <c r="Y14" t="str">
        <f>IF('Input Laying'!AE25="","",'Input Laying'!AE25)</f>
        <v/>
      </c>
      <c r="Z14" t="str">
        <f>IF('Input Laying'!AG25="","",'Input Laying'!AG25)</f>
        <v/>
      </c>
      <c r="AA14" t="str">
        <f>IF(OR('Input Laying'!AH25=0,'Input Laying'!AH25=""),"",'Input Laying'!AH25)</f>
        <v/>
      </c>
      <c r="AB14" t="str">
        <f>IF('Input Laying'!AJ25="","",'Input Laying'!AJ25)</f>
        <v/>
      </c>
    </row>
    <row r="15" spans="1:28" x14ac:dyDescent="0.2">
      <c r="A15" t="s">
        <v>549</v>
      </c>
      <c r="B15">
        <f>IF(B16="","",B16+2000)</f>
        <v>2000</v>
      </c>
      <c r="F15">
        <v>12</v>
      </c>
      <c r="G15" t="str">
        <f ca="1">IF(OR('Graph values'!X107="",'Graph values'!X107=0),"",'Graph values'!X107)</f>
        <v/>
      </c>
      <c r="H15" t="str">
        <f ca="1">IF(OR('Graph values'!Q107="",'Graph values'!Q107=0),"",'Graph values'!Q107)</f>
        <v/>
      </c>
      <c r="I15" t="str">
        <f ca="1">IF(ISNA('Graph values'!D107),"",'Graph values'!D107)</f>
        <v/>
      </c>
      <c r="J15" t="str">
        <f ca="1">IF(ISNA('Graph values'!F107*100),"",'Graph values'!F107*100)</f>
        <v/>
      </c>
      <c r="K15">
        <f ca="1">OFFSET('Input Rearing'!S23,'Graph values'!O107,0)</f>
        <v>0</v>
      </c>
      <c r="L15" s="191">
        <f ca="1">'Graph values'!Z107</f>
        <v>0</v>
      </c>
      <c r="M15" t="str">
        <f ca="1">OFFSET('Input Rearing'!AC23,'Graph values'!O107,0)</f>
        <v/>
      </c>
      <c r="N15" t="str">
        <f ca="1">OFFSET('Input Rearing'!AE23,'Graph values'!O107,0)</f>
        <v/>
      </c>
      <c r="O15">
        <f ca="1">OFFSET('Input Rearing'!AF23,'Graph values'!O107,0)</f>
        <v>0</v>
      </c>
      <c r="P15">
        <v>28</v>
      </c>
      <c r="Q15" t="str">
        <f>IF(OR('Input Laying'!E26="",'Input Laying'!E26=0),"",'Input Laying'!E26)</f>
        <v/>
      </c>
      <c r="R15" t="str">
        <f>IF(OR('Input Laying'!N26="",'Input Laying'!N26=0),"",'Input Laying'!N26)</f>
        <v/>
      </c>
      <c r="S15" t="str">
        <f>IF(OR('Input Laying'!T26="",'Input Laying'!T26=0),"",'Input Laying'!T26)</f>
        <v/>
      </c>
      <c r="T15" t="str">
        <f>IF(OR('Input Laying'!U26="",'Input Laying'!U26=0),"",'Input Laying'!U26)</f>
        <v/>
      </c>
      <c r="U15" t="str">
        <f>IF(OR('Input Laying'!X26="",'Input Laying'!X26=0),"",'Input Laying'!X26)</f>
        <v/>
      </c>
      <c r="V15" t="str">
        <f>IF(OR('Input Laying'!Z26="",'Input Laying'!Z26=0),"",'Input Laying'!Z26)</f>
        <v/>
      </c>
      <c r="W15" t="str">
        <f>IF('Input Laying'!AC26="","",'Input Laying'!AC26)</f>
        <v/>
      </c>
      <c r="X15" t="str">
        <f>IF('Input Laying'!AD26="","",'Input Laying'!AD26)</f>
        <v/>
      </c>
      <c r="Y15" t="str">
        <f>IF('Input Laying'!AE26="","",'Input Laying'!AE26)</f>
        <v/>
      </c>
      <c r="Z15" t="str">
        <f>IF('Input Laying'!AG26="","",'Input Laying'!AG26)</f>
        <v/>
      </c>
      <c r="AA15" t="str">
        <f>IF(OR('Input Laying'!AH26=0,'Input Laying'!AH26=""),"",'Input Laying'!AH26)</f>
        <v/>
      </c>
      <c r="AB15" t="str">
        <f>IF('Input Laying'!AJ26="","",'Input Laying'!AJ26)</f>
        <v/>
      </c>
    </row>
    <row r="16" spans="1:28" x14ac:dyDescent="0.2">
      <c r="A16" t="s">
        <v>546</v>
      </c>
      <c r="B16" t="str">
        <f>Diverse!C2</f>
        <v>00</v>
      </c>
      <c r="C16" t="str">
        <f>IF(ISNA(B16),"",B16)</f>
        <v>00</v>
      </c>
      <c r="F16">
        <v>13</v>
      </c>
      <c r="G16" t="str">
        <f ca="1">IF(OR('Graph values'!X108="",'Graph values'!X108=0),"",'Graph values'!X108)</f>
        <v/>
      </c>
      <c r="H16" t="str">
        <f ca="1">IF(OR('Graph values'!Q108="",'Graph values'!Q108=0),"",'Graph values'!Q108)</f>
        <v/>
      </c>
      <c r="I16" t="str">
        <f ca="1">IF(ISNA('Graph values'!D108),"",'Graph values'!D108)</f>
        <v/>
      </c>
      <c r="J16" t="str">
        <f ca="1">IF(ISNA('Graph values'!F108*100),"",'Graph values'!F108*100)</f>
        <v/>
      </c>
      <c r="K16">
        <f ca="1">OFFSET('Input Rearing'!S24,'Graph values'!O108,0)</f>
        <v>0</v>
      </c>
      <c r="L16" s="191">
        <f ca="1">'Graph values'!Z108</f>
        <v>0</v>
      </c>
      <c r="M16" t="str">
        <f ca="1">OFFSET('Input Rearing'!AC24,'Graph values'!O108,0)</f>
        <v/>
      </c>
      <c r="N16" t="str">
        <f ca="1">OFFSET('Input Rearing'!AE24,'Graph values'!O108,0)</f>
        <v/>
      </c>
      <c r="O16">
        <f ca="1">OFFSET('Input Rearing'!AF24,'Graph values'!O108,0)</f>
        <v>0</v>
      </c>
      <c r="P16">
        <v>29</v>
      </c>
      <c r="Q16" t="str">
        <f>IF(OR('Input Laying'!E27="",'Input Laying'!E27=0),"",'Input Laying'!E27)</f>
        <v/>
      </c>
      <c r="R16" t="str">
        <f>IF(OR('Input Laying'!N27="",'Input Laying'!N27=0),"",'Input Laying'!N27)</f>
        <v/>
      </c>
      <c r="S16" t="str">
        <f>IF(OR('Input Laying'!T27="",'Input Laying'!T27=0),"",'Input Laying'!T27)</f>
        <v/>
      </c>
      <c r="T16" t="str">
        <f>IF(OR('Input Laying'!U27="",'Input Laying'!U27=0),"",'Input Laying'!U27)</f>
        <v/>
      </c>
      <c r="U16" t="str">
        <f>IF(OR('Input Laying'!X27="",'Input Laying'!X27=0),"",'Input Laying'!X27)</f>
        <v/>
      </c>
      <c r="V16" t="str">
        <f>IF(OR('Input Laying'!Z27="",'Input Laying'!Z27=0),"",'Input Laying'!Z27)</f>
        <v/>
      </c>
      <c r="W16" t="str">
        <f>IF('Input Laying'!AC27="","",'Input Laying'!AC27)</f>
        <v/>
      </c>
      <c r="X16" t="str">
        <f>IF('Input Laying'!AD27="","",'Input Laying'!AD27)</f>
        <v/>
      </c>
      <c r="Y16" t="str">
        <f>IF('Input Laying'!AE27="","",'Input Laying'!AE27)</f>
        <v/>
      </c>
      <c r="Z16" t="str">
        <f>IF('Input Laying'!AG27="","",'Input Laying'!AG27)</f>
        <v/>
      </c>
      <c r="AA16" t="str">
        <f>IF(OR('Input Laying'!AH27=0,'Input Laying'!AH27=""),"",'Input Laying'!AH27)</f>
        <v/>
      </c>
      <c r="AB16" t="str">
        <f>IF('Input Laying'!AJ27="","",'Input Laying'!AJ27)</f>
        <v/>
      </c>
    </row>
    <row r="17" spans="1:28" x14ac:dyDescent="0.2">
      <c r="A17" t="s">
        <v>548</v>
      </c>
      <c r="B17" t="str">
        <f>Diverse!E2</f>
        <v>01</v>
      </c>
      <c r="C17" t="str">
        <f>IF(ISNA(B17),"",B17)</f>
        <v>01</v>
      </c>
      <c r="F17">
        <v>14</v>
      </c>
      <c r="G17" t="str">
        <f ca="1">IF(OR('Graph values'!X109="",'Graph values'!X109=0),"",'Graph values'!X109)</f>
        <v/>
      </c>
      <c r="H17" t="str">
        <f ca="1">IF(OR('Graph values'!Q109="",'Graph values'!Q109=0),"",'Graph values'!Q109)</f>
        <v/>
      </c>
      <c r="I17" t="str">
        <f ca="1">IF(ISNA('Graph values'!D109),"",'Graph values'!D109)</f>
        <v/>
      </c>
      <c r="J17" t="str">
        <f ca="1">IF(ISNA('Graph values'!F109*100),"",'Graph values'!F109*100)</f>
        <v/>
      </c>
      <c r="K17">
        <f ca="1">OFFSET('Input Rearing'!S25,'Graph values'!O109,0)</f>
        <v>0</v>
      </c>
      <c r="L17" s="191">
        <f ca="1">'Graph values'!Z109</f>
        <v>0</v>
      </c>
      <c r="M17" t="str">
        <f ca="1">OFFSET('Input Rearing'!AC25,'Graph values'!O109,0)</f>
        <v/>
      </c>
      <c r="N17" t="str">
        <f ca="1">OFFSET('Input Rearing'!AE25,'Graph values'!O109,0)</f>
        <v/>
      </c>
      <c r="O17">
        <f ca="1">OFFSET('Input Rearing'!AF25,'Graph values'!O109,0)</f>
        <v>0</v>
      </c>
      <c r="P17">
        <v>30</v>
      </c>
      <c r="Q17" t="str">
        <f>IF(OR('Input Laying'!E28="",'Input Laying'!E28=0),"",'Input Laying'!E28)</f>
        <v/>
      </c>
      <c r="R17" t="str">
        <f>IF(OR('Input Laying'!N28="",'Input Laying'!N28=0),"",'Input Laying'!N28)</f>
        <v/>
      </c>
      <c r="S17" t="str">
        <f>IF(OR('Input Laying'!T28="",'Input Laying'!T28=0),"",'Input Laying'!T28)</f>
        <v/>
      </c>
      <c r="T17" t="str">
        <f>IF(OR('Input Laying'!U28="",'Input Laying'!U28=0),"",'Input Laying'!U28)</f>
        <v/>
      </c>
      <c r="U17" t="str">
        <f>IF(OR('Input Laying'!X28="",'Input Laying'!X28=0),"",'Input Laying'!X28)</f>
        <v/>
      </c>
      <c r="V17" t="str">
        <f>IF(OR('Input Laying'!Z28="",'Input Laying'!Z28=0),"",'Input Laying'!Z28)</f>
        <v/>
      </c>
      <c r="W17" t="str">
        <f>IF('Input Laying'!AC28="","",'Input Laying'!AC28)</f>
        <v/>
      </c>
      <c r="X17" t="str">
        <f>IF('Input Laying'!AD28="","",'Input Laying'!AD28)</f>
        <v/>
      </c>
      <c r="Y17" t="str">
        <f>IF('Input Laying'!AE28="","",'Input Laying'!AE28)</f>
        <v/>
      </c>
      <c r="Z17" t="str">
        <f>IF('Input Laying'!AG28="","",'Input Laying'!AG28)</f>
        <v/>
      </c>
      <c r="AA17" t="str">
        <f>IF(OR('Input Laying'!AH28=0,'Input Laying'!AH28=""),"",'Input Laying'!AH28)</f>
        <v/>
      </c>
      <c r="AB17" t="str">
        <f>IF('Input Laying'!AJ28="","",'Input Laying'!AJ28)</f>
        <v/>
      </c>
    </row>
    <row r="18" spans="1:28" x14ac:dyDescent="0.2">
      <c r="A18" t="s">
        <v>547</v>
      </c>
      <c r="B18" t="str">
        <f>Diverse!H2</f>
        <v>00</v>
      </c>
      <c r="C18" t="str">
        <f>IF(ISNA(B18),"",B18)</f>
        <v>00</v>
      </c>
      <c r="F18">
        <v>15</v>
      </c>
      <c r="G18" t="str">
        <f ca="1">IF(OR('Graph values'!X110="",'Graph values'!X110=0),"",'Graph values'!X110)</f>
        <v/>
      </c>
      <c r="H18" t="str">
        <f ca="1">IF(OR('Graph values'!Q110="",'Graph values'!Q110=0),"",'Graph values'!Q110)</f>
        <v/>
      </c>
      <c r="I18" t="str">
        <f ca="1">IF(ISNA('Graph values'!D110),"",'Graph values'!D110)</f>
        <v/>
      </c>
      <c r="J18" t="str">
        <f ca="1">IF(ISNA('Graph values'!F110*100),"",'Graph values'!F110*100)</f>
        <v/>
      </c>
      <c r="K18">
        <f ca="1">OFFSET('Input Rearing'!S26,'Graph values'!O110,0)</f>
        <v>0</v>
      </c>
      <c r="L18" s="191">
        <f ca="1">'Graph values'!Z110</f>
        <v>0</v>
      </c>
      <c r="M18" t="str">
        <f ca="1">OFFSET('Input Rearing'!AC26,'Graph values'!O110,0)</f>
        <v/>
      </c>
      <c r="N18" t="str">
        <f ca="1">OFFSET('Input Rearing'!AE26,'Graph values'!O110,0)</f>
        <v/>
      </c>
      <c r="O18">
        <f ca="1">OFFSET('Input Rearing'!AF26,'Graph values'!O110,0)</f>
        <v>0</v>
      </c>
      <c r="P18">
        <v>31</v>
      </c>
      <c r="Q18" t="str">
        <f>IF(OR('Input Laying'!E29="",'Input Laying'!E29=0),"",'Input Laying'!E29)</f>
        <v/>
      </c>
      <c r="R18" t="str">
        <f>IF(OR('Input Laying'!N29="",'Input Laying'!N29=0),"",'Input Laying'!N29)</f>
        <v/>
      </c>
      <c r="S18" t="str">
        <f>IF(OR('Input Laying'!T29="",'Input Laying'!T29=0),"",'Input Laying'!T29)</f>
        <v/>
      </c>
      <c r="T18" t="str">
        <f>IF(OR('Input Laying'!U29="",'Input Laying'!U29=0),"",'Input Laying'!U29)</f>
        <v/>
      </c>
      <c r="U18" t="str">
        <f>IF(OR('Input Laying'!X29="",'Input Laying'!X29=0),"",'Input Laying'!X29)</f>
        <v/>
      </c>
      <c r="V18" t="str">
        <f>IF(OR('Input Laying'!Z29="",'Input Laying'!Z29=0),"",'Input Laying'!Z29)</f>
        <v/>
      </c>
      <c r="W18" t="str">
        <f>IF('Input Laying'!AC29="","",'Input Laying'!AC29)</f>
        <v/>
      </c>
      <c r="X18" t="str">
        <f>IF('Input Laying'!AD29="","",'Input Laying'!AD29)</f>
        <v/>
      </c>
      <c r="Y18" t="str">
        <f>IF('Input Laying'!AE29="","",'Input Laying'!AE29)</f>
        <v/>
      </c>
      <c r="Z18" t="str">
        <f>IF('Input Laying'!AG29="","",'Input Laying'!AG29)</f>
        <v/>
      </c>
      <c r="AA18" t="str">
        <f>IF(OR('Input Laying'!AH29=0,'Input Laying'!AH29=""),"",'Input Laying'!AH29)</f>
        <v/>
      </c>
      <c r="AB18" t="str">
        <f>IF('Input Laying'!AJ29="","",'Input Laying'!AJ29)</f>
        <v/>
      </c>
    </row>
    <row r="19" spans="1:28" x14ac:dyDescent="0.2">
      <c r="A19" t="s">
        <v>551</v>
      </c>
      <c r="B19" s="52">
        <f>'General Input'!B14</f>
        <v>0</v>
      </c>
      <c r="C19" s="52">
        <f>'General Input'!B14</f>
        <v>0</v>
      </c>
      <c r="F19">
        <v>16</v>
      </c>
      <c r="G19" t="str">
        <f ca="1">IF(OR('Graph values'!X111="",'Graph values'!X111=0),"",'Graph values'!X111)</f>
        <v/>
      </c>
      <c r="H19" t="str">
        <f ca="1">IF(OR('Graph values'!Q111="",'Graph values'!Q111=0),"",'Graph values'!Q111)</f>
        <v/>
      </c>
      <c r="I19" t="str">
        <f ca="1">IF(ISNA('Graph values'!D111),"",'Graph values'!D111)</f>
        <v/>
      </c>
      <c r="J19" t="str">
        <f ca="1">IF(ISNA('Graph values'!F111*100),"",'Graph values'!F111*100)</f>
        <v/>
      </c>
      <c r="K19">
        <f ca="1">OFFSET('Input Rearing'!S27,'Graph values'!O111,0)</f>
        <v>0</v>
      </c>
      <c r="L19" s="191">
        <f ca="1">'Graph values'!Z111</f>
        <v>0</v>
      </c>
      <c r="M19" t="str">
        <f ca="1">OFFSET('Input Rearing'!AC27,'Graph values'!O111,0)</f>
        <v/>
      </c>
      <c r="N19" t="str">
        <f ca="1">OFFSET('Input Rearing'!AE27,'Graph values'!O111,0)</f>
        <v/>
      </c>
      <c r="O19">
        <f ca="1">OFFSET('Input Rearing'!AF27,'Graph values'!O111,0)</f>
        <v>0</v>
      </c>
      <c r="P19">
        <v>32</v>
      </c>
      <c r="Q19" t="str">
        <f>IF(OR('Input Laying'!E30="",'Input Laying'!E30=0),"",'Input Laying'!E30)</f>
        <v/>
      </c>
      <c r="R19" t="str">
        <f>IF(OR('Input Laying'!N30="",'Input Laying'!N30=0),"",'Input Laying'!N30)</f>
        <v/>
      </c>
      <c r="S19" t="str">
        <f>IF(OR('Input Laying'!T30="",'Input Laying'!T30=0),"",'Input Laying'!T30)</f>
        <v/>
      </c>
      <c r="T19" t="str">
        <f>IF(OR('Input Laying'!U30="",'Input Laying'!U30=0),"",'Input Laying'!U30)</f>
        <v/>
      </c>
      <c r="U19" t="str">
        <f>IF(OR('Input Laying'!X30="",'Input Laying'!X30=0),"",'Input Laying'!X30)</f>
        <v/>
      </c>
      <c r="V19" t="str">
        <f>IF(OR('Input Laying'!Z30="",'Input Laying'!Z30=0),"",'Input Laying'!Z30)</f>
        <v/>
      </c>
      <c r="W19" t="str">
        <f>IF('Input Laying'!AC30="","",'Input Laying'!AC30)</f>
        <v/>
      </c>
      <c r="X19" t="str">
        <f>IF('Input Laying'!AD30="","",'Input Laying'!AD30)</f>
        <v/>
      </c>
      <c r="Y19" t="str">
        <f>IF('Input Laying'!AE30="","",'Input Laying'!AE30)</f>
        <v/>
      </c>
      <c r="Z19" t="str">
        <f>IF('Input Laying'!AG30="","",'Input Laying'!AG30)</f>
        <v/>
      </c>
      <c r="AA19" t="str">
        <f>IF(OR('Input Laying'!AH30=0,'Input Laying'!AH30=""),"",'Input Laying'!AH30)</f>
        <v/>
      </c>
      <c r="AB19" t="str">
        <f>IF('Input Laying'!AJ30="","",'Input Laying'!AJ30)</f>
        <v/>
      </c>
    </row>
    <row r="20" spans="1:28" x14ac:dyDescent="0.2">
      <c r="F20">
        <v>17</v>
      </c>
      <c r="G20" t="str">
        <f ca="1">IF(OR('Graph values'!X112="",'Graph values'!X112=0),"",'Graph values'!X112)</f>
        <v/>
      </c>
      <c r="H20" t="str">
        <f ca="1">IF(OR('Graph values'!Q112="",'Graph values'!Q112=0),"",'Graph values'!Q112)</f>
        <v/>
      </c>
      <c r="I20" t="str">
        <f ca="1">IF(ISNA('Graph values'!D112),"",'Graph values'!D112)</f>
        <v/>
      </c>
      <c r="J20" t="str">
        <f ca="1">IF(ISNA('Graph values'!F112*100),"",'Graph values'!F112*100)</f>
        <v/>
      </c>
      <c r="K20">
        <f ca="1">OFFSET('Input Rearing'!S28,'Graph values'!O112,0)</f>
        <v>0</v>
      </c>
      <c r="L20" s="191">
        <f ca="1">'Graph values'!Z112</f>
        <v>0</v>
      </c>
      <c r="M20" t="str">
        <f ca="1">OFFSET('Input Rearing'!AC28,'Graph values'!O112,0)</f>
        <v/>
      </c>
      <c r="N20" t="str">
        <f ca="1">OFFSET('Input Rearing'!AE28,'Graph values'!O112,0)</f>
        <v/>
      </c>
      <c r="O20">
        <f ca="1">OFFSET('Input Rearing'!AF28,'Graph values'!O112,0)</f>
        <v>0</v>
      </c>
      <c r="P20">
        <v>33</v>
      </c>
      <c r="Q20" t="str">
        <f>IF(OR('Input Laying'!E31="",'Input Laying'!E31=0),"",'Input Laying'!E31)</f>
        <v/>
      </c>
      <c r="R20" t="str">
        <f>IF(OR('Input Laying'!N31="",'Input Laying'!N31=0),"",'Input Laying'!N31)</f>
        <v/>
      </c>
      <c r="S20" t="str">
        <f>IF(OR('Input Laying'!T31="",'Input Laying'!T31=0),"",'Input Laying'!T31)</f>
        <v/>
      </c>
      <c r="T20" t="str">
        <f>IF(OR('Input Laying'!U31="",'Input Laying'!U31=0),"",'Input Laying'!U31)</f>
        <v/>
      </c>
      <c r="U20" t="str">
        <f>IF(OR('Input Laying'!X31="",'Input Laying'!X31=0),"",'Input Laying'!X31)</f>
        <v/>
      </c>
      <c r="V20" t="str">
        <f>IF(OR('Input Laying'!Z31="",'Input Laying'!Z31=0),"",'Input Laying'!Z31)</f>
        <v/>
      </c>
      <c r="W20" t="str">
        <f>IF('Input Laying'!AC31="","",'Input Laying'!AC31)</f>
        <v/>
      </c>
      <c r="X20" t="str">
        <f>IF('Input Laying'!AD31="","",'Input Laying'!AD31)</f>
        <v/>
      </c>
      <c r="Y20" t="str">
        <f>IF('Input Laying'!AE31="","",'Input Laying'!AE31)</f>
        <v/>
      </c>
      <c r="Z20" t="str">
        <f>IF('Input Laying'!AG31="","",'Input Laying'!AG31)</f>
        <v/>
      </c>
      <c r="AA20" t="str">
        <f>IF(OR('Input Laying'!AH31=0,'Input Laying'!AH31=""),"",'Input Laying'!AH31)</f>
        <v/>
      </c>
      <c r="AB20" t="str">
        <f>IF('Input Laying'!AJ31="","",'Input Laying'!AJ31)</f>
        <v/>
      </c>
    </row>
    <row r="21" spans="1:28" x14ac:dyDescent="0.2">
      <c r="B21" t="s">
        <v>553</v>
      </c>
      <c r="F21">
        <v>18</v>
      </c>
      <c r="G21" t="str">
        <f ca="1">IF(OR('Graph values'!X113="",'Graph values'!X113=0),"",'Graph values'!X113)</f>
        <v/>
      </c>
      <c r="H21" t="str">
        <f ca="1">IF(OR('Graph values'!Q113="",'Graph values'!Q113=0),"",'Graph values'!Q113)</f>
        <v/>
      </c>
      <c r="I21" t="str">
        <f ca="1">IF(ISNA('Graph values'!D113),"",'Graph values'!D113)</f>
        <v/>
      </c>
      <c r="J21" t="str">
        <f ca="1">IF(ISNA('Graph values'!F113*100),"",'Graph values'!F113*100)</f>
        <v/>
      </c>
      <c r="K21">
        <f ca="1">OFFSET('Input Rearing'!S29,'Graph values'!O113,0)</f>
        <v>0</v>
      </c>
      <c r="L21" s="191">
        <f ca="1">'Graph values'!Z113</f>
        <v>0</v>
      </c>
      <c r="M21" t="str">
        <f ca="1">OFFSET('Input Rearing'!AC29,'Graph values'!O113,0)</f>
        <v/>
      </c>
      <c r="N21" t="str">
        <f ca="1">OFFSET('Input Rearing'!AE29,'Graph values'!O113,0)</f>
        <v/>
      </c>
      <c r="O21">
        <f ca="1">OFFSET('Input Rearing'!AF29,'Graph values'!O113,0)</f>
        <v>0</v>
      </c>
      <c r="P21">
        <v>34</v>
      </c>
      <c r="Q21" t="str">
        <f>IF(OR('Input Laying'!E32="",'Input Laying'!E32=0),"",'Input Laying'!E32)</f>
        <v/>
      </c>
      <c r="R21" t="str">
        <f>IF(OR('Input Laying'!N32="",'Input Laying'!N32=0),"",'Input Laying'!N32)</f>
        <v/>
      </c>
      <c r="S21" t="str">
        <f>IF(OR('Input Laying'!T32="",'Input Laying'!T32=0),"",'Input Laying'!T32)</f>
        <v/>
      </c>
      <c r="T21" t="str">
        <f>IF(OR('Input Laying'!U32="",'Input Laying'!U32=0),"",'Input Laying'!U32)</f>
        <v/>
      </c>
      <c r="U21" t="str">
        <f>IF(OR('Input Laying'!X32="",'Input Laying'!X32=0),"",'Input Laying'!X32)</f>
        <v/>
      </c>
      <c r="V21" t="str">
        <f>IF(OR('Input Laying'!Z32="",'Input Laying'!Z32=0),"",'Input Laying'!Z32)</f>
        <v/>
      </c>
      <c r="W21" t="str">
        <f>IF('Input Laying'!AC32="","",'Input Laying'!AC32)</f>
        <v/>
      </c>
      <c r="X21" t="str">
        <f>IF('Input Laying'!AD32="","",'Input Laying'!AD32)</f>
        <v/>
      </c>
      <c r="Y21" t="str">
        <f>IF('Input Laying'!AE32="","",'Input Laying'!AE32)</f>
        <v/>
      </c>
      <c r="Z21" t="str">
        <f>IF('Input Laying'!AG32="","",'Input Laying'!AG32)</f>
        <v/>
      </c>
      <c r="AA21" t="str">
        <f>IF(OR('Input Laying'!AH32=0,'Input Laying'!AH32=""),"",'Input Laying'!AH32)</f>
        <v/>
      </c>
      <c r="AB21" t="str">
        <f>IF('Input Laying'!AJ32="","",'Input Laying'!AJ32)</f>
        <v/>
      </c>
    </row>
    <row r="22" spans="1:28" x14ac:dyDescent="0.2">
      <c r="A22" t="s">
        <v>546</v>
      </c>
      <c r="B22">
        <f>YEAR(B25)</f>
        <v>1900</v>
      </c>
      <c r="P22">
        <v>35</v>
      </c>
      <c r="Q22" t="str">
        <f>IF(OR('Input Laying'!E33="",'Input Laying'!E33=0),"",'Input Laying'!E33)</f>
        <v/>
      </c>
      <c r="R22" t="str">
        <f>IF(OR('Input Laying'!N33="",'Input Laying'!N33=0),"",'Input Laying'!N33)</f>
        <v/>
      </c>
      <c r="S22" t="str">
        <f>IF(OR('Input Laying'!T33="",'Input Laying'!T33=0),"",'Input Laying'!T33)</f>
        <v/>
      </c>
      <c r="T22" t="str">
        <f>IF(OR('Input Laying'!U33="",'Input Laying'!U33=0),"",'Input Laying'!U33)</f>
        <v/>
      </c>
      <c r="U22" t="str">
        <f>IF(OR('Input Laying'!X33="",'Input Laying'!X33=0),"",'Input Laying'!X33)</f>
        <v/>
      </c>
      <c r="V22" t="str">
        <f>IF(OR('Input Laying'!Z33="",'Input Laying'!Z33=0),"",'Input Laying'!Z33)</f>
        <v/>
      </c>
      <c r="W22" t="str">
        <f>IF('Input Laying'!AC33="","",'Input Laying'!AC33)</f>
        <v/>
      </c>
      <c r="X22" t="str">
        <f>IF('Input Laying'!AD33="","",'Input Laying'!AD33)</f>
        <v/>
      </c>
      <c r="Y22" t="str">
        <f>IF('Input Laying'!AE33="","",'Input Laying'!AE33)</f>
        <v/>
      </c>
      <c r="Z22" t="str">
        <f>IF('Input Laying'!AG33="","",'Input Laying'!AG33)</f>
        <v/>
      </c>
      <c r="AA22" t="str">
        <f>IF(OR('Input Laying'!AH33=0,'Input Laying'!AH33=""),"",'Input Laying'!AH33)</f>
        <v/>
      </c>
      <c r="AB22" t="str">
        <f>IF('Input Laying'!AJ33="","",'Input Laying'!AJ33)</f>
        <v/>
      </c>
    </row>
    <row r="23" spans="1:28" x14ac:dyDescent="0.2">
      <c r="A23" t="s">
        <v>548</v>
      </c>
      <c r="B23">
        <f>MONTH(B25)</f>
        <v>1</v>
      </c>
      <c r="P23">
        <v>36</v>
      </c>
      <c r="Q23" t="str">
        <f>IF(OR('Input Laying'!E34="",'Input Laying'!E34=0),"",'Input Laying'!E34)</f>
        <v/>
      </c>
      <c r="R23" t="str">
        <f>IF(OR('Input Laying'!N34="",'Input Laying'!N34=0),"",'Input Laying'!N34)</f>
        <v/>
      </c>
      <c r="S23" t="str">
        <f>IF(OR('Input Laying'!T34="",'Input Laying'!T34=0),"",'Input Laying'!T34)</f>
        <v/>
      </c>
      <c r="T23" t="str">
        <f>IF(OR('Input Laying'!U34="",'Input Laying'!U34=0),"",'Input Laying'!U34)</f>
        <v/>
      </c>
      <c r="U23" t="str">
        <f>IF(OR('Input Laying'!X34="",'Input Laying'!X34=0),"",'Input Laying'!X34)</f>
        <v/>
      </c>
      <c r="V23" t="str">
        <f>IF(OR('Input Laying'!Z34="",'Input Laying'!Z34=0),"",'Input Laying'!Z34)</f>
        <v/>
      </c>
      <c r="W23" t="str">
        <f>IF('Input Laying'!AC34="","",'Input Laying'!AC34)</f>
        <v/>
      </c>
      <c r="X23" t="str">
        <f>IF('Input Laying'!AD34="","",'Input Laying'!AD34)</f>
        <v/>
      </c>
      <c r="Y23" t="str">
        <f>IF('Input Laying'!AE34="","",'Input Laying'!AE34)</f>
        <v/>
      </c>
      <c r="Z23" t="str">
        <f>IF('Input Laying'!AG34="","",'Input Laying'!AG34)</f>
        <v/>
      </c>
      <c r="AA23" t="str">
        <f>IF(OR('Input Laying'!AH34=0,'Input Laying'!AH34=""),"",'Input Laying'!AH34)</f>
        <v/>
      </c>
      <c r="AB23" t="str">
        <f>IF('Input Laying'!AJ34="","",'Input Laying'!AJ34)</f>
        <v/>
      </c>
    </row>
    <row r="24" spans="1:28" x14ac:dyDescent="0.2">
      <c r="A24" t="s">
        <v>547</v>
      </c>
      <c r="B24">
        <f>DAY(B25)</f>
        <v>0</v>
      </c>
      <c r="P24">
        <v>37</v>
      </c>
      <c r="Q24" t="str">
        <f>IF(OR('Input Laying'!E35="",'Input Laying'!E35=0),"",'Input Laying'!E35)</f>
        <v/>
      </c>
      <c r="R24" t="str">
        <f>IF(OR('Input Laying'!N35="",'Input Laying'!N35=0),"",'Input Laying'!N35)</f>
        <v/>
      </c>
      <c r="S24" t="str">
        <f>IF(OR('Input Laying'!T35="",'Input Laying'!T35=0),"",'Input Laying'!T35)</f>
        <v/>
      </c>
      <c r="T24" t="str">
        <f>IF(OR('Input Laying'!U35="",'Input Laying'!U35=0),"",'Input Laying'!U35)</f>
        <v/>
      </c>
      <c r="U24" t="str">
        <f>IF(OR('Input Laying'!X35="",'Input Laying'!X35=0),"",'Input Laying'!X35)</f>
        <v/>
      </c>
      <c r="V24" t="str">
        <f>IF(OR('Input Laying'!Z35="",'Input Laying'!Z35=0),"",'Input Laying'!Z35)</f>
        <v/>
      </c>
      <c r="W24" t="str">
        <f>IF('Input Laying'!AC35="","",'Input Laying'!AC35)</f>
        <v/>
      </c>
      <c r="X24" t="str">
        <f>IF('Input Laying'!AD35="","",'Input Laying'!AD35)</f>
        <v/>
      </c>
      <c r="Y24" t="str">
        <f>IF('Input Laying'!AE35="","",'Input Laying'!AE35)</f>
        <v/>
      </c>
      <c r="Z24" t="str">
        <f>IF('Input Laying'!AG35="","",'Input Laying'!AG35)</f>
        <v/>
      </c>
      <c r="AA24" t="str">
        <f>IF(OR('Input Laying'!AH35=0,'Input Laying'!AH35=""),"",'Input Laying'!AH35)</f>
        <v/>
      </c>
      <c r="AB24" t="str">
        <f>IF('Input Laying'!AJ35="","",'Input Laying'!AJ35)</f>
        <v/>
      </c>
    </row>
    <row r="25" spans="1:28" x14ac:dyDescent="0.2">
      <c r="A25" t="s">
        <v>551</v>
      </c>
      <c r="B25" s="52">
        <f>'Input Laying'!G5</f>
        <v>0</v>
      </c>
      <c r="C25" s="52">
        <f>IF(ISNA(B25),"",B25)</f>
        <v>0</v>
      </c>
      <c r="P25">
        <v>38</v>
      </c>
      <c r="Q25" t="str">
        <f>IF(OR('Input Laying'!E36="",'Input Laying'!E36=0),"",'Input Laying'!E36)</f>
        <v/>
      </c>
      <c r="R25" t="str">
        <f>IF(OR('Input Laying'!N36="",'Input Laying'!N36=0),"",'Input Laying'!N36)</f>
        <v/>
      </c>
      <c r="S25" t="str">
        <f>IF(OR('Input Laying'!T36="",'Input Laying'!T36=0),"",'Input Laying'!T36)</f>
        <v/>
      </c>
      <c r="T25" t="str">
        <f>IF(OR('Input Laying'!U36="",'Input Laying'!U36=0),"",'Input Laying'!U36)</f>
        <v/>
      </c>
      <c r="U25" t="str">
        <f>IF(OR('Input Laying'!X36="",'Input Laying'!X36=0),"",'Input Laying'!X36)</f>
        <v/>
      </c>
      <c r="V25" t="str">
        <f>IF(OR('Input Laying'!Z36="",'Input Laying'!Z36=0),"",'Input Laying'!Z36)</f>
        <v/>
      </c>
      <c r="W25" t="str">
        <f>IF('Input Laying'!AC36="","",'Input Laying'!AC36)</f>
        <v/>
      </c>
      <c r="X25" t="str">
        <f>IF('Input Laying'!AD36="","",'Input Laying'!AD36)</f>
        <v/>
      </c>
      <c r="Y25" t="str">
        <f>IF('Input Laying'!AE36="","",'Input Laying'!AE36)</f>
        <v/>
      </c>
      <c r="Z25" t="str">
        <f>IF('Input Laying'!AG36="","",'Input Laying'!AG36)</f>
        <v/>
      </c>
      <c r="AA25" t="str">
        <f>IF(OR('Input Laying'!AH36=0,'Input Laying'!AH36=""),"",'Input Laying'!AH36)</f>
        <v/>
      </c>
      <c r="AB25" t="str">
        <f>IF('Input Laying'!AJ36="","",'Input Laying'!AJ36)</f>
        <v/>
      </c>
    </row>
    <row r="26" spans="1:28" x14ac:dyDescent="0.2">
      <c r="P26">
        <v>39</v>
      </c>
      <c r="Q26" t="str">
        <f>IF(OR('Input Laying'!E37="",'Input Laying'!E37=0),"",'Input Laying'!E37)</f>
        <v/>
      </c>
      <c r="R26" t="str">
        <f>IF(OR('Input Laying'!N37="",'Input Laying'!N37=0),"",'Input Laying'!N37)</f>
        <v/>
      </c>
      <c r="S26" t="str">
        <f>IF(OR('Input Laying'!T37="",'Input Laying'!T37=0),"",'Input Laying'!T37)</f>
        <v/>
      </c>
      <c r="T26" t="str">
        <f>IF(OR('Input Laying'!U37="",'Input Laying'!U37=0),"",'Input Laying'!U37)</f>
        <v/>
      </c>
      <c r="U26" t="str">
        <f>IF(OR('Input Laying'!X37="",'Input Laying'!X37=0),"",'Input Laying'!X37)</f>
        <v/>
      </c>
      <c r="V26" t="str">
        <f>IF(OR('Input Laying'!Z37="",'Input Laying'!Z37=0),"",'Input Laying'!Z37)</f>
        <v/>
      </c>
      <c r="W26" t="str">
        <f>IF('Input Laying'!AC37="","",'Input Laying'!AC37)</f>
        <v/>
      </c>
      <c r="X26" t="str">
        <f>IF('Input Laying'!AD37="","",'Input Laying'!AD37)</f>
        <v/>
      </c>
      <c r="Y26" t="str">
        <f>IF('Input Laying'!AE37="","",'Input Laying'!AE37)</f>
        <v/>
      </c>
      <c r="Z26" t="str">
        <f>IF('Input Laying'!AG37="","",'Input Laying'!AG37)</f>
        <v/>
      </c>
      <c r="AA26" t="str">
        <f>IF(OR('Input Laying'!AH37=0,'Input Laying'!AH37=""),"",'Input Laying'!AH37)</f>
        <v/>
      </c>
      <c r="AB26" t="str">
        <f>IF('Input Laying'!AJ37="","",'Input Laying'!AJ37)</f>
        <v/>
      </c>
    </row>
    <row r="27" spans="1:28" x14ac:dyDescent="0.2">
      <c r="P27">
        <v>40</v>
      </c>
      <c r="Q27" t="str">
        <f>IF(OR('Input Laying'!E38="",'Input Laying'!E38=0),"",'Input Laying'!E38)</f>
        <v/>
      </c>
      <c r="R27" t="str">
        <f>IF(OR('Input Laying'!N38="",'Input Laying'!N38=0),"",'Input Laying'!N38)</f>
        <v/>
      </c>
      <c r="S27" t="str">
        <f>IF(OR('Input Laying'!T38="",'Input Laying'!T38=0),"",'Input Laying'!T38)</f>
        <v/>
      </c>
      <c r="T27" t="str">
        <f>IF(OR('Input Laying'!U38="",'Input Laying'!U38=0),"",'Input Laying'!U38)</f>
        <v/>
      </c>
      <c r="U27" t="str">
        <f>IF(OR('Input Laying'!X38="",'Input Laying'!X38=0),"",'Input Laying'!X38)</f>
        <v/>
      </c>
      <c r="V27" t="str">
        <f>IF(OR('Input Laying'!Z38="",'Input Laying'!Z38=0),"",'Input Laying'!Z38)</f>
        <v/>
      </c>
      <c r="W27" t="str">
        <f>IF('Input Laying'!AC38="","",'Input Laying'!AC38)</f>
        <v/>
      </c>
      <c r="X27" t="str">
        <f>IF('Input Laying'!AD38="","",'Input Laying'!AD38)</f>
        <v/>
      </c>
      <c r="Y27" t="str">
        <f>IF('Input Laying'!AE38="","",'Input Laying'!AE38)</f>
        <v/>
      </c>
      <c r="Z27" t="str">
        <f>IF('Input Laying'!AG38="","",'Input Laying'!AG38)</f>
        <v/>
      </c>
      <c r="AA27" t="str">
        <f>IF(OR('Input Laying'!AH38=0,'Input Laying'!AH38=""),"",'Input Laying'!AH38)</f>
        <v/>
      </c>
      <c r="AB27" t="str">
        <f>IF('Input Laying'!AJ38="","",'Input Laying'!AJ38)</f>
        <v/>
      </c>
    </row>
    <row r="28" spans="1:28" x14ac:dyDescent="0.2">
      <c r="P28">
        <v>41</v>
      </c>
      <c r="Q28" t="str">
        <f>IF(OR('Input Laying'!E39="",'Input Laying'!E39=0),"",'Input Laying'!E39)</f>
        <v/>
      </c>
      <c r="R28" t="str">
        <f>IF(OR('Input Laying'!N39="",'Input Laying'!N39=0),"",'Input Laying'!N39)</f>
        <v/>
      </c>
      <c r="S28" t="str">
        <f>IF(OR('Input Laying'!T39="",'Input Laying'!T39=0),"",'Input Laying'!T39)</f>
        <v/>
      </c>
      <c r="T28" t="str">
        <f>IF(OR('Input Laying'!U39="",'Input Laying'!U39=0),"",'Input Laying'!U39)</f>
        <v/>
      </c>
      <c r="U28" t="str">
        <f>IF(OR('Input Laying'!X39="",'Input Laying'!X39=0),"",'Input Laying'!X39)</f>
        <v/>
      </c>
      <c r="V28" t="str">
        <f>IF(OR('Input Laying'!Z39="",'Input Laying'!Z39=0),"",'Input Laying'!Z39)</f>
        <v/>
      </c>
      <c r="W28" t="str">
        <f>IF('Input Laying'!AC39="","",'Input Laying'!AC39)</f>
        <v/>
      </c>
      <c r="X28" t="str">
        <f>IF('Input Laying'!AD39="","",'Input Laying'!AD39)</f>
        <v/>
      </c>
      <c r="Y28" t="str">
        <f>IF('Input Laying'!AE39="","",'Input Laying'!AE39)</f>
        <v/>
      </c>
      <c r="Z28" t="str">
        <f>IF('Input Laying'!AG39="","",'Input Laying'!AG39)</f>
        <v/>
      </c>
      <c r="AA28" t="str">
        <f>IF(OR('Input Laying'!AH39=0,'Input Laying'!AH39=""),"",'Input Laying'!AH39)</f>
        <v/>
      </c>
      <c r="AB28" t="str">
        <f>IF('Input Laying'!AJ39="","",'Input Laying'!AJ39)</f>
        <v/>
      </c>
    </row>
    <row r="29" spans="1:28" x14ac:dyDescent="0.2">
      <c r="P29">
        <v>42</v>
      </c>
      <c r="Q29" t="str">
        <f>IF(OR('Input Laying'!E40="",'Input Laying'!E40=0),"",'Input Laying'!E40)</f>
        <v/>
      </c>
      <c r="R29" t="str">
        <f>IF(OR('Input Laying'!N40="",'Input Laying'!N40=0),"",'Input Laying'!N40)</f>
        <v/>
      </c>
      <c r="S29" t="str">
        <f>IF(OR('Input Laying'!T40="",'Input Laying'!T40=0),"",'Input Laying'!T40)</f>
        <v/>
      </c>
      <c r="T29" t="str">
        <f>IF(OR('Input Laying'!U40="",'Input Laying'!U40=0),"",'Input Laying'!U40)</f>
        <v/>
      </c>
      <c r="U29" t="str">
        <f>IF(OR('Input Laying'!X40="",'Input Laying'!X40=0),"",'Input Laying'!X40)</f>
        <v/>
      </c>
      <c r="V29" t="str">
        <f>IF(OR('Input Laying'!Z40="",'Input Laying'!Z40=0),"",'Input Laying'!Z40)</f>
        <v/>
      </c>
      <c r="W29" t="str">
        <f>IF('Input Laying'!AC40="","",'Input Laying'!AC40)</f>
        <v/>
      </c>
      <c r="X29" t="str">
        <f>IF('Input Laying'!AD40="","",'Input Laying'!AD40)</f>
        <v/>
      </c>
      <c r="Y29" t="str">
        <f>IF('Input Laying'!AE40="","",'Input Laying'!AE40)</f>
        <v/>
      </c>
      <c r="Z29" t="str">
        <f>IF('Input Laying'!AG40="","",'Input Laying'!AG40)</f>
        <v/>
      </c>
      <c r="AA29" t="str">
        <f>IF(OR('Input Laying'!AH40=0,'Input Laying'!AH40=""),"",'Input Laying'!AH40)</f>
        <v/>
      </c>
      <c r="AB29" t="str">
        <f>IF('Input Laying'!AJ40="","",'Input Laying'!AJ40)</f>
        <v/>
      </c>
    </row>
    <row r="30" spans="1:28" x14ac:dyDescent="0.2">
      <c r="P30">
        <v>43</v>
      </c>
      <c r="Q30" t="str">
        <f>IF(OR('Input Laying'!E41="",'Input Laying'!E41=0),"",'Input Laying'!E41)</f>
        <v/>
      </c>
      <c r="R30" t="str">
        <f>IF(OR('Input Laying'!N41="",'Input Laying'!N41=0),"",'Input Laying'!N41)</f>
        <v/>
      </c>
      <c r="S30" t="str">
        <f>IF(OR('Input Laying'!T41="",'Input Laying'!T41=0),"",'Input Laying'!T41)</f>
        <v/>
      </c>
      <c r="T30" t="str">
        <f>IF(OR('Input Laying'!U41="",'Input Laying'!U41=0),"",'Input Laying'!U41)</f>
        <v/>
      </c>
      <c r="U30" t="str">
        <f>IF(OR('Input Laying'!X41="",'Input Laying'!X41=0),"",'Input Laying'!X41)</f>
        <v/>
      </c>
      <c r="V30" t="str">
        <f>IF(OR('Input Laying'!Z41="",'Input Laying'!Z41=0),"",'Input Laying'!Z41)</f>
        <v/>
      </c>
      <c r="W30" t="str">
        <f>IF('Input Laying'!AC41="","",'Input Laying'!AC41)</f>
        <v/>
      </c>
      <c r="X30" t="str">
        <f>IF('Input Laying'!AD41="","",'Input Laying'!AD41)</f>
        <v/>
      </c>
      <c r="Y30" t="str">
        <f>IF('Input Laying'!AE41="","",'Input Laying'!AE41)</f>
        <v/>
      </c>
      <c r="Z30" t="str">
        <f>IF('Input Laying'!AG41="","",'Input Laying'!AG41)</f>
        <v/>
      </c>
      <c r="AA30" t="str">
        <f>IF(OR('Input Laying'!AH41=0,'Input Laying'!AH41=""),"",'Input Laying'!AH41)</f>
        <v/>
      </c>
      <c r="AB30" t="str">
        <f>IF('Input Laying'!AJ41="","",'Input Laying'!AJ41)</f>
        <v/>
      </c>
    </row>
    <row r="31" spans="1:28" x14ac:dyDescent="0.2">
      <c r="P31">
        <v>44</v>
      </c>
      <c r="Q31" t="str">
        <f>IF(OR('Input Laying'!E42="",'Input Laying'!E42=0),"",'Input Laying'!E42)</f>
        <v/>
      </c>
      <c r="R31" t="str">
        <f>IF(OR('Input Laying'!N42="",'Input Laying'!N42=0),"",'Input Laying'!N42)</f>
        <v/>
      </c>
      <c r="S31" t="str">
        <f>IF(OR('Input Laying'!T42="",'Input Laying'!T42=0),"",'Input Laying'!T42)</f>
        <v/>
      </c>
      <c r="T31" t="str">
        <f>IF(OR('Input Laying'!U42="",'Input Laying'!U42=0),"",'Input Laying'!U42)</f>
        <v/>
      </c>
      <c r="U31" t="str">
        <f>IF(OR('Input Laying'!X42="",'Input Laying'!X42=0),"",'Input Laying'!X42)</f>
        <v/>
      </c>
      <c r="V31" t="str">
        <f>IF(OR('Input Laying'!Z42="",'Input Laying'!Z42=0),"",'Input Laying'!Z42)</f>
        <v/>
      </c>
      <c r="W31" t="str">
        <f>IF('Input Laying'!AC42="","",'Input Laying'!AC42)</f>
        <v/>
      </c>
      <c r="X31" t="str">
        <f>IF('Input Laying'!AD42="","",'Input Laying'!AD42)</f>
        <v/>
      </c>
      <c r="Y31" t="str">
        <f>IF('Input Laying'!AE42="","",'Input Laying'!AE42)</f>
        <v/>
      </c>
      <c r="Z31" t="str">
        <f>IF('Input Laying'!AG42="","",'Input Laying'!AG42)</f>
        <v/>
      </c>
      <c r="AA31" t="str">
        <f>IF(OR('Input Laying'!AH42=0,'Input Laying'!AH42=""),"",'Input Laying'!AH42)</f>
        <v/>
      </c>
      <c r="AB31" t="str">
        <f>IF('Input Laying'!AJ42="","",'Input Laying'!AJ42)</f>
        <v/>
      </c>
    </row>
    <row r="32" spans="1:28" x14ac:dyDescent="0.2">
      <c r="P32">
        <v>45</v>
      </c>
      <c r="Q32" t="str">
        <f>IF(OR('Input Laying'!E43="",'Input Laying'!E43=0),"",'Input Laying'!E43)</f>
        <v/>
      </c>
      <c r="R32" t="str">
        <f>IF(OR('Input Laying'!N43="",'Input Laying'!N43=0),"",'Input Laying'!N43)</f>
        <v/>
      </c>
      <c r="S32" t="str">
        <f>IF(OR('Input Laying'!T43="",'Input Laying'!T43=0),"",'Input Laying'!T43)</f>
        <v/>
      </c>
      <c r="T32" t="str">
        <f>IF(OR('Input Laying'!U43="",'Input Laying'!U43=0),"",'Input Laying'!U43)</f>
        <v/>
      </c>
      <c r="U32" t="str">
        <f>IF(OR('Input Laying'!X43="",'Input Laying'!X43=0),"",'Input Laying'!X43)</f>
        <v/>
      </c>
      <c r="V32" t="str">
        <f>IF(OR('Input Laying'!Z43="",'Input Laying'!Z43=0),"",'Input Laying'!Z43)</f>
        <v/>
      </c>
      <c r="W32" t="str">
        <f>IF('Input Laying'!AC43="","",'Input Laying'!AC43)</f>
        <v/>
      </c>
      <c r="X32" t="str">
        <f>IF('Input Laying'!AD43="","",'Input Laying'!AD43)</f>
        <v/>
      </c>
      <c r="Y32" t="str">
        <f>IF('Input Laying'!AE43="","",'Input Laying'!AE43)</f>
        <v/>
      </c>
      <c r="Z32" t="str">
        <f>IF('Input Laying'!AG43="","",'Input Laying'!AG43)</f>
        <v/>
      </c>
      <c r="AA32" t="str">
        <f>IF(OR('Input Laying'!AH43=0,'Input Laying'!AH43=""),"",'Input Laying'!AH43)</f>
        <v/>
      </c>
      <c r="AB32" t="str">
        <f>IF('Input Laying'!AJ43="","",'Input Laying'!AJ43)</f>
        <v/>
      </c>
    </row>
    <row r="33" spans="16:28" x14ac:dyDescent="0.2">
      <c r="P33">
        <v>46</v>
      </c>
      <c r="Q33" t="str">
        <f>IF(OR('Input Laying'!E44="",'Input Laying'!E44=0),"",'Input Laying'!E44)</f>
        <v/>
      </c>
      <c r="R33" t="str">
        <f>IF(OR('Input Laying'!N44="",'Input Laying'!N44=0),"",'Input Laying'!N44)</f>
        <v/>
      </c>
      <c r="S33" t="str">
        <f>IF(OR('Input Laying'!T44="",'Input Laying'!T44=0),"",'Input Laying'!T44)</f>
        <v/>
      </c>
      <c r="T33" t="str">
        <f>IF(OR('Input Laying'!U44="",'Input Laying'!U44=0),"",'Input Laying'!U44)</f>
        <v/>
      </c>
      <c r="U33" t="str">
        <f>IF(OR('Input Laying'!X44="",'Input Laying'!X44=0),"",'Input Laying'!X44)</f>
        <v/>
      </c>
      <c r="V33" t="str">
        <f>IF(OR('Input Laying'!Z44="",'Input Laying'!Z44=0),"",'Input Laying'!Z44)</f>
        <v/>
      </c>
      <c r="W33" t="str">
        <f>IF('Input Laying'!AC44="","",'Input Laying'!AC44)</f>
        <v/>
      </c>
      <c r="X33" t="str">
        <f>IF('Input Laying'!AD44="","",'Input Laying'!AD44)</f>
        <v/>
      </c>
      <c r="Y33" t="str">
        <f>IF('Input Laying'!AE44="","",'Input Laying'!AE44)</f>
        <v/>
      </c>
      <c r="Z33" t="str">
        <f>IF('Input Laying'!AG44="","",'Input Laying'!AG44)</f>
        <v/>
      </c>
      <c r="AA33" t="str">
        <f>IF(OR('Input Laying'!AH44=0,'Input Laying'!AH44=""),"",'Input Laying'!AH44)</f>
        <v/>
      </c>
      <c r="AB33" t="str">
        <f>IF('Input Laying'!AJ44="","",'Input Laying'!AJ44)</f>
        <v/>
      </c>
    </row>
    <row r="34" spans="16:28" x14ac:dyDescent="0.2">
      <c r="P34">
        <v>47</v>
      </c>
      <c r="Q34" t="str">
        <f>IF(OR('Input Laying'!E45="",'Input Laying'!E45=0),"",'Input Laying'!E45)</f>
        <v/>
      </c>
      <c r="R34" t="str">
        <f>IF(OR('Input Laying'!N45="",'Input Laying'!N45=0),"",'Input Laying'!N45)</f>
        <v/>
      </c>
      <c r="S34" t="str">
        <f>IF(OR('Input Laying'!T45="",'Input Laying'!T45=0),"",'Input Laying'!T45)</f>
        <v/>
      </c>
      <c r="T34" t="str">
        <f>IF(OR('Input Laying'!U45="",'Input Laying'!U45=0),"",'Input Laying'!U45)</f>
        <v/>
      </c>
      <c r="U34" t="str">
        <f>IF(OR('Input Laying'!X45="",'Input Laying'!X45=0),"",'Input Laying'!X45)</f>
        <v/>
      </c>
      <c r="V34" t="str">
        <f>IF(OR('Input Laying'!Z45="",'Input Laying'!Z45=0),"",'Input Laying'!Z45)</f>
        <v/>
      </c>
      <c r="W34" t="str">
        <f>IF('Input Laying'!AC45="","",'Input Laying'!AC45)</f>
        <v/>
      </c>
      <c r="X34" t="str">
        <f>IF('Input Laying'!AD45="","",'Input Laying'!AD45)</f>
        <v/>
      </c>
      <c r="Y34" t="str">
        <f>IF('Input Laying'!AE45="","",'Input Laying'!AE45)</f>
        <v/>
      </c>
      <c r="Z34" t="str">
        <f>IF('Input Laying'!AG45="","",'Input Laying'!AG45)</f>
        <v/>
      </c>
      <c r="AA34" t="str">
        <f>IF(OR('Input Laying'!AH45=0,'Input Laying'!AH45=""),"",'Input Laying'!AH45)</f>
        <v/>
      </c>
      <c r="AB34" t="str">
        <f>IF('Input Laying'!AJ45="","",'Input Laying'!AJ45)</f>
        <v/>
      </c>
    </row>
    <row r="35" spans="16:28" x14ac:dyDescent="0.2">
      <c r="P35">
        <v>48</v>
      </c>
      <c r="Q35" t="str">
        <f>IF(OR('Input Laying'!E46="",'Input Laying'!E46=0),"",'Input Laying'!E46)</f>
        <v/>
      </c>
      <c r="R35" t="str">
        <f>IF(OR('Input Laying'!N46="",'Input Laying'!N46=0),"",'Input Laying'!N46)</f>
        <v/>
      </c>
      <c r="S35" t="str">
        <f>IF(OR('Input Laying'!T46="",'Input Laying'!T46=0),"",'Input Laying'!T46)</f>
        <v/>
      </c>
      <c r="T35" t="str">
        <f>IF(OR('Input Laying'!U46="",'Input Laying'!U46=0),"",'Input Laying'!U46)</f>
        <v/>
      </c>
      <c r="U35" t="str">
        <f>IF(OR('Input Laying'!X46="",'Input Laying'!X46=0),"",'Input Laying'!X46)</f>
        <v/>
      </c>
      <c r="V35" t="str">
        <f>IF(OR('Input Laying'!Z46="",'Input Laying'!Z46=0),"",'Input Laying'!Z46)</f>
        <v/>
      </c>
      <c r="W35" t="str">
        <f>IF('Input Laying'!AC46="","",'Input Laying'!AC46)</f>
        <v/>
      </c>
      <c r="X35" t="str">
        <f>IF('Input Laying'!AD46="","",'Input Laying'!AD46)</f>
        <v/>
      </c>
      <c r="Y35" t="str">
        <f>IF('Input Laying'!AE46="","",'Input Laying'!AE46)</f>
        <v/>
      </c>
      <c r="Z35" t="str">
        <f>IF('Input Laying'!AG46="","",'Input Laying'!AG46)</f>
        <v/>
      </c>
      <c r="AA35" t="str">
        <f>IF(OR('Input Laying'!AH46=0,'Input Laying'!AH46=""),"",'Input Laying'!AH46)</f>
        <v/>
      </c>
      <c r="AB35" t="str">
        <f>IF('Input Laying'!AJ46="","",'Input Laying'!AJ46)</f>
        <v/>
      </c>
    </row>
    <row r="36" spans="16:28" x14ac:dyDescent="0.2">
      <c r="P36">
        <v>49</v>
      </c>
      <c r="Q36" t="str">
        <f>IF(OR('Input Laying'!E47="",'Input Laying'!E47=0),"",'Input Laying'!E47)</f>
        <v/>
      </c>
      <c r="R36" t="str">
        <f>IF(OR('Input Laying'!N47="",'Input Laying'!N47=0),"",'Input Laying'!N47)</f>
        <v/>
      </c>
      <c r="S36" t="str">
        <f>IF(OR('Input Laying'!T47="",'Input Laying'!T47=0),"",'Input Laying'!T47)</f>
        <v/>
      </c>
      <c r="T36" t="str">
        <f>IF(OR('Input Laying'!U47="",'Input Laying'!U47=0),"",'Input Laying'!U47)</f>
        <v/>
      </c>
      <c r="U36" t="str">
        <f>IF(OR('Input Laying'!X47="",'Input Laying'!X47=0),"",'Input Laying'!X47)</f>
        <v/>
      </c>
      <c r="V36" t="str">
        <f>IF(OR('Input Laying'!Z47="",'Input Laying'!Z47=0),"",'Input Laying'!Z47)</f>
        <v/>
      </c>
      <c r="W36" t="str">
        <f>IF('Input Laying'!AC47="","",'Input Laying'!AC47)</f>
        <v/>
      </c>
      <c r="X36" t="str">
        <f>IF('Input Laying'!AD47="","",'Input Laying'!AD47)</f>
        <v/>
      </c>
      <c r="Y36" t="str">
        <f>IF('Input Laying'!AE47="","",'Input Laying'!AE47)</f>
        <v/>
      </c>
      <c r="Z36" t="str">
        <f>IF('Input Laying'!AG47="","",'Input Laying'!AG47)</f>
        <v/>
      </c>
      <c r="AA36" t="str">
        <f>IF(OR('Input Laying'!AH47=0,'Input Laying'!AH47=""),"",'Input Laying'!AH47)</f>
        <v/>
      </c>
      <c r="AB36" t="str">
        <f>IF('Input Laying'!AJ47="","",'Input Laying'!AJ47)</f>
        <v/>
      </c>
    </row>
    <row r="37" spans="16:28" x14ac:dyDescent="0.2">
      <c r="P37">
        <v>50</v>
      </c>
      <c r="Q37" t="str">
        <f>IF(OR('Input Laying'!E48="",'Input Laying'!E48=0),"",'Input Laying'!E48)</f>
        <v/>
      </c>
      <c r="R37" t="str">
        <f>IF(OR('Input Laying'!N48="",'Input Laying'!N48=0),"",'Input Laying'!N48)</f>
        <v/>
      </c>
      <c r="S37" t="str">
        <f>IF(OR('Input Laying'!T48="",'Input Laying'!T48=0),"",'Input Laying'!T48)</f>
        <v/>
      </c>
      <c r="T37" t="str">
        <f>IF(OR('Input Laying'!U48="",'Input Laying'!U48=0),"",'Input Laying'!U48)</f>
        <v/>
      </c>
      <c r="U37" t="str">
        <f>IF(OR('Input Laying'!X48="",'Input Laying'!X48=0),"",'Input Laying'!X48)</f>
        <v/>
      </c>
      <c r="V37" t="str">
        <f>IF(OR('Input Laying'!Z48="",'Input Laying'!Z48=0),"",'Input Laying'!Z48)</f>
        <v/>
      </c>
      <c r="W37" t="str">
        <f>IF('Input Laying'!AC48="","",'Input Laying'!AC48)</f>
        <v/>
      </c>
      <c r="X37" t="str">
        <f>IF('Input Laying'!AD48="","",'Input Laying'!AD48)</f>
        <v/>
      </c>
      <c r="Y37" t="str">
        <f>IF('Input Laying'!AE48="","",'Input Laying'!AE48)</f>
        <v/>
      </c>
      <c r="Z37" t="str">
        <f>IF('Input Laying'!AG48="","",'Input Laying'!AG48)</f>
        <v/>
      </c>
      <c r="AA37" t="str">
        <f>IF(OR('Input Laying'!AH48=0,'Input Laying'!AH48=""),"",'Input Laying'!AH48)</f>
        <v/>
      </c>
      <c r="AB37" t="str">
        <f>IF('Input Laying'!AJ48="","",'Input Laying'!AJ48)</f>
        <v/>
      </c>
    </row>
    <row r="38" spans="16:28" x14ac:dyDescent="0.2">
      <c r="P38">
        <v>51</v>
      </c>
      <c r="Q38" t="str">
        <f>IF(OR('Input Laying'!E49="",'Input Laying'!E49=0),"",'Input Laying'!E49)</f>
        <v/>
      </c>
      <c r="R38" t="str">
        <f>IF(OR('Input Laying'!N49="",'Input Laying'!N49=0),"",'Input Laying'!N49)</f>
        <v/>
      </c>
      <c r="S38" t="str">
        <f>IF(OR('Input Laying'!T49="",'Input Laying'!T49=0),"",'Input Laying'!T49)</f>
        <v/>
      </c>
      <c r="T38" t="str">
        <f>IF(OR('Input Laying'!U49="",'Input Laying'!U49=0),"",'Input Laying'!U49)</f>
        <v/>
      </c>
      <c r="U38" t="str">
        <f>IF(OR('Input Laying'!X49="",'Input Laying'!X49=0),"",'Input Laying'!X49)</f>
        <v/>
      </c>
      <c r="V38" t="str">
        <f>IF(OR('Input Laying'!Z49="",'Input Laying'!Z49=0),"",'Input Laying'!Z49)</f>
        <v/>
      </c>
      <c r="W38" t="str">
        <f>IF('Input Laying'!AC49="","",'Input Laying'!AC49)</f>
        <v/>
      </c>
      <c r="X38" t="str">
        <f>IF('Input Laying'!AD49="","",'Input Laying'!AD49)</f>
        <v/>
      </c>
      <c r="Y38" t="str">
        <f>IF('Input Laying'!AE49="","",'Input Laying'!AE49)</f>
        <v/>
      </c>
      <c r="Z38" t="str">
        <f>IF('Input Laying'!AG49="","",'Input Laying'!AG49)</f>
        <v/>
      </c>
      <c r="AA38" t="str">
        <f>IF(OR('Input Laying'!AH49=0,'Input Laying'!AH49=""),"",'Input Laying'!AH49)</f>
        <v/>
      </c>
      <c r="AB38" t="str">
        <f>IF('Input Laying'!AJ49="","",'Input Laying'!AJ49)</f>
        <v/>
      </c>
    </row>
    <row r="39" spans="16:28" x14ac:dyDescent="0.2">
      <c r="P39">
        <v>52</v>
      </c>
      <c r="Q39" t="str">
        <f>IF(OR('Input Laying'!E50="",'Input Laying'!E50=0),"",'Input Laying'!E50)</f>
        <v/>
      </c>
      <c r="R39" t="str">
        <f>IF(OR('Input Laying'!N50="",'Input Laying'!N50=0),"",'Input Laying'!N50)</f>
        <v/>
      </c>
      <c r="S39" t="str">
        <f>IF(OR('Input Laying'!T50="",'Input Laying'!T50=0),"",'Input Laying'!T50)</f>
        <v/>
      </c>
      <c r="T39" t="str">
        <f>IF(OR('Input Laying'!U50="",'Input Laying'!U50=0),"",'Input Laying'!U50)</f>
        <v/>
      </c>
      <c r="U39" t="str">
        <f>IF(OR('Input Laying'!X50="",'Input Laying'!X50=0),"",'Input Laying'!X50)</f>
        <v/>
      </c>
      <c r="V39" t="str">
        <f>IF(OR('Input Laying'!Z50="",'Input Laying'!Z50=0),"",'Input Laying'!Z50)</f>
        <v/>
      </c>
      <c r="W39" t="str">
        <f>IF('Input Laying'!AC50="","",'Input Laying'!AC50)</f>
        <v/>
      </c>
      <c r="X39" t="str">
        <f>IF('Input Laying'!AD50="","",'Input Laying'!AD50)</f>
        <v/>
      </c>
      <c r="Y39" t="str">
        <f>IF('Input Laying'!AE50="","",'Input Laying'!AE50)</f>
        <v/>
      </c>
      <c r="Z39" t="str">
        <f>IF('Input Laying'!AG50="","",'Input Laying'!AG50)</f>
        <v/>
      </c>
      <c r="AA39" t="str">
        <f>IF(OR('Input Laying'!AH50=0,'Input Laying'!AH50=""),"",'Input Laying'!AH50)</f>
        <v/>
      </c>
      <c r="AB39" t="str">
        <f>IF('Input Laying'!AJ50="","",'Input Laying'!AJ50)</f>
        <v/>
      </c>
    </row>
    <row r="40" spans="16:28" x14ac:dyDescent="0.2">
      <c r="P40">
        <v>53</v>
      </c>
      <c r="Q40" t="str">
        <f>IF(OR('Input Laying'!E51="",'Input Laying'!E51=0),"",'Input Laying'!E51)</f>
        <v/>
      </c>
      <c r="R40" t="str">
        <f>IF(OR('Input Laying'!N51="",'Input Laying'!N51=0),"",'Input Laying'!N51)</f>
        <v/>
      </c>
      <c r="S40" t="str">
        <f>IF(OR('Input Laying'!T51="",'Input Laying'!T51=0),"",'Input Laying'!T51)</f>
        <v/>
      </c>
      <c r="T40" t="str">
        <f>IF(OR('Input Laying'!U51="",'Input Laying'!U51=0),"",'Input Laying'!U51)</f>
        <v/>
      </c>
      <c r="U40" t="str">
        <f>IF(OR('Input Laying'!X51="",'Input Laying'!X51=0),"",'Input Laying'!X51)</f>
        <v/>
      </c>
      <c r="V40" t="str">
        <f>IF(OR('Input Laying'!Z51="",'Input Laying'!Z51=0),"",'Input Laying'!Z51)</f>
        <v/>
      </c>
      <c r="W40" t="str">
        <f>IF('Input Laying'!AC51="","",'Input Laying'!AC51)</f>
        <v/>
      </c>
      <c r="X40" t="str">
        <f>IF('Input Laying'!AD51="","",'Input Laying'!AD51)</f>
        <v/>
      </c>
      <c r="Y40" t="str">
        <f>IF('Input Laying'!AE51="","",'Input Laying'!AE51)</f>
        <v/>
      </c>
      <c r="Z40" t="str">
        <f>IF('Input Laying'!AG51="","",'Input Laying'!AG51)</f>
        <v/>
      </c>
      <c r="AA40" t="str">
        <f>IF(OR('Input Laying'!AH51=0,'Input Laying'!AH51=""),"",'Input Laying'!AH51)</f>
        <v/>
      </c>
      <c r="AB40" t="str">
        <f>IF('Input Laying'!AJ51="","",'Input Laying'!AJ51)</f>
        <v/>
      </c>
    </row>
    <row r="41" spans="16:28" x14ac:dyDescent="0.2">
      <c r="P41">
        <v>54</v>
      </c>
      <c r="Q41" t="str">
        <f>IF(OR('Input Laying'!E52="",'Input Laying'!E52=0),"",'Input Laying'!E52)</f>
        <v/>
      </c>
      <c r="R41" t="str">
        <f>IF(OR('Input Laying'!N52="",'Input Laying'!N52=0),"",'Input Laying'!N52)</f>
        <v/>
      </c>
      <c r="S41" t="str">
        <f>IF(OR('Input Laying'!T52="",'Input Laying'!T52=0),"",'Input Laying'!T52)</f>
        <v/>
      </c>
      <c r="T41" t="str">
        <f>IF(OR('Input Laying'!U52="",'Input Laying'!U52=0),"",'Input Laying'!U52)</f>
        <v/>
      </c>
      <c r="U41" t="str">
        <f>IF(OR('Input Laying'!X52="",'Input Laying'!X52=0),"",'Input Laying'!X52)</f>
        <v/>
      </c>
      <c r="V41" t="str">
        <f>IF(OR('Input Laying'!Z52="",'Input Laying'!Z52=0),"",'Input Laying'!Z52)</f>
        <v/>
      </c>
      <c r="W41" t="str">
        <f>IF('Input Laying'!AC52="","",'Input Laying'!AC52)</f>
        <v/>
      </c>
      <c r="X41" t="str">
        <f>IF('Input Laying'!AD52="","",'Input Laying'!AD52)</f>
        <v/>
      </c>
      <c r="Y41" t="str">
        <f>IF('Input Laying'!AE52="","",'Input Laying'!AE52)</f>
        <v/>
      </c>
      <c r="Z41" t="str">
        <f>IF('Input Laying'!AG52="","",'Input Laying'!AG52)</f>
        <v/>
      </c>
      <c r="AA41" t="str">
        <f>IF(OR('Input Laying'!AH52=0,'Input Laying'!AH52=""),"",'Input Laying'!AH52)</f>
        <v/>
      </c>
      <c r="AB41" t="str">
        <f>IF('Input Laying'!AJ52="","",'Input Laying'!AJ52)</f>
        <v/>
      </c>
    </row>
    <row r="42" spans="16:28" x14ac:dyDescent="0.2">
      <c r="P42">
        <v>55</v>
      </c>
      <c r="Q42" t="str">
        <f>IF(OR('Input Laying'!E53="",'Input Laying'!E53=0),"",'Input Laying'!E53)</f>
        <v/>
      </c>
      <c r="R42" t="str">
        <f>IF(OR('Input Laying'!N53="",'Input Laying'!N53=0),"",'Input Laying'!N53)</f>
        <v/>
      </c>
      <c r="S42" t="str">
        <f>IF(OR('Input Laying'!T53="",'Input Laying'!T53=0),"",'Input Laying'!T53)</f>
        <v/>
      </c>
      <c r="T42" t="str">
        <f>IF(OR('Input Laying'!U53="",'Input Laying'!U53=0),"",'Input Laying'!U53)</f>
        <v/>
      </c>
      <c r="U42" t="str">
        <f>IF(OR('Input Laying'!X53="",'Input Laying'!X53=0),"",'Input Laying'!X53)</f>
        <v/>
      </c>
      <c r="V42" t="str">
        <f>IF(OR('Input Laying'!Z53="",'Input Laying'!Z53=0),"",'Input Laying'!Z53)</f>
        <v/>
      </c>
      <c r="W42" t="str">
        <f>IF('Input Laying'!AC53="","",'Input Laying'!AC53)</f>
        <v/>
      </c>
      <c r="X42" t="str">
        <f>IF('Input Laying'!AD53="","",'Input Laying'!AD53)</f>
        <v/>
      </c>
      <c r="Y42" t="str">
        <f>IF('Input Laying'!AE53="","",'Input Laying'!AE53)</f>
        <v/>
      </c>
      <c r="Z42" t="str">
        <f>IF('Input Laying'!AG53="","",'Input Laying'!AG53)</f>
        <v/>
      </c>
      <c r="AA42" t="str">
        <f>IF(OR('Input Laying'!AH53=0,'Input Laying'!AH53=""),"",'Input Laying'!AH53)</f>
        <v/>
      </c>
      <c r="AB42" t="str">
        <f>IF('Input Laying'!AJ53="","",'Input Laying'!AJ53)</f>
        <v/>
      </c>
    </row>
    <row r="43" spans="16:28" x14ac:dyDescent="0.2">
      <c r="P43">
        <v>56</v>
      </c>
      <c r="Q43" t="str">
        <f>IF(OR('Input Laying'!E54="",'Input Laying'!E54=0),"",'Input Laying'!E54)</f>
        <v/>
      </c>
      <c r="R43" t="str">
        <f>IF(OR('Input Laying'!N54="",'Input Laying'!N54=0),"",'Input Laying'!N54)</f>
        <v/>
      </c>
      <c r="S43" t="str">
        <f>IF(OR('Input Laying'!T54="",'Input Laying'!T54=0),"",'Input Laying'!T54)</f>
        <v/>
      </c>
      <c r="T43" t="str">
        <f>IF(OR('Input Laying'!U54="",'Input Laying'!U54=0),"",'Input Laying'!U54)</f>
        <v/>
      </c>
      <c r="U43" t="str">
        <f>IF(OR('Input Laying'!X54="",'Input Laying'!X54=0),"",'Input Laying'!X54)</f>
        <v/>
      </c>
      <c r="V43" t="str">
        <f>IF(OR('Input Laying'!Z54="",'Input Laying'!Z54=0),"",'Input Laying'!Z54)</f>
        <v/>
      </c>
      <c r="W43" t="str">
        <f>IF('Input Laying'!AC54="","",'Input Laying'!AC54)</f>
        <v/>
      </c>
      <c r="X43" t="str">
        <f>IF('Input Laying'!AD54="","",'Input Laying'!AD54)</f>
        <v/>
      </c>
      <c r="Y43" t="str">
        <f>IF('Input Laying'!AE54="","",'Input Laying'!AE54)</f>
        <v/>
      </c>
      <c r="Z43" t="str">
        <f>IF('Input Laying'!AG54="","",'Input Laying'!AG54)</f>
        <v/>
      </c>
      <c r="AA43" t="str">
        <f>IF(OR('Input Laying'!AH54=0,'Input Laying'!AH54=""),"",'Input Laying'!AH54)</f>
        <v/>
      </c>
      <c r="AB43" t="str">
        <f>IF('Input Laying'!AJ54="","",'Input Laying'!AJ54)</f>
        <v/>
      </c>
    </row>
    <row r="44" spans="16:28" x14ac:dyDescent="0.2">
      <c r="P44">
        <v>57</v>
      </c>
      <c r="Q44" t="str">
        <f>IF(OR('Input Laying'!E55="",'Input Laying'!E55=0),"",'Input Laying'!E55)</f>
        <v/>
      </c>
      <c r="R44" t="str">
        <f>IF(OR('Input Laying'!N55="",'Input Laying'!N55=0),"",'Input Laying'!N55)</f>
        <v/>
      </c>
      <c r="S44" t="str">
        <f>IF(OR('Input Laying'!T55="",'Input Laying'!T55=0),"",'Input Laying'!T55)</f>
        <v/>
      </c>
      <c r="T44" t="str">
        <f>IF(OR('Input Laying'!U55="",'Input Laying'!U55=0),"",'Input Laying'!U55)</f>
        <v/>
      </c>
      <c r="U44" t="str">
        <f>IF(OR('Input Laying'!X55="",'Input Laying'!X55=0),"",'Input Laying'!X55)</f>
        <v/>
      </c>
      <c r="V44" t="str">
        <f>IF(OR('Input Laying'!Z55="",'Input Laying'!Z55=0),"",'Input Laying'!Z55)</f>
        <v/>
      </c>
      <c r="W44" t="str">
        <f>IF('Input Laying'!AC55="","",'Input Laying'!AC55)</f>
        <v/>
      </c>
      <c r="X44" t="str">
        <f>IF('Input Laying'!AD55="","",'Input Laying'!AD55)</f>
        <v/>
      </c>
      <c r="Y44" t="str">
        <f>IF('Input Laying'!AE55="","",'Input Laying'!AE55)</f>
        <v/>
      </c>
      <c r="Z44" t="str">
        <f>IF('Input Laying'!AG55="","",'Input Laying'!AG55)</f>
        <v/>
      </c>
      <c r="AA44" t="str">
        <f>IF(OR('Input Laying'!AH55=0,'Input Laying'!AH55=""),"",'Input Laying'!AH55)</f>
        <v/>
      </c>
      <c r="AB44" t="str">
        <f>IF('Input Laying'!AJ55="","",'Input Laying'!AJ55)</f>
        <v/>
      </c>
    </row>
    <row r="45" spans="16:28" x14ac:dyDescent="0.2">
      <c r="P45">
        <v>58</v>
      </c>
      <c r="Q45" t="str">
        <f>IF(OR('Input Laying'!E56="",'Input Laying'!E56=0),"",'Input Laying'!E56)</f>
        <v/>
      </c>
      <c r="R45" t="str">
        <f>IF(OR('Input Laying'!N56="",'Input Laying'!N56=0),"",'Input Laying'!N56)</f>
        <v/>
      </c>
      <c r="S45" t="str">
        <f>IF(OR('Input Laying'!T56="",'Input Laying'!T56=0),"",'Input Laying'!T56)</f>
        <v/>
      </c>
      <c r="T45" t="str">
        <f>IF(OR('Input Laying'!U56="",'Input Laying'!U56=0),"",'Input Laying'!U56)</f>
        <v/>
      </c>
      <c r="U45" t="str">
        <f>IF(OR('Input Laying'!X56="",'Input Laying'!X56=0),"",'Input Laying'!X56)</f>
        <v/>
      </c>
      <c r="V45" t="str">
        <f>IF(OR('Input Laying'!Z56="",'Input Laying'!Z56=0),"",'Input Laying'!Z56)</f>
        <v/>
      </c>
      <c r="W45" t="str">
        <f>IF('Input Laying'!AC56="","",'Input Laying'!AC56)</f>
        <v/>
      </c>
      <c r="X45" t="str">
        <f>IF('Input Laying'!AD56="","",'Input Laying'!AD56)</f>
        <v/>
      </c>
      <c r="Y45" t="str">
        <f>IF('Input Laying'!AE56="","",'Input Laying'!AE56)</f>
        <v/>
      </c>
      <c r="Z45" t="str">
        <f>IF('Input Laying'!AG56="","",'Input Laying'!AG56)</f>
        <v/>
      </c>
      <c r="AA45" t="str">
        <f>IF(OR('Input Laying'!AH56=0,'Input Laying'!AH56=""),"",'Input Laying'!AH56)</f>
        <v/>
      </c>
      <c r="AB45" t="str">
        <f>IF('Input Laying'!AJ56="","",'Input Laying'!AJ56)</f>
        <v/>
      </c>
    </row>
    <row r="46" spans="16:28" x14ac:dyDescent="0.2">
      <c r="P46">
        <v>59</v>
      </c>
      <c r="Q46" t="str">
        <f>IF(OR('Input Laying'!E57="",'Input Laying'!E57=0),"",'Input Laying'!E57)</f>
        <v/>
      </c>
      <c r="R46" t="str">
        <f>IF(OR('Input Laying'!N57="",'Input Laying'!N57=0),"",'Input Laying'!N57)</f>
        <v/>
      </c>
      <c r="S46" t="str">
        <f>IF(OR('Input Laying'!T57="",'Input Laying'!T57=0),"",'Input Laying'!T57)</f>
        <v/>
      </c>
      <c r="T46" t="str">
        <f>IF(OR('Input Laying'!U57="",'Input Laying'!U57=0),"",'Input Laying'!U57)</f>
        <v/>
      </c>
      <c r="U46" t="str">
        <f>IF(OR('Input Laying'!X57="",'Input Laying'!X57=0),"",'Input Laying'!X57)</f>
        <v/>
      </c>
      <c r="V46" t="str">
        <f>IF(OR('Input Laying'!Z57="",'Input Laying'!Z57=0),"",'Input Laying'!Z57)</f>
        <v/>
      </c>
      <c r="W46" t="str">
        <f>IF('Input Laying'!AC57="","",'Input Laying'!AC57)</f>
        <v/>
      </c>
      <c r="X46" t="str">
        <f>IF('Input Laying'!AD57="","",'Input Laying'!AD57)</f>
        <v/>
      </c>
      <c r="Y46" t="str">
        <f>IF('Input Laying'!AE57="","",'Input Laying'!AE57)</f>
        <v/>
      </c>
      <c r="Z46" t="str">
        <f>IF('Input Laying'!AG57="","",'Input Laying'!AG57)</f>
        <v/>
      </c>
      <c r="AA46" t="str">
        <f>IF(OR('Input Laying'!AH57=0,'Input Laying'!AH57=""),"",'Input Laying'!AH57)</f>
        <v/>
      </c>
      <c r="AB46" t="str">
        <f>IF('Input Laying'!AJ57="","",'Input Laying'!AJ57)</f>
        <v/>
      </c>
    </row>
    <row r="47" spans="16:28" x14ac:dyDescent="0.2">
      <c r="P47">
        <v>60</v>
      </c>
      <c r="Q47" t="str">
        <f>IF(OR('Input Laying'!E58="",'Input Laying'!E58=0),"",'Input Laying'!E58)</f>
        <v/>
      </c>
      <c r="R47" t="str">
        <f>IF(OR('Input Laying'!N58="",'Input Laying'!N58=0),"",'Input Laying'!N58)</f>
        <v/>
      </c>
      <c r="S47" t="str">
        <f>IF(OR('Input Laying'!T58="",'Input Laying'!T58=0),"",'Input Laying'!T58)</f>
        <v/>
      </c>
      <c r="T47" t="str">
        <f>IF(OR('Input Laying'!U58="",'Input Laying'!U58=0),"",'Input Laying'!U58)</f>
        <v/>
      </c>
      <c r="U47" t="str">
        <f>IF(OR('Input Laying'!X58="",'Input Laying'!X58=0),"",'Input Laying'!X58)</f>
        <v/>
      </c>
      <c r="V47" t="str">
        <f>IF(OR('Input Laying'!Z58="",'Input Laying'!Z58=0),"",'Input Laying'!Z58)</f>
        <v/>
      </c>
      <c r="W47" t="str">
        <f>IF('Input Laying'!AC58="","",'Input Laying'!AC58)</f>
        <v/>
      </c>
      <c r="X47" t="str">
        <f>IF('Input Laying'!AD58="","",'Input Laying'!AD58)</f>
        <v/>
      </c>
      <c r="Y47" t="str">
        <f>IF('Input Laying'!AE58="","",'Input Laying'!AE58)</f>
        <v/>
      </c>
      <c r="Z47" t="str">
        <f>IF('Input Laying'!AG58="","",'Input Laying'!AG58)</f>
        <v/>
      </c>
      <c r="AA47" t="str">
        <f>IF(OR('Input Laying'!AH58=0,'Input Laying'!AH58=""),"",'Input Laying'!AH58)</f>
        <v/>
      </c>
      <c r="AB47" t="str">
        <f>IF('Input Laying'!AJ58="","",'Input Laying'!AJ58)</f>
        <v/>
      </c>
    </row>
    <row r="48" spans="16:28" x14ac:dyDescent="0.2">
      <c r="P48">
        <v>61</v>
      </c>
      <c r="Q48" t="str">
        <f>IF(OR('Input Laying'!E59="",'Input Laying'!E59=0),"",'Input Laying'!E59)</f>
        <v/>
      </c>
      <c r="R48" t="str">
        <f>IF(OR('Input Laying'!N59="",'Input Laying'!N59=0),"",'Input Laying'!N59)</f>
        <v/>
      </c>
      <c r="S48" t="str">
        <f>IF(OR('Input Laying'!T59="",'Input Laying'!T59=0),"",'Input Laying'!T59)</f>
        <v/>
      </c>
      <c r="T48" t="str">
        <f>IF(OR('Input Laying'!U59="",'Input Laying'!U59=0),"",'Input Laying'!U59)</f>
        <v/>
      </c>
      <c r="U48" t="str">
        <f>IF(OR('Input Laying'!X59="",'Input Laying'!X59=0),"",'Input Laying'!X59)</f>
        <v/>
      </c>
      <c r="V48" t="str">
        <f>IF(OR('Input Laying'!Z59="",'Input Laying'!Z59=0),"",'Input Laying'!Z59)</f>
        <v/>
      </c>
      <c r="W48" t="str">
        <f>IF('Input Laying'!AC59="","",'Input Laying'!AC59)</f>
        <v/>
      </c>
      <c r="X48" t="str">
        <f>IF('Input Laying'!AD59="","",'Input Laying'!AD59)</f>
        <v/>
      </c>
      <c r="Y48" t="str">
        <f>IF('Input Laying'!AE59="","",'Input Laying'!AE59)</f>
        <v/>
      </c>
      <c r="Z48" t="str">
        <f>IF('Input Laying'!AG59="","",'Input Laying'!AG59)</f>
        <v/>
      </c>
      <c r="AA48" t="str">
        <f>IF(OR('Input Laying'!AH59=0,'Input Laying'!AH59=""),"",'Input Laying'!AH59)</f>
        <v/>
      </c>
      <c r="AB48" t="str">
        <f>IF('Input Laying'!AJ59="","",'Input Laying'!AJ59)</f>
        <v/>
      </c>
    </row>
    <row r="49" spans="16:28" x14ac:dyDescent="0.2">
      <c r="P49">
        <v>62</v>
      </c>
      <c r="Q49" t="str">
        <f>IF(OR('Input Laying'!E60="",'Input Laying'!E60=0),"",'Input Laying'!E60)</f>
        <v/>
      </c>
      <c r="R49" t="str">
        <f>IF(OR('Input Laying'!N60="",'Input Laying'!N60=0),"",'Input Laying'!N60)</f>
        <v/>
      </c>
      <c r="S49" t="str">
        <f>IF(OR('Input Laying'!T60="",'Input Laying'!T60=0),"",'Input Laying'!T60)</f>
        <v/>
      </c>
      <c r="T49" t="str">
        <f>IF(OR('Input Laying'!U60="",'Input Laying'!U60=0),"",'Input Laying'!U60)</f>
        <v/>
      </c>
      <c r="U49" t="str">
        <f>IF(OR('Input Laying'!X60="",'Input Laying'!X60=0),"",'Input Laying'!X60)</f>
        <v/>
      </c>
      <c r="V49" t="str">
        <f>IF(OR('Input Laying'!Z60="",'Input Laying'!Z60=0),"",'Input Laying'!Z60)</f>
        <v/>
      </c>
      <c r="W49" t="str">
        <f>IF('Input Laying'!AC60="","",'Input Laying'!AC60)</f>
        <v/>
      </c>
      <c r="X49" t="str">
        <f>IF('Input Laying'!AD60="","",'Input Laying'!AD60)</f>
        <v/>
      </c>
      <c r="Y49" t="str">
        <f>IF('Input Laying'!AE60="","",'Input Laying'!AE60)</f>
        <v/>
      </c>
      <c r="Z49" t="str">
        <f>IF('Input Laying'!AG60="","",'Input Laying'!AG60)</f>
        <v/>
      </c>
      <c r="AA49" t="str">
        <f>IF(OR('Input Laying'!AH60=0,'Input Laying'!AH60=""),"",'Input Laying'!AH60)</f>
        <v/>
      </c>
      <c r="AB49" t="str">
        <f>IF('Input Laying'!AJ60="","",'Input Laying'!AJ60)</f>
        <v/>
      </c>
    </row>
    <row r="50" spans="16:28" x14ac:dyDescent="0.2">
      <c r="P50">
        <v>63</v>
      </c>
      <c r="Q50" t="str">
        <f>IF(OR('Input Laying'!E61="",'Input Laying'!E61=0),"",'Input Laying'!E61)</f>
        <v/>
      </c>
      <c r="R50" t="str">
        <f>IF(OR('Input Laying'!N61="",'Input Laying'!N61=0),"",'Input Laying'!N61)</f>
        <v/>
      </c>
      <c r="S50" t="str">
        <f>IF(OR('Input Laying'!T61="",'Input Laying'!T61=0),"",'Input Laying'!T61)</f>
        <v/>
      </c>
      <c r="T50" t="str">
        <f>IF(OR('Input Laying'!U61="",'Input Laying'!U61=0),"",'Input Laying'!U61)</f>
        <v/>
      </c>
      <c r="U50" t="str">
        <f>IF(OR('Input Laying'!X61="",'Input Laying'!X61=0),"",'Input Laying'!X61)</f>
        <v/>
      </c>
      <c r="V50" t="str">
        <f>IF(OR('Input Laying'!Z61="",'Input Laying'!Z61=0),"",'Input Laying'!Z61)</f>
        <v/>
      </c>
      <c r="W50" t="str">
        <f>IF('Input Laying'!AC61="","",'Input Laying'!AC61)</f>
        <v/>
      </c>
      <c r="X50" t="str">
        <f>IF('Input Laying'!AD61="","",'Input Laying'!AD61)</f>
        <v/>
      </c>
      <c r="Y50" t="str">
        <f>IF('Input Laying'!AE61="","",'Input Laying'!AE61)</f>
        <v/>
      </c>
      <c r="Z50" t="str">
        <f>IF('Input Laying'!AG61="","",'Input Laying'!AG61)</f>
        <v/>
      </c>
      <c r="AA50" t="str">
        <f>IF(OR('Input Laying'!AH61=0,'Input Laying'!AH61=""),"",'Input Laying'!AH61)</f>
        <v/>
      </c>
      <c r="AB50" t="str">
        <f>IF('Input Laying'!AJ61="","",'Input Laying'!AJ61)</f>
        <v/>
      </c>
    </row>
    <row r="51" spans="16:28" x14ac:dyDescent="0.2">
      <c r="P51">
        <v>64</v>
      </c>
      <c r="Q51" t="str">
        <f>IF(OR('Input Laying'!E62="",'Input Laying'!E62=0),"",'Input Laying'!E62)</f>
        <v/>
      </c>
      <c r="R51" t="str">
        <f>IF(OR('Input Laying'!N62="",'Input Laying'!N62=0),"",'Input Laying'!N62)</f>
        <v/>
      </c>
      <c r="S51" t="str">
        <f>IF(OR('Input Laying'!T62="",'Input Laying'!T62=0),"",'Input Laying'!T62)</f>
        <v/>
      </c>
      <c r="T51" t="str">
        <f>IF(OR('Input Laying'!U62="",'Input Laying'!U62=0),"",'Input Laying'!U62)</f>
        <v/>
      </c>
      <c r="U51" t="str">
        <f>IF(OR('Input Laying'!X62="",'Input Laying'!X62=0),"",'Input Laying'!X62)</f>
        <v/>
      </c>
      <c r="V51" t="str">
        <f>IF(OR('Input Laying'!Z62="",'Input Laying'!Z62=0),"",'Input Laying'!Z62)</f>
        <v/>
      </c>
      <c r="W51" t="str">
        <f>IF('Input Laying'!AC62="","",'Input Laying'!AC62)</f>
        <v/>
      </c>
      <c r="X51" t="str">
        <f>IF('Input Laying'!AD62="","",'Input Laying'!AD62)</f>
        <v/>
      </c>
      <c r="Y51" t="str">
        <f>IF('Input Laying'!AE62="","",'Input Laying'!AE62)</f>
        <v/>
      </c>
      <c r="Z51" t="str">
        <f>IF('Input Laying'!AG62="","",'Input Laying'!AG62)</f>
        <v/>
      </c>
      <c r="AA51" t="str">
        <f>IF(OR('Input Laying'!AH62=0,'Input Laying'!AH62=""),"",'Input Laying'!AH62)</f>
        <v/>
      </c>
      <c r="AB51" t="str">
        <f>IF('Input Laying'!AJ62="","",'Input Laying'!AJ62)</f>
        <v/>
      </c>
    </row>
    <row r="52" spans="16:28" x14ac:dyDescent="0.2">
      <c r="P52">
        <v>65</v>
      </c>
      <c r="Q52" t="str">
        <f>IF(OR('Input Laying'!E63="",'Input Laying'!E63=0),"",'Input Laying'!E63)</f>
        <v/>
      </c>
      <c r="R52" t="str">
        <f>IF(OR('Input Laying'!N63="",'Input Laying'!N63=0),"",'Input Laying'!N63)</f>
        <v/>
      </c>
      <c r="S52" t="str">
        <f>IF(OR('Input Laying'!T63="",'Input Laying'!T63=0),"",'Input Laying'!T63)</f>
        <v/>
      </c>
      <c r="T52" t="str">
        <f>IF(OR('Input Laying'!U63="",'Input Laying'!U63=0),"",'Input Laying'!U63)</f>
        <v/>
      </c>
      <c r="U52" t="str">
        <f>IF(OR('Input Laying'!X63="",'Input Laying'!X63=0),"",'Input Laying'!X63)</f>
        <v/>
      </c>
      <c r="V52" t="str">
        <f>IF(OR('Input Laying'!Z63="",'Input Laying'!Z63=0),"",'Input Laying'!Z63)</f>
        <v/>
      </c>
      <c r="W52" t="str">
        <f>IF('Input Laying'!AC63="","",'Input Laying'!AC63)</f>
        <v/>
      </c>
      <c r="X52" t="str">
        <f>IF('Input Laying'!AD63="","",'Input Laying'!AD63)</f>
        <v/>
      </c>
      <c r="Y52" t="str">
        <f>IF('Input Laying'!AE63="","",'Input Laying'!AE63)</f>
        <v/>
      </c>
      <c r="Z52" t="str">
        <f>IF('Input Laying'!AG63="","",'Input Laying'!AG63)</f>
        <v/>
      </c>
      <c r="AA52" t="str">
        <f>IF(OR('Input Laying'!AH63=0,'Input Laying'!AH63=""),"",'Input Laying'!AH63)</f>
        <v/>
      </c>
      <c r="AB52" t="str">
        <f>IF('Input Laying'!AJ63="","",'Input Laying'!AJ63)</f>
        <v/>
      </c>
    </row>
    <row r="53" spans="16:28" x14ac:dyDescent="0.2">
      <c r="P53">
        <v>66</v>
      </c>
      <c r="Q53" t="str">
        <f>IF(OR('Input Laying'!E64="",'Input Laying'!E64=0),"",'Input Laying'!E64)</f>
        <v/>
      </c>
      <c r="R53" t="str">
        <f>IF(OR('Input Laying'!N64="",'Input Laying'!N64=0),"",'Input Laying'!N64)</f>
        <v/>
      </c>
      <c r="S53" t="str">
        <f>IF(OR('Input Laying'!T64="",'Input Laying'!T64=0),"",'Input Laying'!T64)</f>
        <v/>
      </c>
      <c r="T53" t="str">
        <f>IF(OR('Input Laying'!U64="",'Input Laying'!U64=0),"",'Input Laying'!U64)</f>
        <v/>
      </c>
      <c r="U53" t="str">
        <f>IF(OR('Input Laying'!X64="",'Input Laying'!X64=0),"",'Input Laying'!X64)</f>
        <v/>
      </c>
      <c r="V53" t="str">
        <f>IF(OR('Input Laying'!Z64="",'Input Laying'!Z64=0),"",'Input Laying'!Z64)</f>
        <v/>
      </c>
      <c r="W53" t="str">
        <f>IF('Input Laying'!AC64="","",'Input Laying'!AC64)</f>
        <v/>
      </c>
      <c r="X53" t="str">
        <f>IF('Input Laying'!AD64="","",'Input Laying'!AD64)</f>
        <v/>
      </c>
      <c r="Y53" t="str">
        <f>IF('Input Laying'!AE64="","",'Input Laying'!AE64)</f>
        <v/>
      </c>
      <c r="Z53" t="str">
        <f>IF('Input Laying'!AG64="","",'Input Laying'!AG64)</f>
        <v/>
      </c>
      <c r="AA53" t="str">
        <f>IF(OR('Input Laying'!AH64=0,'Input Laying'!AH64=""),"",'Input Laying'!AH64)</f>
        <v/>
      </c>
      <c r="AB53" t="str">
        <f>IF('Input Laying'!AJ64="","",'Input Laying'!AJ64)</f>
        <v/>
      </c>
    </row>
    <row r="54" spans="16:28" x14ac:dyDescent="0.2">
      <c r="P54">
        <v>67</v>
      </c>
      <c r="Q54" t="str">
        <f>IF(OR('Input Laying'!E65="",'Input Laying'!E65=0),"",'Input Laying'!E65)</f>
        <v/>
      </c>
      <c r="R54" t="str">
        <f>IF(OR('Input Laying'!N65="",'Input Laying'!N65=0),"",'Input Laying'!N65)</f>
        <v/>
      </c>
      <c r="S54" t="str">
        <f>IF(OR('Input Laying'!T65="",'Input Laying'!T65=0),"",'Input Laying'!T65)</f>
        <v/>
      </c>
      <c r="T54" t="str">
        <f>IF(OR('Input Laying'!U65="",'Input Laying'!U65=0),"",'Input Laying'!U65)</f>
        <v/>
      </c>
      <c r="U54" t="str">
        <f>IF(OR('Input Laying'!X65="",'Input Laying'!X65=0),"",'Input Laying'!X65)</f>
        <v/>
      </c>
      <c r="V54" t="str">
        <f>IF(OR('Input Laying'!Z65="",'Input Laying'!Z65=0),"",'Input Laying'!Z65)</f>
        <v/>
      </c>
      <c r="W54" t="str">
        <f>IF('Input Laying'!AC65="","",'Input Laying'!AC65)</f>
        <v/>
      </c>
      <c r="X54" t="str">
        <f>IF('Input Laying'!AD65="","",'Input Laying'!AD65)</f>
        <v/>
      </c>
      <c r="Y54" t="str">
        <f>IF('Input Laying'!AE65="","",'Input Laying'!AE65)</f>
        <v/>
      </c>
      <c r="Z54" t="str">
        <f>IF('Input Laying'!AG65="","",'Input Laying'!AG65)</f>
        <v/>
      </c>
      <c r="AA54" t="str">
        <f>IF(OR('Input Laying'!AH65=0,'Input Laying'!AH65=""),"",'Input Laying'!AH65)</f>
        <v/>
      </c>
      <c r="AB54" t="str">
        <f>IF('Input Laying'!AJ65="","",'Input Laying'!AJ65)</f>
        <v/>
      </c>
    </row>
    <row r="55" spans="16:28" x14ac:dyDescent="0.2">
      <c r="P55">
        <v>68</v>
      </c>
      <c r="Q55" t="str">
        <f>IF(OR('Input Laying'!E66="",'Input Laying'!E66=0),"",'Input Laying'!E66)</f>
        <v/>
      </c>
      <c r="R55" t="str">
        <f>IF(OR('Input Laying'!N66="",'Input Laying'!N66=0),"",'Input Laying'!N66)</f>
        <v/>
      </c>
      <c r="S55" t="str">
        <f>IF(OR('Input Laying'!T66="",'Input Laying'!T66=0),"",'Input Laying'!T66)</f>
        <v/>
      </c>
      <c r="T55" t="str">
        <f>IF(OR('Input Laying'!U66="",'Input Laying'!U66=0),"",'Input Laying'!U66)</f>
        <v/>
      </c>
      <c r="U55" t="str">
        <f>IF(OR('Input Laying'!X66="",'Input Laying'!X66=0),"",'Input Laying'!X66)</f>
        <v/>
      </c>
      <c r="V55" t="str">
        <f>IF(OR('Input Laying'!Z66="",'Input Laying'!Z66=0),"",'Input Laying'!Z66)</f>
        <v/>
      </c>
      <c r="W55" t="str">
        <f>IF('Input Laying'!AC66="","",'Input Laying'!AC66)</f>
        <v/>
      </c>
      <c r="X55" t="str">
        <f>IF('Input Laying'!AD66="","",'Input Laying'!AD66)</f>
        <v/>
      </c>
      <c r="Y55" t="str">
        <f>IF('Input Laying'!AE66="","",'Input Laying'!AE66)</f>
        <v/>
      </c>
      <c r="Z55" t="str">
        <f>IF('Input Laying'!AG66="","",'Input Laying'!AG66)</f>
        <v/>
      </c>
      <c r="AA55" t="str">
        <f>IF(OR('Input Laying'!AH66=0,'Input Laying'!AH66=""),"",'Input Laying'!AH66)</f>
        <v/>
      </c>
      <c r="AB55" t="str">
        <f>IF('Input Laying'!AJ66="","",'Input Laying'!AJ66)</f>
        <v/>
      </c>
    </row>
    <row r="56" spans="16:28" x14ac:dyDescent="0.2">
      <c r="P56">
        <v>69</v>
      </c>
      <c r="Q56" t="str">
        <f>IF(OR('Input Laying'!E67="",'Input Laying'!E67=0),"",'Input Laying'!E67)</f>
        <v/>
      </c>
      <c r="R56" t="str">
        <f>IF(OR('Input Laying'!N67="",'Input Laying'!N67=0),"",'Input Laying'!N67)</f>
        <v/>
      </c>
      <c r="S56" t="str">
        <f>IF(OR('Input Laying'!T67="",'Input Laying'!T67=0),"",'Input Laying'!T67)</f>
        <v/>
      </c>
      <c r="T56" t="str">
        <f>IF(OR('Input Laying'!U67="",'Input Laying'!U67=0),"",'Input Laying'!U67)</f>
        <v/>
      </c>
      <c r="U56" t="str">
        <f>IF(OR('Input Laying'!X67="",'Input Laying'!X67=0),"",'Input Laying'!X67)</f>
        <v/>
      </c>
      <c r="V56" t="str">
        <f>IF(OR('Input Laying'!Z67="",'Input Laying'!Z67=0),"",'Input Laying'!Z67)</f>
        <v/>
      </c>
      <c r="W56" t="str">
        <f>IF('Input Laying'!AC67="","",'Input Laying'!AC67)</f>
        <v/>
      </c>
      <c r="X56" t="str">
        <f>IF('Input Laying'!AD67="","",'Input Laying'!AD67)</f>
        <v/>
      </c>
      <c r="Y56" t="str">
        <f>IF('Input Laying'!AE67="","",'Input Laying'!AE67)</f>
        <v/>
      </c>
      <c r="Z56" t="str">
        <f>IF('Input Laying'!AG67="","",'Input Laying'!AG67)</f>
        <v/>
      </c>
      <c r="AA56" t="str">
        <f>IF(OR('Input Laying'!AH67=0,'Input Laying'!AH67=""),"",'Input Laying'!AH67)</f>
        <v/>
      </c>
      <c r="AB56" t="str">
        <f>IF('Input Laying'!AJ67="","",'Input Laying'!AJ67)</f>
        <v/>
      </c>
    </row>
    <row r="57" spans="16:28" x14ac:dyDescent="0.2">
      <c r="P57">
        <v>70</v>
      </c>
      <c r="Q57" t="str">
        <f>IF(OR('Input Laying'!E68="",'Input Laying'!E68=0),"",'Input Laying'!E68)</f>
        <v/>
      </c>
      <c r="R57" t="str">
        <f>IF(OR('Input Laying'!N68="",'Input Laying'!N68=0),"",'Input Laying'!N68)</f>
        <v/>
      </c>
      <c r="S57" t="str">
        <f>IF(OR('Input Laying'!T68="",'Input Laying'!T68=0),"",'Input Laying'!T68)</f>
        <v/>
      </c>
      <c r="T57" t="str">
        <f>IF(OR('Input Laying'!U68="",'Input Laying'!U68=0),"",'Input Laying'!U68)</f>
        <v/>
      </c>
      <c r="U57" t="str">
        <f>IF(OR('Input Laying'!X68="",'Input Laying'!X68=0),"",'Input Laying'!X68)</f>
        <v/>
      </c>
      <c r="V57" t="str">
        <f>IF(OR('Input Laying'!Z68="",'Input Laying'!Z68=0),"",'Input Laying'!Z68)</f>
        <v/>
      </c>
      <c r="W57" t="str">
        <f>IF('Input Laying'!AC68="","",'Input Laying'!AC68)</f>
        <v/>
      </c>
      <c r="X57" t="str">
        <f>IF('Input Laying'!AD68="","",'Input Laying'!AD68)</f>
        <v/>
      </c>
      <c r="Y57" t="str">
        <f>IF('Input Laying'!AE68="","",'Input Laying'!AE68)</f>
        <v/>
      </c>
      <c r="Z57" t="str">
        <f>IF('Input Laying'!AG68="","",'Input Laying'!AG68)</f>
        <v/>
      </c>
      <c r="AA57" t="str">
        <f>IF(OR('Input Laying'!AH68=0,'Input Laying'!AH68=""),"",'Input Laying'!AH68)</f>
        <v/>
      </c>
      <c r="AB57" t="str">
        <f>IF('Input Laying'!AJ68="","",'Input Laying'!AJ68)</f>
        <v/>
      </c>
    </row>
    <row r="58" spans="16:28" x14ac:dyDescent="0.2">
      <c r="P58">
        <v>71</v>
      </c>
      <c r="Q58" t="str">
        <f>IF(OR('Input Laying'!E69="",'Input Laying'!E69=0),"",'Input Laying'!E69)</f>
        <v/>
      </c>
      <c r="R58" t="str">
        <f>IF(OR('Input Laying'!N69="",'Input Laying'!N69=0),"",'Input Laying'!N69)</f>
        <v/>
      </c>
      <c r="S58" t="str">
        <f>IF(OR('Input Laying'!T69="",'Input Laying'!T69=0),"",'Input Laying'!T69)</f>
        <v/>
      </c>
      <c r="T58" t="str">
        <f>IF(OR('Input Laying'!U69="",'Input Laying'!U69=0),"",'Input Laying'!U69)</f>
        <v/>
      </c>
      <c r="U58" t="str">
        <f>IF(OR('Input Laying'!X69="",'Input Laying'!X69=0),"",'Input Laying'!X69)</f>
        <v/>
      </c>
      <c r="V58" t="str">
        <f>IF(OR('Input Laying'!Z69="",'Input Laying'!Z69=0),"",'Input Laying'!Z69)</f>
        <v/>
      </c>
      <c r="W58" t="str">
        <f>IF('Input Laying'!AC69="","",'Input Laying'!AC69)</f>
        <v/>
      </c>
      <c r="X58" t="str">
        <f>IF('Input Laying'!AD69="","",'Input Laying'!AD69)</f>
        <v/>
      </c>
      <c r="Y58" t="str">
        <f>IF('Input Laying'!AE69="","",'Input Laying'!AE69)</f>
        <v/>
      </c>
      <c r="Z58" t="str">
        <f>IF('Input Laying'!AG69="","",'Input Laying'!AG69)</f>
        <v/>
      </c>
      <c r="AA58" t="str">
        <f>IF(OR('Input Laying'!AH69=0,'Input Laying'!AH69=""),"",'Input Laying'!AH69)</f>
        <v/>
      </c>
      <c r="AB58" t="str">
        <f>IF('Input Laying'!AJ69="","",'Input Laying'!AJ69)</f>
        <v/>
      </c>
    </row>
    <row r="59" spans="16:28" x14ac:dyDescent="0.2">
      <c r="P59">
        <v>72</v>
      </c>
      <c r="Q59" t="str">
        <f>IF(OR('Input Laying'!E70="",'Input Laying'!E70=0),"",'Input Laying'!E70)</f>
        <v/>
      </c>
      <c r="R59" t="str">
        <f>IF(OR('Input Laying'!N70="",'Input Laying'!N70=0),"",'Input Laying'!N70)</f>
        <v/>
      </c>
      <c r="S59" t="str">
        <f>IF(OR('Input Laying'!T70="",'Input Laying'!T70=0),"",'Input Laying'!T70)</f>
        <v/>
      </c>
      <c r="T59" t="str">
        <f>IF(OR('Input Laying'!U70="",'Input Laying'!U70=0),"",'Input Laying'!U70)</f>
        <v/>
      </c>
      <c r="U59" t="str">
        <f>IF(OR('Input Laying'!X70="",'Input Laying'!X70=0),"",'Input Laying'!X70)</f>
        <v/>
      </c>
      <c r="V59" t="str">
        <f>IF(OR('Input Laying'!Z70="",'Input Laying'!Z70=0),"",'Input Laying'!Z70)</f>
        <v/>
      </c>
      <c r="W59" t="str">
        <f>IF('Input Laying'!AC70="","",'Input Laying'!AC70)</f>
        <v/>
      </c>
      <c r="X59" t="str">
        <f>IF('Input Laying'!AD70="","",'Input Laying'!AD70)</f>
        <v/>
      </c>
      <c r="Y59" t="str">
        <f>IF('Input Laying'!AE70="","",'Input Laying'!AE70)</f>
        <v/>
      </c>
      <c r="Z59" t="str">
        <f>IF('Input Laying'!AG70="","",'Input Laying'!AG70)</f>
        <v/>
      </c>
      <c r="AA59" t="str">
        <f>IF(OR('Input Laying'!AH70=0,'Input Laying'!AH70=""),"",'Input Laying'!AH70)</f>
        <v/>
      </c>
      <c r="AB59" t="str">
        <f>IF('Input Laying'!AJ70="","",'Input Laying'!AJ70)</f>
        <v/>
      </c>
    </row>
    <row r="60" spans="16:28" x14ac:dyDescent="0.2">
      <c r="P60">
        <v>73</v>
      </c>
      <c r="Q60" t="str">
        <f>IF(OR('Input Laying'!E71="",'Input Laying'!E71=0),"",'Input Laying'!E71)</f>
        <v/>
      </c>
      <c r="R60" t="str">
        <f>IF(OR('Input Laying'!N71="",'Input Laying'!N71=0),"",'Input Laying'!N71)</f>
        <v/>
      </c>
      <c r="S60" t="str">
        <f>IF(OR('Input Laying'!T71="",'Input Laying'!T71=0),"",'Input Laying'!T71)</f>
        <v/>
      </c>
      <c r="T60" t="str">
        <f>IF(OR('Input Laying'!U71="",'Input Laying'!U71=0),"",'Input Laying'!U71)</f>
        <v/>
      </c>
      <c r="U60" t="str">
        <f>IF(OR('Input Laying'!X71="",'Input Laying'!X71=0),"",'Input Laying'!X71)</f>
        <v/>
      </c>
      <c r="V60" t="str">
        <f>IF(OR('Input Laying'!Z71="",'Input Laying'!Z71=0),"",'Input Laying'!Z71)</f>
        <v/>
      </c>
      <c r="W60" t="str">
        <f>IF('Input Laying'!AC71="","",'Input Laying'!AC71)</f>
        <v/>
      </c>
      <c r="X60" t="str">
        <f>IF('Input Laying'!AD71="","",'Input Laying'!AD71)</f>
        <v/>
      </c>
      <c r="Y60" t="str">
        <f>IF('Input Laying'!AE71="","",'Input Laying'!AE71)</f>
        <v/>
      </c>
      <c r="Z60" t="str">
        <f>IF('Input Laying'!AG71="","",'Input Laying'!AG71)</f>
        <v/>
      </c>
      <c r="AA60" t="str">
        <f>IF(OR('Input Laying'!AH71=0,'Input Laying'!AH71=""),"",'Input Laying'!AH71)</f>
        <v/>
      </c>
      <c r="AB60" t="str">
        <f>IF('Input Laying'!AJ71="","",'Input Laying'!AJ71)</f>
        <v/>
      </c>
    </row>
    <row r="61" spans="16:28" x14ac:dyDescent="0.2">
      <c r="P61">
        <v>74</v>
      </c>
      <c r="Q61" t="str">
        <f>IF(OR('Input Laying'!E72="",'Input Laying'!E72=0),"",'Input Laying'!E72)</f>
        <v/>
      </c>
      <c r="R61" t="str">
        <f>IF(OR('Input Laying'!N72="",'Input Laying'!N72=0),"",'Input Laying'!N72)</f>
        <v/>
      </c>
      <c r="S61" t="str">
        <f>IF(OR('Input Laying'!T72="",'Input Laying'!T72=0),"",'Input Laying'!T72)</f>
        <v/>
      </c>
      <c r="T61" t="str">
        <f>IF(OR('Input Laying'!U72="",'Input Laying'!U72=0),"",'Input Laying'!U72)</f>
        <v/>
      </c>
      <c r="U61" t="str">
        <f>IF(OR('Input Laying'!X72="",'Input Laying'!X72=0),"",'Input Laying'!X72)</f>
        <v/>
      </c>
      <c r="V61" t="str">
        <f>IF(OR('Input Laying'!Z72="",'Input Laying'!Z72=0),"",'Input Laying'!Z72)</f>
        <v/>
      </c>
      <c r="W61" t="str">
        <f>IF('Input Laying'!AC72="","",'Input Laying'!AC72)</f>
        <v/>
      </c>
      <c r="X61" t="str">
        <f>IF('Input Laying'!AD72="","",'Input Laying'!AD72)</f>
        <v/>
      </c>
      <c r="Y61" t="str">
        <f>IF('Input Laying'!AE72="","",'Input Laying'!AE72)</f>
        <v/>
      </c>
      <c r="Z61" t="str">
        <f>IF('Input Laying'!AG72="","",'Input Laying'!AG72)</f>
        <v/>
      </c>
      <c r="AA61" t="str">
        <f>IF(OR('Input Laying'!AH72=0,'Input Laying'!AH72=""),"",'Input Laying'!AH72)</f>
        <v/>
      </c>
      <c r="AB61" t="str">
        <f>IF('Input Laying'!AJ72="","",'Input Laying'!AJ72)</f>
        <v/>
      </c>
    </row>
    <row r="62" spans="16:28" x14ac:dyDescent="0.2">
      <c r="P62">
        <v>75</v>
      </c>
      <c r="Q62" t="str">
        <f>IF(OR('Input Laying'!E73="",'Input Laying'!E73=0),"",'Input Laying'!E73)</f>
        <v/>
      </c>
      <c r="R62" t="str">
        <f>IF(OR('Input Laying'!N73="",'Input Laying'!N73=0),"",'Input Laying'!N73)</f>
        <v/>
      </c>
      <c r="S62" t="str">
        <f>IF(OR('Input Laying'!T73="",'Input Laying'!T73=0),"",'Input Laying'!T73)</f>
        <v/>
      </c>
      <c r="T62" t="str">
        <f>IF(OR('Input Laying'!U73="",'Input Laying'!U73=0),"",'Input Laying'!U73)</f>
        <v/>
      </c>
      <c r="U62" t="str">
        <f>IF(OR('Input Laying'!X73="",'Input Laying'!X73=0),"",'Input Laying'!X73)</f>
        <v/>
      </c>
      <c r="V62" t="str">
        <f>IF(OR('Input Laying'!Z73="",'Input Laying'!Z73=0),"",'Input Laying'!Z73)</f>
        <v/>
      </c>
      <c r="W62" t="str">
        <f>IF('Input Laying'!AC73="","",'Input Laying'!AC73)</f>
        <v/>
      </c>
      <c r="X62" t="str">
        <f>IF('Input Laying'!AD73="","",'Input Laying'!AD73)</f>
        <v/>
      </c>
      <c r="Y62" t="str">
        <f>IF('Input Laying'!AE73="","",'Input Laying'!AE73)</f>
        <v/>
      </c>
      <c r="Z62" t="str">
        <f>IF('Input Laying'!AG73="","",'Input Laying'!AG73)</f>
        <v/>
      </c>
      <c r="AA62" t="str">
        <f>IF(OR('Input Laying'!AH73=0,'Input Laying'!AH73=""),"",'Input Laying'!AH73)</f>
        <v/>
      </c>
      <c r="AB62" t="str">
        <f>IF('Input Laying'!AJ73="","",'Input Laying'!AJ73)</f>
        <v/>
      </c>
    </row>
    <row r="63" spans="16:28" x14ac:dyDescent="0.2">
      <c r="P63">
        <v>76</v>
      </c>
      <c r="Q63" t="str">
        <f>IF(OR('Input Laying'!E74="",'Input Laying'!E74=0),"",'Input Laying'!E74)</f>
        <v/>
      </c>
      <c r="R63" t="str">
        <f>IF(OR('Input Laying'!N74="",'Input Laying'!N74=0),"",'Input Laying'!N74)</f>
        <v/>
      </c>
      <c r="S63" t="str">
        <f>IF(OR('Input Laying'!T74="",'Input Laying'!T74=0),"",'Input Laying'!T74)</f>
        <v/>
      </c>
      <c r="T63" t="str">
        <f>IF(OR('Input Laying'!U74="",'Input Laying'!U74=0),"",'Input Laying'!U74)</f>
        <v/>
      </c>
      <c r="U63" t="str">
        <f>IF(OR('Input Laying'!X74="",'Input Laying'!X74=0),"",'Input Laying'!X74)</f>
        <v/>
      </c>
      <c r="V63" t="str">
        <f>IF(OR('Input Laying'!Z74="",'Input Laying'!Z74=0),"",'Input Laying'!Z74)</f>
        <v/>
      </c>
      <c r="W63" t="str">
        <f>IF('Input Laying'!AC74="","",'Input Laying'!AC74)</f>
        <v/>
      </c>
      <c r="X63" t="str">
        <f>IF('Input Laying'!AD74="","",'Input Laying'!AD74)</f>
        <v/>
      </c>
      <c r="Y63" t="str">
        <f>IF('Input Laying'!AE74="","",'Input Laying'!AE74)</f>
        <v/>
      </c>
      <c r="Z63" t="str">
        <f>IF('Input Laying'!AG74="","",'Input Laying'!AG74)</f>
        <v/>
      </c>
      <c r="AA63" t="str">
        <f>IF(OR('Input Laying'!AH74=0,'Input Laying'!AH74=""),"",'Input Laying'!AH74)</f>
        <v/>
      </c>
      <c r="AB63" t="str">
        <f>IF('Input Laying'!AJ74="","",'Input Laying'!AJ74)</f>
        <v/>
      </c>
    </row>
    <row r="64" spans="16:28" x14ac:dyDescent="0.2">
      <c r="P64">
        <v>77</v>
      </c>
      <c r="Q64" t="str">
        <f>IF(OR('Input Laying'!E75="",'Input Laying'!E75=0),"",'Input Laying'!E75)</f>
        <v/>
      </c>
      <c r="R64" t="str">
        <f>IF(OR('Input Laying'!N75="",'Input Laying'!N75=0),"",'Input Laying'!N75)</f>
        <v/>
      </c>
      <c r="S64" t="str">
        <f>IF(OR('Input Laying'!T75="",'Input Laying'!T75=0),"",'Input Laying'!T75)</f>
        <v/>
      </c>
      <c r="T64" t="str">
        <f>IF(OR('Input Laying'!U75="",'Input Laying'!U75=0),"",'Input Laying'!U75)</f>
        <v/>
      </c>
      <c r="U64" t="str">
        <f>IF(OR('Input Laying'!X75="",'Input Laying'!X75=0),"",'Input Laying'!X75)</f>
        <v/>
      </c>
      <c r="V64" t="str">
        <f>IF(OR('Input Laying'!Z75="",'Input Laying'!Z75=0),"",'Input Laying'!Z75)</f>
        <v/>
      </c>
      <c r="W64" t="str">
        <f>IF('Input Laying'!AC75="","",'Input Laying'!AC75)</f>
        <v/>
      </c>
      <c r="X64" t="str">
        <f>IF('Input Laying'!AD75="","",'Input Laying'!AD75)</f>
        <v/>
      </c>
      <c r="Y64" t="str">
        <f>IF('Input Laying'!AE75="","",'Input Laying'!AE75)</f>
        <v/>
      </c>
      <c r="Z64" t="str">
        <f>IF('Input Laying'!AG75="","",'Input Laying'!AG75)</f>
        <v/>
      </c>
      <c r="AA64" t="str">
        <f>IF(OR('Input Laying'!AH75=0,'Input Laying'!AH75=""),"",'Input Laying'!AH75)</f>
        <v/>
      </c>
      <c r="AB64" t="str">
        <f>IF('Input Laying'!AJ75="","",'Input Laying'!AJ75)</f>
        <v/>
      </c>
    </row>
    <row r="65" spans="16:28" x14ac:dyDescent="0.2">
      <c r="P65">
        <v>78</v>
      </c>
      <c r="Q65" t="str">
        <f>IF(OR('Input Laying'!E76="",'Input Laying'!E76=0),"",'Input Laying'!E76)</f>
        <v/>
      </c>
      <c r="R65" t="str">
        <f>IF(OR('Input Laying'!N76="",'Input Laying'!N76=0),"",'Input Laying'!N76)</f>
        <v/>
      </c>
      <c r="S65" t="str">
        <f>IF(OR('Input Laying'!T76="",'Input Laying'!T76=0),"",'Input Laying'!T76)</f>
        <v/>
      </c>
      <c r="T65" t="str">
        <f>IF(OR('Input Laying'!U76="",'Input Laying'!U76=0),"",'Input Laying'!U76)</f>
        <v/>
      </c>
      <c r="U65" t="str">
        <f>IF(OR('Input Laying'!X76="",'Input Laying'!X76=0),"",'Input Laying'!X76)</f>
        <v/>
      </c>
      <c r="V65" t="str">
        <f>IF(OR('Input Laying'!Z76="",'Input Laying'!Z76=0),"",'Input Laying'!Z76)</f>
        <v/>
      </c>
      <c r="W65" t="str">
        <f>IF('Input Laying'!AC76="","",'Input Laying'!AC76)</f>
        <v/>
      </c>
      <c r="X65" t="str">
        <f>IF('Input Laying'!AD76="","",'Input Laying'!AD76)</f>
        <v/>
      </c>
      <c r="Y65" t="str">
        <f>IF('Input Laying'!AE76="","",'Input Laying'!AE76)</f>
        <v/>
      </c>
      <c r="Z65" t="str">
        <f>IF('Input Laying'!AG76="","",'Input Laying'!AG76)</f>
        <v/>
      </c>
      <c r="AA65" t="str">
        <f>IF(OR('Input Laying'!AH76=0,'Input Laying'!AH76=""),"",'Input Laying'!AH76)</f>
        <v/>
      </c>
      <c r="AB65" t="str">
        <f>IF('Input Laying'!AJ76="","",'Input Laying'!AJ76)</f>
        <v/>
      </c>
    </row>
    <row r="66" spans="16:28" x14ac:dyDescent="0.2">
      <c r="P66">
        <v>79</v>
      </c>
      <c r="Q66" t="str">
        <f>IF(OR('Input Laying'!E77="",'Input Laying'!E77=0),"",'Input Laying'!E77)</f>
        <v/>
      </c>
      <c r="R66" t="str">
        <f>IF(OR('Input Laying'!N77="",'Input Laying'!N77=0),"",'Input Laying'!N77)</f>
        <v/>
      </c>
      <c r="S66" t="str">
        <f>IF(OR('Input Laying'!T77="",'Input Laying'!T77=0),"",'Input Laying'!T77)</f>
        <v/>
      </c>
      <c r="T66" t="str">
        <f>IF(OR('Input Laying'!U77="",'Input Laying'!U77=0),"",'Input Laying'!U77)</f>
        <v/>
      </c>
      <c r="U66" t="str">
        <f>IF(OR('Input Laying'!X77="",'Input Laying'!X77=0),"",'Input Laying'!X77)</f>
        <v/>
      </c>
      <c r="V66" t="str">
        <f>IF(OR('Input Laying'!Z77="",'Input Laying'!Z77=0),"",'Input Laying'!Z77)</f>
        <v/>
      </c>
      <c r="W66" t="str">
        <f>IF('Input Laying'!AC77="","",'Input Laying'!AC77)</f>
        <v/>
      </c>
      <c r="X66" t="str">
        <f>IF('Input Laying'!AD77="","",'Input Laying'!AD77)</f>
        <v/>
      </c>
      <c r="Y66" t="str">
        <f>IF('Input Laying'!AE77="","",'Input Laying'!AE77)</f>
        <v/>
      </c>
      <c r="Z66" t="str">
        <f>IF('Input Laying'!AG77="","",'Input Laying'!AG77)</f>
        <v/>
      </c>
      <c r="AA66" t="str">
        <f>IF(OR('Input Laying'!AH77=0,'Input Laying'!AH77=""),"",'Input Laying'!AH77)</f>
        <v/>
      </c>
      <c r="AB66" t="str">
        <f>IF('Input Laying'!AJ77="","",'Input Laying'!AJ77)</f>
        <v/>
      </c>
    </row>
    <row r="67" spans="16:28" x14ac:dyDescent="0.2">
      <c r="P67">
        <v>80</v>
      </c>
      <c r="Q67" t="str">
        <f>IF(OR('Input Laying'!E78="",'Input Laying'!E78=0),"",'Input Laying'!E78)</f>
        <v/>
      </c>
      <c r="R67" t="str">
        <f>IF(OR('Input Laying'!N78="",'Input Laying'!N78=0),"",'Input Laying'!N78)</f>
        <v/>
      </c>
      <c r="S67" t="str">
        <f>IF(OR('Input Laying'!T78="",'Input Laying'!T78=0),"",'Input Laying'!T78)</f>
        <v/>
      </c>
      <c r="T67" t="str">
        <f>IF(OR('Input Laying'!U78="",'Input Laying'!U78=0),"",'Input Laying'!U78)</f>
        <v/>
      </c>
      <c r="U67" t="str">
        <f>IF(OR('Input Laying'!X78="",'Input Laying'!X78=0),"",'Input Laying'!X78)</f>
        <v/>
      </c>
      <c r="V67" t="str">
        <f>IF(OR('Input Laying'!Z78="",'Input Laying'!Z78=0),"",'Input Laying'!Z78)</f>
        <v/>
      </c>
      <c r="W67" t="str">
        <f>IF('Input Laying'!AC78="","",'Input Laying'!AC78)</f>
        <v/>
      </c>
      <c r="X67" t="str">
        <f>IF('Input Laying'!AD78="","",'Input Laying'!AD78)</f>
        <v/>
      </c>
      <c r="Y67" t="str">
        <f>IF('Input Laying'!AE78="","",'Input Laying'!AE78)</f>
        <v/>
      </c>
      <c r="Z67" t="str">
        <f>IF('Input Laying'!AG78="","",'Input Laying'!AG78)</f>
        <v/>
      </c>
      <c r="AA67" t="str">
        <f>IF(OR('Input Laying'!AH78=0,'Input Laying'!AH78=""),"",'Input Laying'!AH78)</f>
        <v/>
      </c>
      <c r="AB67" t="str">
        <f>IF('Input Laying'!AJ78="","",'Input Laying'!AJ78)</f>
        <v/>
      </c>
    </row>
    <row r="68" spans="16:28" x14ac:dyDescent="0.2">
      <c r="P68">
        <v>81</v>
      </c>
      <c r="Q68" t="str">
        <f>IF(OR('Input Laying'!E79="",'Input Laying'!E79=0),"",'Input Laying'!E79)</f>
        <v/>
      </c>
      <c r="R68" t="str">
        <f>IF(OR('Input Laying'!N79="",'Input Laying'!N79=0),"",'Input Laying'!N79)</f>
        <v/>
      </c>
      <c r="S68" t="str">
        <f>IF(OR('Input Laying'!T79="",'Input Laying'!T79=0),"",'Input Laying'!T79)</f>
        <v/>
      </c>
      <c r="T68" t="str">
        <f>IF(OR('Input Laying'!U79="",'Input Laying'!U79=0),"",'Input Laying'!U79)</f>
        <v/>
      </c>
      <c r="U68" t="str">
        <f>IF(OR('Input Laying'!X79="",'Input Laying'!X79=0),"",'Input Laying'!X79)</f>
        <v/>
      </c>
      <c r="V68" t="str">
        <f>IF(OR('Input Laying'!Z79="",'Input Laying'!Z79=0),"",'Input Laying'!Z79)</f>
        <v/>
      </c>
      <c r="W68" t="str">
        <f>IF('Input Laying'!AC79="","",'Input Laying'!AC79)</f>
        <v/>
      </c>
      <c r="X68" t="str">
        <f>IF('Input Laying'!AD79="","",'Input Laying'!AD79)</f>
        <v/>
      </c>
      <c r="Y68" t="str">
        <f>IF('Input Laying'!AE79="","",'Input Laying'!AE79)</f>
        <v/>
      </c>
      <c r="Z68" t="str">
        <f>IF('Input Laying'!AG79="","",'Input Laying'!AG79)</f>
        <v/>
      </c>
      <c r="AA68" t="str">
        <f>IF(OR('Input Laying'!AH79=0,'Input Laying'!AH79=""),"",'Input Laying'!AH79)</f>
        <v/>
      </c>
      <c r="AB68" t="str">
        <f>IF('Input Laying'!AJ79="","",'Input Laying'!AJ79)</f>
        <v/>
      </c>
    </row>
    <row r="69" spans="16:28" x14ac:dyDescent="0.2">
      <c r="P69">
        <v>82</v>
      </c>
      <c r="Q69" t="str">
        <f>IF(OR('Input Laying'!E80="",'Input Laying'!E80=0),"",'Input Laying'!E80)</f>
        <v/>
      </c>
      <c r="R69" t="str">
        <f>IF(OR('Input Laying'!N80="",'Input Laying'!N80=0),"",'Input Laying'!N80)</f>
        <v/>
      </c>
      <c r="S69" t="str">
        <f>IF(OR('Input Laying'!T80="",'Input Laying'!T80=0),"",'Input Laying'!T80)</f>
        <v/>
      </c>
      <c r="T69" t="str">
        <f>IF(OR('Input Laying'!U80="",'Input Laying'!U80=0),"",'Input Laying'!U80)</f>
        <v/>
      </c>
      <c r="U69" t="str">
        <f>IF(OR('Input Laying'!X80="",'Input Laying'!X80=0),"",'Input Laying'!X80)</f>
        <v/>
      </c>
      <c r="V69" t="str">
        <f>IF(OR('Input Laying'!Z80="",'Input Laying'!Z80=0),"",'Input Laying'!Z80)</f>
        <v/>
      </c>
      <c r="W69" t="str">
        <f>IF('Input Laying'!AC80="","",'Input Laying'!AC80)</f>
        <v/>
      </c>
      <c r="X69" t="str">
        <f>IF('Input Laying'!AD80="","",'Input Laying'!AD80)</f>
        <v/>
      </c>
      <c r="Y69" t="str">
        <f>IF('Input Laying'!AE80="","",'Input Laying'!AE80)</f>
        <v/>
      </c>
      <c r="Z69" t="str">
        <f>IF('Input Laying'!AG80="","",'Input Laying'!AG80)</f>
        <v/>
      </c>
      <c r="AA69" t="str">
        <f>IF(OR('Input Laying'!AH80=0,'Input Laying'!AH80=""),"",'Input Laying'!AH80)</f>
        <v/>
      </c>
      <c r="AB69" t="str">
        <f>IF('Input Laying'!AJ80="","",'Input Laying'!AJ80)</f>
        <v/>
      </c>
    </row>
    <row r="70" spans="16:28" x14ac:dyDescent="0.2">
      <c r="P70">
        <v>83</v>
      </c>
      <c r="Q70" t="str">
        <f>IF(OR('Input Laying'!E81="",'Input Laying'!E81=0),"",'Input Laying'!E81)</f>
        <v/>
      </c>
      <c r="R70" t="str">
        <f>IF(OR('Input Laying'!N81="",'Input Laying'!N81=0),"",'Input Laying'!N81)</f>
        <v/>
      </c>
      <c r="S70" t="str">
        <f>IF(OR('Input Laying'!T81="",'Input Laying'!T81=0),"",'Input Laying'!T81)</f>
        <v/>
      </c>
      <c r="T70" t="str">
        <f>IF(OR('Input Laying'!U81="",'Input Laying'!U81=0),"",'Input Laying'!U81)</f>
        <v/>
      </c>
      <c r="U70" t="str">
        <f>IF(OR('Input Laying'!X81="",'Input Laying'!X81=0),"",'Input Laying'!X81)</f>
        <v/>
      </c>
      <c r="V70" t="str">
        <f>IF(OR('Input Laying'!Z81="",'Input Laying'!Z81=0),"",'Input Laying'!Z81)</f>
        <v/>
      </c>
      <c r="W70" t="str">
        <f>IF('Input Laying'!AC81="","",'Input Laying'!AC81)</f>
        <v/>
      </c>
      <c r="X70" t="str">
        <f>IF('Input Laying'!AD81="","",'Input Laying'!AD81)</f>
        <v/>
      </c>
      <c r="Y70" t="str">
        <f>IF('Input Laying'!AE81="","",'Input Laying'!AE81)</f>
        <v/>
      </c>
      <c r="Z70" t="str">
        <f>IF('Input Laying'!AG81="","",'Input Laying'!AG81)</f>
        <v/>
      </c>
      <c r="AA70" t="str">
        <f>IF(OR('Input Laying'!AH81=0,'Input Laying'!AH81=""),"",'Input Laying'!AH81)</f>
        <v/>
      </c>
      <c r="AB70" t="str">
        <f>IF('Input Laying'!AJ81="","",'Input Laying'!AJ81)</f>
        <v/>
      </c>
    </row>
    <row r="71" spans="16:28" x14ac:dyDescent="0.2">
      <c r="P71">
        <v>84</v>
      </c>
      <c r="Q71" t="str">
        <f>IF(OR('Input Laying'!E82="",'Input Laying'!E82=0),"",'Input Laying'!E82)</f>
        <v/>
      </c>
      <c r="R71" t="str">
        <f>IF(OR('Input Laying'!N82="",'Input Laying'!N82=0),"",'Input Laying'!N82)</f>
        <v/>
      </c>
      <c r="S71" t="str">
        <f>IF(OR('Input Laying'!T82="",'Input Laying'!T82=0),"",'Input Laying'!T82)</f>
        <v/>
      </c>
      <c r="T71" t="str">
        <f>IF(OR('Input Laying'!U82="",'Input Laying'!U82=0),"",'Input Laying'!U82)</f>
        <v/>
      </c>
      <c r="U71" t="str">
        <f>IF(OR('Input Laying'!X82="",'Input Laying'!X82=0),"",'Input Laying'!X82)</f>
        <v/>
      </c>
      <c r="V71" t="str">
        <f>IF(OR('Input Laying'!Z82="",'Input Laying'!Z82=0),"",'Input Laying'!Z82)</f>
        <v/>
      </c>
      <c r="W71" t="str">
        <f>IF('Input Laying'!AC82="","",'Input Laying'!AC82)</f>
        <v/>
      </c>
      <c r="X71" t="str">
        <f>IF('Input Laying'!AD82="","",'Input Laying'!AD82)</f>
        <v/>
      </c>
      <c r="Y71" t="str">
        <f>IF('Input Laying'!AE82="","",'Input Laying'!AE82)</f>
        <v/>
      </c>
      <c r="Z71" t="str">
        <f>IF('Input Laying'!AG82="","",'Input Laying'!AG82)</f>
        <v/>
      </c>
      <c r="AA71" t="str">
        <f>IF(OR('Input Laying'!AH82=0,'Input Laying'!AH82=""),"",'Input Laying'!AH82)</f>
        <v/>
      </c>
      <c r="AB71" t="str">
        <f>IF('Input Laying'!AJ82="","",'Input Laying'!AJ82)</f>
        <v/>
      </c>
    </row>
    <row r="72" spans="16:28" x14ac:dyDescent="0.2">
      <c r="P72">
        <v>85</v>
      </c>
      <c r="Q72" t="str">
        <f>IF(OR('Input Laying'!E83="",'Input Laying'!E83=0),"",'Input Laying'!E83)</f>
        <v/>
      </c>
      <c r="R72" t="str">
        <f>IF(OR('Input Laying'!N83="",'Input Laying'!N83=0),"",'Input Laying'!N83)</f>
        <v/>
      </c>
      <c r="S72" t="str">
        <f>IF(OR('Input Laying'!T83="",'Input Laying'!T83=0),"",'Input Laying'!T83)</f>
        <v/>
      </c>
      <c r="T72" t="str">
        <f>IF(OR('Input Laying'!U83="",'Input Laying'!U83=0),"",'Input Laying'!U83)</f>
        <v/>
      </c>
      <c r="U72" t="str">
        <f>IF(OR('Input Laying'!X83="",'Input Laying'!X83=0),"",'Input Laying'!X83)</f>
        <v/>
      </c>
      <c r="V72" t="str">
        <f>IF(OR('Input Laying'!Z83="",'Input Laying'!Z83=0),"",'Input Laying'!Z83)</f>
        <v/>
      </c>
      <c r="W72" t="str">
        <f>IF('Input Laying'!AC83="","",'Input Laying'!AC83)</f>
        <v/>
      </c>
      <c r="X72" t="str">
        <f>IF('Input Laying'!AD83="","",'Input Laying'!AD83)</f>
        <v/>
      </c>
      <c r="Y72" t="str">
        <f>IF('Input Laying'!AE83="","",'Input Laying'!AE83)</f>
        <v/>
      </c>
      <c r="Z72" t="str">
        <f>IF('Input Laying'!AG83="","",'Input Laying'!AG83)</f>
        <v/>
      </c>
      <c r="AA72" t="str">
        <f>IF(OR('Input Laying'!AH83=0,'Input Laying'!AH83=""),"",'Input Laying'!AH83)</f>
        <v/>
      </c>
      <c r="AB72" t="str">
        <f>IF('Input Laying'!AJ83="","",'Input Laying'!AJ83)</f>
        <v/>
      </c>
    </row>
    <row r="73" spans="16:28" x14ac:dyDescent="0.2">
      <c r="P73">
        <v>86</v>
      </c>
      <c r="Q73" t="str">
        <f>IF(OR('Input Laying'!E84="",'Input Laying'!E84=0),"",'Input Laying'!E84)</f>
        <v/>
      </c>
      <c r="R73" t="str">
        <f>IF(OR('Input Laying'!N84="",'Input Laying'!N84=0),"",'Input Laying'!N84)</f>
        <v/>
      </c>
      <c r="S73" t="str">
        <f>IF(OR('Input Laying'!T84="",'Input Laying'!T84=0),"",'Input Laying'!T84)</f>
        <v/>
      </c>
      <c r="T73" t="str">
        <f>IF(OR('Input Laying'!U84="",'Input Laying'!U84=0),"",'Input Laying'!U84)</f>
        <v/>
      </c>
      <c r="U73" t="str">
        <f>IF(OR('Input Laying'!X84="",'Input Laying'!X84=0),"",'Input Laying'!X84)</f>
        <v/>
      </c>
      <c r="V73" t="str">
        <f>IF(OR('Input Laying'!Z84="",'Input Laying'!Z84=0),"",'Input Laying'!Z84)</f>
        <v/>
      </c>
      <c r="W73" t="str">
        <f>IF('Input Laying'!AC84="","",'Input Laying'!AC84)</f>
        <v/>
      </c>
      <c r="X73" t="str">
        <f>IF('Input Laying'!AD84="","",'Input Laying'!AD84)</f>
        <v/>
      </c>
      <c r="Y73" t="str">
        <f>IF('Input Laying'!AE84="","",'Input Laying'!AE84)</f>
        <v/>
      </c>
      <c r="Z73" t="str">
        <f>IF('Input Laying'!AG84="","",'Input Laying'!AG84)</f>
        <v/>
      </c>
      <c r="AA73" t="str">
        <f>IF(OR('Input Laying'!AH84=0,'Input Laying'!AH84=""),"",'Input Laying'!AH84)</f>
        <v/>
      </c>
      <c r="AB73" t="str">
        <f>IF('Input Laying'!AJ84="","",'Input Laying'!AJ84)</f>
        <v/>
      </c>
    </row>
    <row r="74" spans="16:28" x14ac:dyDescent="0.2">
      <c r="P74">
        <v>87</v>
      </c>
      <c r="Q74" t="str">
        <f>IF(OR('Input Laying'!E85="",'Input Laying'!E85=0),"",'Input Laying'!E85)</f>
        <v/>
      </c>
      <c r="R74" t="str">
        <f>IF(OR('Input Laying'!N85="",'Input Laying'!N85=0),"",'Input Laying'!N85)</f>
        <v/>
      </c>
      <c r="S74" t="str">
        <f>IF(OR('Input Laying'!T85="",'Input Laying'!T85=0),"",'Input Laying'!T85)</f>
        <v/>
      </c>
      <c r="T74" t="str">
        <f>IF(OR('Input Laying'!U85="",'Input Laying'!U85=0),"",'Input Laying'!U85)</f>
        <v/>
      </c>
      <c r="U74" t="str">
        <f>IF(OR('Input Laying'!X85="",'Input Laying'!X85=0),"",'Input Laying'!X85)</f>
        <v/>
      </c>
      <c r="V74" t="str">
        <f>IF(OR('Input Laying'!Z85="",'Input Laying'!Z85=0),"",'Input Laying'!Z85)</f>
        <v/>
      </c>
      <c r="W74" t="str">
        <f>IF('Input Laying'!AC85="","",'Input Laying'!AC85)</f>
        <v/>
      </c>
      <c r="X74" t="str">
        <f>IF('Input Laying'!AD85="","",'Input Laying'!AD85)</f>
        <v/>
      </c>
      <c r="Y74" t="str">
        <f>IF('Input Laying'!AE85="","",'Input Laying'!AE85)</f>
        <v/>
      </c>
      <c r="Z74" t="str">
        <f>IF('Input Laying'!AG85="","",'Input Laying'!AG85)</f>
        <v/>
      </c>
      <c r="AA74" t="str">
        <f>IF(OR('Input Laying'!AH85=0,'Input Laying'!AH85=""),"",'Input Laying'!AH85)</f>
        <v/>
      </c>
      <c r="AB74" t="str">
        <f>IF('Input Laying'!AJ85="","",'Input Laying'!AJ85)</f>
        <v/>
      </c>
    </row>
    <row r="75" spans="16:28" x14ac:dyDescent="0.2">
      <c r="P75">
        <v>88</v>
      </c>
      <c r="Q75" t="str">
        <f>IF(OR('Input Laying'!E86="",'Input Laying'!E86=0),"",'Input Laying'!E86)</f>
        <v/>
      </c>
      <c r="R75" t="str">
        <f>IF(OR('Input Laying'!N86="",'Input Laying'!N86=0),"",'Input Laying'!N86)</f>
        <v/>
      </c>
      <c r="S75" t="str">
        <f>IF(OR('Input Laying'!T86="",'Input Laying'!T86=0),"",'Input Laying'!T86)</f>
        <v/>
      </c>
      <c r="T75" t="str">
        <f>IF(OR('Input Laying'!U86="",'Input Laying'!U86=0),"",'Input Laying'!U86)</f>
        <v/>
      </c>
      <c r="U75" t="str">
        <f>IF(OR('Input Laying'!X86="",'Input Laying'!X86=0),"",'Input Laying'!X86)</f>
        <v/>
      </c>
      <c r="V75" t="str">
        <f>IF(OR('Input Laying'!Z86="",'Input Laying'!Z86=0),"",'Input Laying'!Z86)</f>
        <v/>
      </c>
      <c r="W75" t="str">
        <f>IF('Input Laying'!AC86="","",'Input Laying'!AC86)</f>
        <v/>
      </c>
      <c r="X75" t="str">
        <f>IF('Input Laying'!AD86="","",'Input Laying'!AD86)</f>
        <v/>
      </c>
      <c r="Y75" t="str">
        <f>IF('Input Laying'!AE86="","",'Input Laying'!AE86)</f>
        <v/>
      </c>
      <c r="Z75" t="str">
        <f>IF('Input Laying'!AG86="","",'Input Laying'!AG86)</f>
        <v/>
      </c>
      <c r="AA75" t="str">
        <f>IF(OR('Input Laying'!AH86=0,'Input Laying'!AH86=""),"",'Input Laying'!AH86)</f>
        <v/>
      </c>
      <c r="AB75" t="str">
        <f>IF('Input Laying'!AJ86="","",'Input Laying'!AJ86)</f>
        <v/>
      </c>
    </row>
    <row r="76" spans="16:28" x14ac:dyDescent="0.2">
      <c r="P76">
        <v>89</v>
      </c>
      <c r="Q76" t="str">
        <f>IF(OR('Input Laying'!E87="",'Input Laying'!E87=0),"",'Input Laying'!E87)</f>
        <v/>
      </c>
      <c r="R76" t="str">
        <f>IF(OR('Input Laying'!N87="",'Input Laying'!N87=0),"",'Input Laying'!N87)</f>
        <v/>
      </c>
      <c r="S76" t="str">
        <f>IF(OR('Input Laying'!T87="",'Input Laying'!T87=0),"",'Input Laying'!T87)</f>
        <v/>
      </c>
      <c r="T76" t="str">
        <f>IF(OR('Input Laying'!U87="",'Input Laying'!U87=0),"",'Input Laying'!U87)</f>
        <v/>
      </c>
      <c r="U76" t="str">
        <f>IF(OR('Input Laying'!X87="",'Input Laying'!X87=0),"",'Input Laying'!X87)</f>
        <v/>
      </c>
      <c r="V76" t="str">
        <f>IF(OR('Input Laying'!Z87="",'Input Laying'!Z87=0),"",'Input Laying'!Z87)</f>
        <v/>
      </c>
      <c r="W76" t="str">
        <f>IF('Input Laying'!AC87="","",'Input Laying'!AC87)</f>
        <v/>
      </c>
      <c r="X76" t="str">
        <f>IF('Input Laying'!AD87="","",'Input Laying'!AD87)</f>
        <v/>
      </c>
      <c r="Y76" t="str">
        <f>IF('Input Laying'!AE87="","",'Input Laying'!AE87)</f>
        <v/>
      </c>
      <c r="Z76" t="str">
        <f>IF('Input Laying'!AG87="","",'Input Laying'!AG87)</f>
        <v/>
      </c>
      <c r="AA76" t="str">
        <f>IF(OR('Input Laying'!AH87=0,'Input Laying'!AH87=""),"",'Input Laying'!AH87)</f>
        <v/>
      </c>
      <c r="AB76" t="str">
        <f>IF('Input Laying'!AJ87="","",'Input Laying'!AJ87)</f>
        <v/>
      </c>
    </row>
    <row r="77" spans="16:28" x14ac:dyDescent="0.2">
      <c r="P77">
        <v>90</v>
      </c>
      <c r="Q77" t="str">
        <f>IF(OR('Input Laying'!E88="",'Input Laying'!E88=0),"",'Input Laying'!E88)</f>
        <v/>
      </c>
      <c r="R77" t="str">
        <f>IF(OR('Input Laying'!N88="",'Input Laying'!N88=0),"",'Input Laying'!N88)</f>
        <v/>
      </c>
      <c r="S77" t="str">
        <f>IF(OR('Input Laying'!T88="",'Input Laying'!T88=0),"",'Input Laying'!T88)</f>
        <v/>
      </c>
      <c r="T77" t="str">
        <f>IF(OR('Input Laying'!U88="",'Input Laying'!U88=0),"",'Input Laying'!U88)</f>
        <v/>
      </c>
      <c r="U77" t="str">
        <f>IF(OR('Input Laying'!X88="",'Input Laying'!X88=0),"",'Input Laying'!X88)</f>
        <v/>
      </c>
      <c r="V77" t="str">
        <f>IF(OR('Input Laying'!Z88="",'Input Laying'!Z88=0),"",'Input Laying'!Z88)</f>
        <v/>
      </c>
      <c r="W77" t="str">
        <f>IF('Input Laying'!AC88="","",'Input Laying'!AC88)</f>
        <v/>
      </c>
      <c r="X77" t="str">
        <f>IF('Input Laying'!AD88="","",'Input Laying'!AD88)</f>
        <v/>
      </c>
      <c r="Y77" t="str">
        <f>IF('Input Laying'!AE88="","",'Input Laying'!AE88)</f>
        <v/>
      </c>
      <c r="Z77" t="str">
        <f>IF('Input Laying'!AG88="","",'Input Laying'!AG88)</f>
        <v/>
      </c>
      <c r="AA77" t="str">
        <f>IF(OR('Input Laying'!AH88=0,'Input Laying'!AH88=""),"",'Input Laying'!AH88)</f>
        <v/>
      </c>
      <c r="AB77" t="str">
        <f>IF('Input Laying'!AJ88="","",'Input Laying'!AJ88)</f>
        <v/>
      </c>
    </row>
    <row r="78" spans="16:28" x14ac:dyDescent="0.2">
      <c r="P78">
        <v>91</v>
      </c>
      <c r="Q78" t="str">
        <f>IF(OR('Input Laying'!E89="",'Input Laying'!E89=0),"",'Input Laying'!E89)</f>
        <v/>
      </c>
      <c r="R78" t="str">
        <f>IF(OR('Input Laying'!N89="",'Input Laying'!N89=0),"",'Input Laying'!N89)</f>
        <v/>
      </c>
      <c r="S78" t="str">
        <f>IF(OR('Input Laying'!T89="",'Input Laying'!T89=0),"",'Input Laying'!T89)</f>
        <v/>
      </c>
      <c r="T78" t="str">
        <f>IF(OR('Input Laying'!U89="",'Input Laying'!U89=0),"",'Input Laying'!U89)</f>
        <v/>
      </c>
      <c r="U78" t="str">
        <f>IF(OR('Input Laying'!X89="",'Input Laying'!X89=0),"",'Input Laying'!X89)</f>
        <v/>
      </c>
      <c r="V78" t="str">
        <f>IF(OR('Input Laying'!Z89="",'Input Laying'!Z89=0),"",'Input Laying'!Z89)</f>
        <v/>
      </c>
      <c r="W78" t="str">
        <f>IF('Input Laying'!AC89="","",'Input Laying'!AC89)</f>
        <v/>
      </c>
      <c r="X78" t="str">
        <f>IF('Input Laying'!AD89="","",'Input Laying'!AD89)</f>
        <v/>
      </c>
      <c r="Y78" t="str">
        <f>IF('Input Laying'!AE89="","",'Input Laying'!AE89)</f>
        <v/>
      </c>
      <c r="Z78" t="str">
        <f>IF('Input Laying'!AG89="","",'Input Laying'!AG89)</f>
        <v/>
      </c>
      <c r="AA78" t="str">
        <f>IF(OR('Input Laying'!AH89=0,'Input Laying'!AH89=""),"",'Input Laying'!AH89)</f>
        <v/>
      </c>
      <c r="AB78" t="str">
        <f>IF('Input Laying'!AJ89="","",'Input Laying'!AJ89)</f>
        <v/>
      </c>
    </row>
    <row r="79" spans="16:28" x14ac:dyDescent="0.2">
      <c r="P79">
        <v>92</v>
      </c>
      <c r="Q79" t="str">
        <f>IF(OR('Input Laying'!E90="",'Input Laying'!E90=0),"",'Input Laying'!E90)</f>
        <v/>
      </c>
      <c r="R79" t="str">
        <f>IF(OR('Input Laying'!N90="",'Input Laying'!N90=0),"",'Input Laying'!N90)</f>
        <v/>
      </c>
      <c r="S79" t="str">
        <f>IF(OR('Input Laying'!T90="",'Input Laying'!T90=0),"",'Input Laying'!T90)</f>
        <v/>
      </c>
      <c r="T79" t="str">
        <f>IF(OR('Input Laying'!U90="",'Input Laying'!U90=0),"",'Input Laying'!U90)</f>
        <v/>
      </c>
      <c r="U79" t="str">
        <f>IF(OR('Input Laying'!X90="",'Input Laying'!X90=0),"",'Input Laying'!X90)</f>
        <v/>
      </c>
      <c r="V79" t="str">
        <f>IF(OR('Input Laying'!Z90="",'Input Laying'!Z90=0),"",'Input Laying'!Z90)</f>
        <v/>
      </c>
      <c r="W79" t="str">
        <f>IF('Input Laying'!AC90="","",'Input Laying'!AC90)</f>
        <v/>
      </c>
      <c r="X79" t="str">
        <f>IF('Input Laying'!AD90="","",'Input Laying'!AD90)</f>
        <v/>
      </c>
      <c r="Y79" t="str">
        <f>IF('Input Laying'!AE90="","",'Input Laying'!AE90)</f>
        <v/>
      </c>
      <c r="Z79" t="str">
        <f>IF('Input Laying'!AG90="","",'Input Laying'!AG90)</f>
        <v/>
      </c>
      <c r="AA79" t="str">
        <f>IF(OR('Input Laying'!AH90=0,'Input Laying'!AH90=""),"",'Input Laying'!AH90)</f>
        <v/>
      </c>
      <c r="AB79" t="str">
        <f>IF('Input Laying'!AJ90="","",'Input Laying'!AJ90)</f>
        <v/>
      </c>
    </row>
    <row r="80" spans="16:28" x14ac:dyDescent="0.2">
      <c r="P80">
        <v>93</v>
      </c>
      <c r="Q80" t="str">
        <f>IF(OR('Input Laying'!E91="",'Input Laying'!E91=0),"",'Input Laying'!E91)</f>
        <v/>
      </c>
      <c r="R80" t="str">
        <f>IF(OR('Input Laying'!N91="",'Input Laying'!N91=0),"",'Input Laying'!N91)</f>
        <v/>
      </c>
      <c r="S80" t="str">
        <f>IF(OR('Input Laying'!T91="",'Input Laying'!T91=0),"",'Input Laying'!T91)</f>
        <v/>
      </c>
      <c r="T80" t="str">
        <f>IF(OR('Input Laying'!U91="",'Input Laying'!U91=0),"",'Input Laying'!U91)</f>
        <v/>
      </c>
      <c r="U80" t="str">
        <f>IF(OR('Input Laying'!X91="",'Input Laying'!X91=0),"",'Input Laying'!X91)</f>
        <v/>
      </c>
      <c r="V80" t="str">
        <f>IF(OR('Input Laying'!Z91="",'Input Laying'!Z91=0),"",'Input Laying'!Z91)</f>
        <v/>
      </c>
      <c r="W80" t="str">
        <f>IF('Input Laying'!AC91="","",'Input Laying'!AC91)</f>
        <v/>
      </c>
      <c r="X80" t="str">
        <f>IF('Input Laying'!AD91="","",'Input Laying'!AD91)</f>
        <v/>
      </c>
      <c r="Y80" t="str">
        <f>IF('Input Laying'!AE91="","",'Input Laying'!AE91)</f>
        <v/>
      </c>
      <c r="Z80" t="str">
        <f>IF('Input Laying'!AG91="","",'Input Laying'!AG91)</f>
        <v/>
      </c>
      <c r="AA80" t="str">
        <f>IF(OR('Input Laying'!AH91=0,'Input Laying'!AH91=""),"",'Input Laying'!AH91)</f>
        <v/>
      </c>
      <c r="AB80" t="str">
        <f>IF('Input Laying'!AJ91="","",'Input Laying'!AJ91)</f>
        <v/>
      </c>
    </row>
    <row r="81" spans="16:28" x14ac:dyDescent="0.2">
      <c r="P81">
        <v>94</v>
      </c>
      <c r="Q81" t="str">
        <f>IF(OR('Input Laying'!E92="",'Input Laying'!E92=0),"",'Input Laying'!E92)</f>
        <v/>
      </c>
      <c r="R81" t="str">
        <f>IF(OR('Input Laying'!N92="",'Input Laying'!N92=0),"",'Input Laying'!N92)</f>
        <v/>
      </c>
      <c r="S81" t="str">
        <f>IF(OR('Input Laying'!T92="",'Input Laying'!T92=0),"",'Input Laying'!T92)</f>
        <v/>
      </c>
      <c r="T81" t="str">
        <f>IF(OR('Input Laying'!U92="",'Input Laying'!U92=0),"",'Input Laying'!U92)</f>
        <v/>
      </c>
      <c r="U81" t="str">
        <f>IF(OR('Input Laying'!X92="",'Input Laying'!X92=0),"",'Input Laying'!X92)</f>
        <v/>
      </c>
      <c r="V81" t="str">
        <f>IF(OR('Input Laying'!Z92="",'Input Laying'!Z92=0),"",'Input Laying'!Z92)</f>
        <v/>
      </c>
      <c r="W81" t="str">
        <f>IF('Input Laying'!AC92="","",'Input Laying'!AC92)</f>
        <v/>
      </c>
      <c r="X81" t="str">
        <f>IF('Input Laying'!AD92="","",'Input Laying'!AD92)</f>
        <v/>
      </c>
      <c r="Y81" t="str">
        <f>IF('Input Laying'!AE92="","",'Input Laying'!AE92)</f>
        <v/>
      </c>
      <c r="Z81" t="str">
        <f>IF('Input Laying'!AG92="","",'Input Laying'!AG92)</f>
        <v/>
      </c>
      <c r="AA81" t="str">
        <f>IF(OR('Input Laying'!AH92=0,'Input Laying'!AH92=""),"",'Input Laying'!AH92)</f>
        <v/>
      </c>
      <c r="AB81" t="str">
        <f>IF('Input Laying'!AJ92="","",'Input Laying'!AJ92)</f>
        <v/>
      </c>
    </row>
    <row r="82" spans="16:28" x14ac:dyDescent="0.2">
      <c r="P82">
        <v>95</v>
      </c>
      <c r="Q82" t="str">
        <f>IF(OR('Input Laying'!E93="",'Input Laying'!E93=0),"",'Input Laying'!E93)</f>
        <v/>
      </c>
      <c r="R82" t="str">
        <f>IF(OR('Input Laying'!N93="",'Input Laying'!N93=0),"",'Input Laying'!N93)</f>
        <v/>
      </c>
      <c r="S82" t="str">
        <f>IF(OR('Input Laying'!T93="",'Input Laying'!T93=0),"",'Input Laying'!T93)</f>
        <v/>
      </c>
      <c r="T82" t="str">
        <f>IF(OR('Input Laying'!U93="",'Input Laying'!U93=0),"",'Input Laying'!U93)</f>
        <v/>
      </c>
      <c r="U82" t="str">
        <f>IF(OR('Input Laying'!X93="",'Input Laying'!X93=0),"",'Input Laying'!X93)</f>
        <v/>
      </c>
      <c r="V82" t="str">
        <f>IF(OR('Input Laying'!Z93="",'Input Laying'!Z93=0),"",'Input Laying'!Z93)</f>
        <v/>
      </c>
      <c r="W82" t="str">
        <f>IF('Input Laying'!AC93="","",'Input Laying'!AC93)</f>
        <v/>
      </c>
      <c r="X82" t="str">
        <f>IF('Input Laying'!AD93="","",'Input Laying'!AD93)</f>
        <v/>
      </c>
      <c r="Y82" t="str">
        <f>IF('Input Laying'!AE93="","",'Input Laying'!AE93)</f>
        <v/>
      </c>
      <c r="Z82" t="str">
        <f>IF('Input Laying'!AG93="","",'Input Laying'!AG93)</f>
        <v/>
      </c>
      <c r="AA82" t="str">
        <f>IF(OR('Input Laying'!AH93=0,'Input Laying'!AH93=""),"",'Input Laying'!AH93)</f>
        <v/>
      </c>
      <c r="AB82" t="str">
        <f>IF('Input Laying'!AJ93="","",'Input Laying'!AJ93)</f>
        <v/>
      </c>
    </row>
    <row r="83" spans="16:28" x14ac:dyDescent="0.2">
      <c r="P83">
        <v>96</v>
      </c>
      <c r="Q83" t="str">
        <f>IF(OR('Input Laying'!E94="",'Input Laying'!E94=0),"",'Input Laying'!E94)</f>
        <v/>
      </c>
      <c r="R83" t="str">
        <f>IF(OR('Input Laying'!N94="",'Input Laying'!N94=0),"",'Input Laying'!N94)</f>
        <v/>
      </c>
      <c r="S83" t="str">
        <f>IF(OR('Input Laying'!T94="",'Input Laying'!T94=0),"",'Input Laying'!T94)</f>
        <v/>
      </c>
      <c r="T83" t="str">
        <f>IF(OR('Input Laying'!U94="",'Input Laying'!U94=0),"",'Input Laying'!U94)</f>
        <v/>
      </c>
      <c r="U83" t="str">
        <f>IF(OR('Input Laying'!X94="",'Input Laying'!X94=0),"",'Input Laying'!X94)</f>
        <v/>
      </c>
      <c r="V83" t="str">
        <f>IF(OR('Input Laying'!Z94="",'Input Laying'!Z94=0),"",'Input Laying'!Z94)</f>
        <v/>
      </c>
      <c r="W83" t="str">
        <f>IF('Input Laying'!AC94="","",'Input Laying'!AC94)</f>
        <v/>
      </c>
      <c r="X83" t="str">
        <f>IF('Input Laying'!AD94="","",'Input Laying'!AD94)</f>
        <v/>
      </c>
      <c r="Y83" t="str">
        <f>IF('Input Laying'!AE94="","",'Input Laying'!AE94)</f>
        <v/>
      </c>
      <c r="Z83" t="str">
        <f>IF('Input Laying'!AG94="","",'Input Laying'!AG94)</f>
        <v/>
      </c>
      <c r="AA83" t="str">
        <f>IF(OR('Input Laying'!AH94=0,'Input Laying'!AH94=""),"",'Input Laying'!AH94)</f>
        <v/>
      </c>
      <c r="AB83" t="str">
        <f>IF('Input Laying'!AJ94="","",'Input Laying'!AJ94)</f>
        <v/>
      </c>
    </row>
    <row r="84" spans="16:28" x14ac:dyDescent="0.2">
      <c r="P84">
        <v>97</v>
      </c>
      <c r="Q84" t="str">
        <f>IF(OR('Input Laying'!E95="",'Input Laying'!E95=0),"",'Input Laying'!E95)</f>
        <v/>
      </c>
      <c r="R84" t="str">
        <f>IF(OR('Input Laying'!N95="",'Input Laying'!N95=0),"",'Input Laying'!N95)</f>
        <v/>
      </c>
      <c r="S84" t="str">
        <f>IF(OR('Input Laying'!T95="",'Input Laying'!T95=0),"",'Input Laying'!T95)</f>
        <v/>
      </c>
      <c r="T84" t="str">
        <f>IF(OR('Input Laying'!U95="",'Input Laying'!U95=0),"",'Input Laying'!U95)</f>
        <v/>
      </c>
      <c r="U84" t="str">
        <f>IF(OR('Input Laying'!X95="",'Input Laying'!X95=0),"",'Input Laying'!X95)</f>
        <v/>
      </c>
      <c r="V84" t="str">
        <f>IF(OR('Input Laying'!Z95="",'Input Laying'!Z95=0),"",'Input Laying'!Z95)</f>
        <v/>
      </c>
      <c r="W84" t="str">
        <f>IF('Input Laying'!AC95="","",'Input Laying'!AC95)</f>
        <v/>
      </c>
      <c r="X84" t="str">
        <f>IF('Input Laying'!AD95="","",'Input Laying'!AD95)</f>
        <v/>
      </c>
      <c r="Y84" t="str">
        <f>IF('Input Laying'!AE95="","",'Input Laying'!AE95)</f>
        <v/>
      </c>
      <c r="Z84" t="str">
        <f>IF('Input Laying'!AG95="","",'Input Laying'!AG95)</f>
        <v/>
      </c>
      <c r="AA84" t="str">
        <f>IF(OR('Input Laying'!AH95=0,'Input Laying'!AH95=""),"",'Input Laying'!AH95)</f>
        <v/>
      </c>
      <c r="AB84" t="str">
        <f>IF('Input Laying'!AJ95="","",'Input Laying'!AJ95)</f>
        <v/>
      </c>
    </row>
    <row r="85" spans="16:28" x14ac:dyDescent="0.2">
      <c r="P85">
        <v>98</v>
      </c>
      <c r="Q85" t="str">
        <f>IF(OR('Input Laying'!E96="",'Input Laying'!E96=0),"",'Input Laying'!E96)</f>
        <v/>
      </c>
      <c r="R85" t="str">
        <f>IF(OR('Input Laying'!N96="",'Input Laying'!N96=0),"",'Input Laying'!N96)</f>
        <v/>
      </c>
      <c r="S85" t="str">
        <f>IF(OR('Input Laying'!T96="",'Input Laying'!T96=0),"",'Input Laying'!T96)</f>
        <v/>
      </c>
      <c r="T85" t="str">
        <f>IF(OR('Input Laying'!U96="",'Input Laying'!U96=0),"",'Input Laying'!U96)</f>
        <v/>
      </c>
      <c r="U85" t="str">
        <f>IF(OR('Input Laying'!X96="",'Input Laying'!X96=0),"",'Input Laying'!X96)</f>
        <v/>
      </c>
      <c r="V85" t="str">
        <f>IF(OR('Input Laying'!Z96="",'Input Laying'!Z96=0),"",'Input Laying'!Z96)</f>
        <v/>
      </c>
      <c r="W85" t="str">
        <f>IF('Input Laying'!AC96="","",'Input Laying'!AC96)</f>
        <v/>
      </c>
      <c r="X85" t="str">
        <f>IF('Input Laying'!AD96="","",'Input Laying'!AD96)</f>
        <v/>
      </c>
      <c r="Y85" t="str">
        <f>IF('Input Laying'!AE96="","",'Input Laying'!AE96)</f>
        <v/>
      </c>
      <c r="Z85" t="str">
        <f>IF('Input Laying'!AG96="","",'Input Laying'!AG96)</f>
        <v/>
      </c>
      <c r="AA85" t="str">
        <f>IF(OR('Input Laying'!AH96=0,'Input Laying'!AH96=""),"",'Input Laying'!AH96)</f>
        <v/>
      </c>
      <c r="AB85" t="str">
        <f>IF('Input Laying'!AJ96="","",'Input Laying'!AJ96)</f>
        <v/>
      </c>
    </row>
    <row r="86" spans="16:28" x14ac:dyDescent="0.2">
      <c r="P86">
        <v>99</v>
      </c>
      <c r="Q86" t="str">
        <f>IF(OR('Input Laying'!E97="",'Input Laying'!E97=0),"",'Input Laying'!E97)</f>
        <v/>
      </c>
      <c r="R86" t="str">
        <f>IF(OR('Input Laying'!N97="",'Input Laying'!N97=0),"",'Input Laying'!N97)</f>
        <v/>
      </c>
      <c r="S86" t="str">
        <f>IF(OR('Input Laying'!T97="",'Input Laying'!T97=0),"",'Input Laying'!T97)</f>
        <v/>
      </c>
      <c r="T86" t="str">
        <f>IF(OR('Input Laying'!U97="",'Input Laying'!U97=0),"",'Input Laying'!U97)</f>
        <v/>
      </c>
      <c r="U86" t="str">
        <f>IF(OR('Input Laying'!X97="",'Input Laying'!X97=0),"",'Input Laying'!X97)</f>
        <v/>
      </c>
      <c r="V86" t="str">
        <f>IF(OR('Input Laying'!Z97="",'Input Laying'!Z97=0),"",'Input Laying'!Z97)</f>
        <v/>
      </c>
      <c r="W86" t="str">
        <f>IF('Input Laying'!AC97="","",'Input Laying'!AC97)</f>
        <v/>
      </c>
      <c r="X86" t="str">
        <f>IF('Input Laying'!AD97="","",'Input Laying'!AD97)</f>
        <v/>
      </c>
      <c r="Y86" t="str">
        <f>IF('Input Laying'!AE97="","",'Input Laying'!AE97)</f>
        <v/>
      </c>
      <c r="Z86" t="str">
        <f>IF('Input Laying'!AG97="","",'Input Laying'!AG97)</f>
        <v/>
      </c>
      <c r="AA86" t="str">
        <f>IF(OR('Input Laying'!AH97=0,'Input Laying'!AH97=""),"",'Input Laying'!AH97)</f>
        <v/>
      </c>
      <c r="AB86" t="str">
        <f>IF('Input Laying'!AJ97="","",'Input Laying'!AJ97)</f>
        <v/>
      </c>
    </row>
    <row r="87" spans="16:28" x14ac:dyDescent="0.2">
      <c r="P87">
        <v>100</v>
      </c>
      <c r="Q87" t="str">
        <f>IF(OR('Input Laying'!E98="",'Input Laying'!E98=0),"",'Input Laying'!E98)</f>
        <v/>
      </c>
      <c r="R87" t="str">
        <f>IF(OR('Input Laying'!N98="",'Input Laying'!N98=0),"",'Input Laying'!N98)</f>
        <v/>
      </c>
      <c r="S87" t="str">
        <f>IF(OR('Input Laying'!T98="",'Input Laying'!T98=0),"",'Input Laying'!T98)</f>
        <v/>
      </c>
      <c r="T87" t="str">
        <f>IF(OR('Input Laying'!U98="",'Input Laying'!U98=0),"",'Input Laying'!U98)</f>
        <v/>
      </c>
      <c r="U87" t="str">
        <f>IF(OR('Input Laying'!X98="",'Input Laying'!X98=0),"",'Input Laying'!X98)</f>
        <v/>
      </c>
      <c r="V87" t="str">
        <f>IF(OR('Input Laying'!Z98="",'Input Laying'!Z98=0),"",'Input Laying'!Z98)</f>
        <v/>
      </c>
      <c r="W87" t="str">
        <f>IF('Input Laying'!AC98="","",'Input Laying'!AC98)</f>
        <v/>
      </c>
      <c r="X87" t="str">
        <f>IF('Input Laying'!AD98="","",'Input Laying'!AD98)</f>
        <v/>
      </c>
      <c r="Y87" t="str">
        <f>IF('Input Laying'!AE98="","",'Input Laying'!AE98)</f>
        <v/>
      </c>
      <c r="Z87" t="str">
        <f>IF('Input Laying'!AG98="","",'Input Laying'!AG98)</f>
        <v/>
      </c>
      <c r="AA87" t="str">
        <f>IF(OR('Input Laying'!AH98=0,'Input Laying'!AH98=""),"",'Input Laying'!AH98)</f>
        <v/>
      </c>
      <c r="AB87" t="str">
        <f>IF('Input Laying'!AJ98="","",'Input Laying'!AJ98)</f>
        <v/>
      </c>
    </row>
  </sheetData>
  <sheetProtection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09">
    <tabColor theme="0"/>
  </sheetPr>
  <dimension ref="A1:AC252"/>
  <sheetViews>
    <sheetView zoomScaleNormal="100" workbookViewId="0">
      <selection activeCell="L21" sqref="L21"/>
    </sheetView>
  </sheetViews>
  <sheetFormatPr defaultColWidth="9.140625" defaultRowHeight="12.75" x14ac:dyDescent="0.2"/>
  <cols>
    <col min="2" max="2" width="10.140625" bestFit="1" customWidth="1"/>
    <col min="7" max="7" width="10.140625" bestFit="1" customWidth="1"/>
  </cols>
  <sheetData>
    <row r="1" spans="2:29" x14ac:dyDescent="0.2">
      <c r="B1" t="s">
        <v>19</v>
      </c>
      <c r="D1" t="s">
        <v>20</v>
      </c>
      <c r="G1" t="s">
        <v>2</v>
      </c>
      <c r="J1" t="s">
        <v>22</v>
      </c>
      <c r="M1" t="s">
        <v>558</v>
      </c>
      <c r="Q1" t="s">
        <v>21</v>
      </c>
      <c r="U1" t="s">
        <v>534</v>
      </c>
      <c r="X1" t="s">
        <v>578</v>
      </c>
    </row>
    <row r="2" spans="2:29" x14ac:dyDescent="0.2">
      <c r="B2">
        <f>YEAR('General Input'!B14)</f>
        <v>1900</v>
      </c>
      <c r="C2" t="str">
        <f>IF(RIGHT(B2,2)&lt;10,"0"&amp;RIGHT(B2,2),RIGHT(B2,2))</f>
        <v>00</v>
      </c>
      <c r="D2">
        <f>MONTH('General Input'!B14)</f>
        <v>1</v>
      </c>
      <c r="E2" t="str">
        <f>IF(D2&lt;10,"0"&amp;D2,D2)</f>
        <v>01</v>
      </c>
      <c r="G2">
        <f>DAY('General Input'!B14)</f>
        <v>0</v>
      </c>
      <c r="H2" t="str">
        <f>IF(G2&lt;10,"0"&amp;G2,G2)</f>
        <v>00</v>
      </c>
      <c r="J2" t="str">
        <f>VLOOKUP('General Input'!B17,J4:K40,2,FALSE)</f>
        <v>IB</v>
      </c>
      <c r="K2" t="str">
        <f>IF(ISNA(J2),"",J2)</f>
        <v>IB</v>
      </c>
      <c r="N2" t="e">
        <f>VLOOKUP('General Input'!B18,Diverse!N3:O10,2,FALSE)</f>
        <v>#N/A</v>
      </c>
      <c r="O2" t="str">
        <f>IF(ISNA(N2),"",N2)</f>
        <v/>
      </c>
      <c r="R2" t="e">
        <f>VLOOKUP('General Input'!B22,R3:S252,2)</f>
        <v>#N/A</v>
      </c>
      <c r="S2" t="str">
        <f>IF(ISNA(R2),"",R2)</f>
        <v/>
      </c>
      <c r="X2" t="e">
        <f>VLOOKUP('General Input'!B23,Diverse!X4:X170,1,FALSE)</f>
        <v>#N/A</v>
      </c>
      <c r="Y2" t="str">
        <f>IF(ISNA(X2),"",X2)</f>
        <v/>
      </c>
    </row>
    <row r="3" spans="2:29" x14ac:dyDescent="0.2">
      <c r="F3">
        <v>1</v>
      </c>
      <c r="M3">
        <v>1</v>
      </c>
      <c r="Q3">
        <v>1</v>
      </c>
      <c r="U3">
        <v>40</v>
      </c>
      <c r="W3">
        <v>1</v>
      </c>
      <c r="AC3" t="s">
        <v>5131</v>
      </c>
    </row>
    <row r="4" spans="2:29" x14ac:dyDescent="0.2">
      <c r="B4">
        <v>2008</v>
      </c>
      <c r="C4" t="s">
        <v>374</v>
      </c>
      <c r="D4" t="str">
        <f>Language!B236</f>
        <v>January</v>
      </c>
      <c r="E4" t="s">
        <v>367</v>
      </c>
      <c r="F4">
        <v>2</v>
      </c>
      <c r="G4" t="s">
        <v>367</v>
      </c>
      <c r="H4">
        <v>1</v>
      </c>
      <c r="M4">
        <v>2</v>
      </c>
      <c r="N4" t="str">
        <f>Language!B249</f>
        <v>Cage</v>
      </c>
      <c r="O4" t="s">
        <v>25</v>
      </c>
      <c r="Q4">
        <v>2</v>
      </c>
      <c r="R4" t="s">
        <v>44</v>
      </c>
      <c r="S4" t="s">
        <v>188</v>
      </c>
      <c r="U4">
        <v>41</v>
      </c>
      <c r="W4">
        <v>2</v>
      </c>
      <c r="X4" t="s">
        <v>639</v>
      </c>
      <c r="Y4" t="s">
        <v>583</v>
      </c>
      <c r="Z4" t="s">
        <v>44</v>
      </c>
      <c r="AC4" t="s">
        <v>5135</v>
      </c>
    </row>
    <row r="5" spans="2:29" x14ac:dyDescent="0.2">
      <c r="B5">
        <v>2009</v>
      </c>
      <c r="C5" t="s">
        <v>375</v>
      </c>
      <c r="D5" t="str">
        <f>Language!B237</f>
        <v>February</v>
      </c>
      <c r="E5" t="s">
        <v>368</v>
      </c>
      <c r="F5">
        <v>3</v>
      </c>
      <c r="G5" t="s">
        <v>368</v>
      </c>
      <c r="H5">
        <v>2</v>
      </c>
      <c r="J5" t="s">
        <v>983</v>
      </c>
      <c r="K5" t="s">
        <v>984</v>
      </c>
      <c r="M5">
        <v>3</v>
      </c>
      <c r="N5" t="str">
        <f>Language!B250</f>
        <v>Barn</v>
      </c>
      <c r="O5" t="s">
        <v>26</v>
      </c>
      <c r="Q5">
        <v>3</v>
      </c>
      <c r="R5" t="s">
        <v>1042</v>
      </c>
      <c r="S5" t="s">
        <v>1043</v>
      </c>
      <c r="U5">
        <v>42</v>
      </c>
      <c r="W5">
        <v>3</v>
      </c>
      <c r="X5" t="s">
        <v>582</v>
      </c>
      <c r="Y5" t="s">
        <v>585</v>
      </c>
      <c r="Z5" t="s">
        <v>127</v>
      </c>
      <c r="AC5" t="s">
        <v>2131</v>
      </c>
    </row>
    <row r="6" spans="2:29" x14ac:dyDescent="0.2">
      <c r="B6">
        <v>2010</v>
      </c>
      <c r="C6" t="s">
        <v>376</v>
      </c>
      <c r="D6" t="str">
        <f>Language!B238</f>
        <v>March</v>
      </c>
      <c r="E6" t="s">
        <v>369</v>
      </c>
      <c r="F6">
        <v>4</v>
      </c>
      <c r="G6" t="s">
        <v>369</v>
      </c>
      <c r="H6">
        <v>3</v>
      </c>
      <c r="J6" t="s">
        <v>985</v>
      </c>
      <c r="K6" t="s">
        <v>986</v>
      </c>
      <c r="M6">
        <v>4</v>
      </c>
      <c r="N6" t="str">
        <f>Language!B251</f>
        <v>Free range</v>
      </c>
      <c r="O6" t="s">
        <v>27</v>
      </c>
      <c r="Q6">
        <v>4</v>
      </c>
      <c r="R6" t="s">
        <v>45</v>
      </c>
      <c r="S6" t="s">
        <v>190</v>
      </c>
      <c r="U6">
        <v>43</v>
      </c>
      <c r="W6">
        <v>4</v>
      </c>
      <c r="X6" t="s">
        <v>754</v>
      </c>
      <c r="Y6" t="s">
        <v>587</v>
      </c>
      <c r="Z6" t="s">
        <v>588</v>
      </c>
      <c r="AC6" t="s">
        <v>5134</v>
      </c>
    </row>
    <row r="7" spans="2:29" x14ac:dyDescent="0.2">
      <c r="B7">
        <v>2011</v>
      </c>
      <c r="C7" t="s">
        <v>377</v>
      </c>
      <c r="D7" t="str">
        <f>Language!B239</f>
        <v>April</v>
      </c>
      <c r="E7" t="s">
        <v>370</v>
      </c>
      <c r="F7">
        <v>5</v>
      </c>
      <c r="G7" t="s">
        <v>370</v>
      </c>
      <c r="H7">
        <v>4</v>
      </c>
      <c r="J7" t="s">
        <v>987</v>
      </c>
      <c r="K7" t="s">
        <v>988</v>
      </c>
      <c r="M7">
        <v>5</v>
      </c>
      <c r="N7" t="str">
        <f>Language!B252</f>
        <v>Free range multi tier</v>
      </c>
      <c r="O7" t="s">
        <v>579</v>
      </c>
      <c r="Q7">
        <v>5</v>
      </c>
      <c r="R7" t="s">
        <v>23</v>
      </c>
      <c r="S7" t="s">
        <v>228</v>
      </c>
      <c r="U7">
        <v>44</v>
      </c>
      <c r="W7">
        <v>5</v>
      </c>
      <c r="X7" t="s">
        <v>683</v>
      </c>
      <c r="Y7" t="s">
        <v>590</v>
      </c>
      <c r="Z7" t="s">
        <v>146</v>
      </c>
      <c r="AC7" t="s">
        <v>1871</v>
      </c>
    </row>
    <row r="8" spans="2:29" x14ac:dyDescent="0.2">
      <c r="B8">
        <v>2012</v>
      </c>
      <c r="C8" t="s">
        <v>378</v>
      </c>
      <c r="D8" t="str">
        <f>Language!B240</f>
        <v>May</v>
      </c>
      <c r="E8" t="s">
        <v>371</v>
      </c>
      <c r="F8">
        <v>6</v>
      </c>
      <c r="G8" t="s">
        <v>371</v>
      </c>
      <c r="H8">
        <v>5</v>
      </c>
      <c r="J8" t="s">
        <v>989</v>
      </c>
      <c r="K8" t="s">
        <v>990</v>
      </c>
      <c r="M8">
        <v>6</v>
      </c>
      <c r="N8" t="str">
        <f>Language!B253</f>
        <v>Aviary</v>
      </c>
      <c r="O8" t="s">
        <v>28</v>
      </c>
      <c r="Q8">
        <v>6</v>
      </c>
      <c r="R8" t="s">
        <v>439</v>
      </c>
      <c r="S8" t="s">
        <v>438</v>
      </c>
      <c r="U8">
        <v>45</v>
      </c>
      <c r="W8">
        <v>6</v>
      </c>
      <c r="X8" t="s">
        <v>698</v>
      </c>
      <c r="Y8" t="s">
        <v>592</v>
      </c>
      <c r="Z8" t="s">
        <v>593</v>
      </c>
      <c r="AC8" t="s">
        <v>104</v>
      </c>
    </row>
    <row r="9" spans="2:29" x14ac:dyDescent="0.2">
      <c r="B9">
        <v>2013</v>
      </c>
      <c r="C9" t="s">
        <v>379</v>
      </c>
      <c r="D9" t="str">
        <f>Language!B241</f>
        <v>June</v>
      </c>
      <c r="E9" t="s">
        <v>372</v>
      </c>
      <c r="F9">
        <v>7</v>
      </c>
      <c r="G9" t="s">
        <v>372</v>
      </c>
      <c r="H9">
        <v>6</v>
      </c>
      <c r="J9" t="s">
        <v>991</v>
      </c>
      <c r="K9" t="s">
        <v>992</v>
      </c>
      <c r="M9">
        <v>7</v>
      </c>
      <c r="N9" t="str">
        <f>Language!B254</f>
        <v>Enriched cage</v>
      </c>
      <c r="O9" t="s">
        <v>29</v>
      </c>
      <c r="Q9">
        <v>7</v>
      </c>
      <c r="R9" t="s">
        <v>433</v>
      </c>
      <c r="S9" t="s">
        <v>432</v>
      </c>
      <c r="U9">
        <v>46</v>
      </c>
      <c r="W9">
        <v>7</v>
      </c>
      <c r="X9" t="s">
        <v>743</v>
      </c>
      <c r="Y9" t="s">
        <v>595</v>
      </c>
      <c r="Z9" t="s">
        <v>596</v>
      </c>
      <c r="AC9" t="s">
        <v>4643</v>
      </c>
    </row>
    <row r="10" spans="2:29" x14ac:dyDescent="0.2">
      <c r="B10">
        <v>2014</v>
      </c>
      <c r="C10" t="s">
        <v>380</v>
      </c>
      <c r="D10" t="str">
        <f>Language!B242</f>
        <v>July</v>
      </c>
      <c r="E10" t="s">
        <v>373</v>
      </c>
      <c r="F10">
        <v>8</v>
      </c>
      <c r="G10" t="s">
        <v>373</v>
      </c>
      <c r="H10">
        <v>7</v>
      </c>
      <c r="J10" t="s">
        <v>363</v>
      </c>
      <c r="K10" t="s">
        <v>30</v>
      </c>
      <c r="M10">
        <v>8</v>
      </c>
      <c r="N10" t="str">
        <f>Language!B255</f>
        <v>Organic</v>
      </c>
      <c r="O10" t="s">
        <v>18</v>
      </c>
      <c r="Q10">
        <v>8</v>
      </c>
      <c r="R10" t="s">
        <v>47</v>
      </c>
      <c r="S10" t="s">
        <v>192</v>
      </c>
      <c r="U10">
        <v>47</v>
      </c>
      <c r="W10">
        <v>8</v>
      </c>
      <c r="X10" t="s">
        <v>844</v>
      </c>
      <c r="Y10" t="s">
        <v>598</v>
      </c>
      <c r="Z10" t="s">
        <v>91</v>
      </c>
      <c r="AC10" t="s">
        <v>3138</v>
      </c>
    </row>
    <row r="11" spans="2:29" x14ac:dyDescent="0.2">
      <c r="B11">
        <v>2015</v>
      </c>
      <c r="C11" t="s">
        <v>381</v>
      </c>
      <c r="D11" t="str">
        <f>Language!B243</f>
        <v>August</v>
      </c>
      <c r="E11" t="s">
        <v>374</v>
      </c>
      <c r="F11">
        <v>9</v>
      </c>
      <c r="G11" t="s">
        <v>374</v>
      </c>
      <c r="H11">
        <v>8</v>
      </c>
      <c r="J11" t="s">
        <v>993</v>
      </c>
      <c r="K11" t="s">
        <v>994</v>
      </c>
      <c r="M11">
        <v>9</v>
      </c>
      <c r="Q11">
        <v>9</v>
      </c>
      <c r="R11" t="s">
        <v>435</v>
      </c>
      <c r="S11" t="s">
        <v>434</v>
      </c>
      <c r="U11">
        <v>48</v>
      </c>
      <c r="W11">
        <v>9</v>
      </c>
      <c r="X11" t="s">
        <v>563</v>
      </c>
      <c r="Y11" t="s">
        <v>600</v>
      </c>
      <c r="Z11" t="s">
        <v>73</v>
      </c>
      <c r="AC11" t="s">
        <v>5138</v>
      </c>
    </row>
    <row r="12" spans="2:29" x14ac:dyDescent="0.2">
      <c r="B12">
        <v>2016</v>
      </c>
      <c r="C12" t="s">
        <v>382</v>
      </c>
      <c r="D12" t="str">
        <f>Language!B244</f>
        <v>September</v>
      </c>
      <c r="E12" t="s">
        <v>375</v>
      </c>
      <c r="F12">
        <v>10</v>
      </c>
      <c r="G12" t="s">
        <v>375</v>
      </c>
      <c r="H12">
        <v>9</v>
      </c>
      <c r="J12" t="s">
        <v>995</v>
      </c>
      <c r="K12" t="s">
        <v>32</v>
      </c>
      <c r="M12">
        <v>10</v>
      </c>
      <c r="Q12">
        <v>10</v>
      </c>
      <c r="R12" t="s">
        <v>437</v>
      </c>
      <c r="S12" t="s">
        <v>436</v>
      </c>
      <c r="U12">
        <v>49</v>
      </c>
      <c r="W12">
        <v>10</v>
      </c>
      <c r="X12" t="s">
        <v>697</v>
      </c>
      <c r="Y12" t="s">
        <v>600</v>
      </c>
      <c r="Z12" t="s">
        <v>602</v>
      </c>
      <c r="AC12" t="s">
        <v>5139</v>
      </c>
    </row>
    <row r="13" spans="2:29" x14ac:dyDescent="0.2">
      <c r="B13">
        <v>2017</v>
      </c>
      <c r="C13" t="s">
        <v>383</v>
      </c>
      <c r="D13" t="str">
        <f>Language!B245</f>
        <v>October</v>
      </c>
      <c r="E13" t="s">
        <v>376</v>
      </c>
      <c r="F13">
        <v>11</v>
      </c>
      <c r="G13" t="s">
        <v>376</v>
      </c>
      <c r="H13">
        <v>10</v>
      </c>
      <c r="J13" t="s">
        <v>996</v>
      </c>
      <c r="K13" t="s">
        <v>33</v>
      </c>
      <c r="M13">
        <v>11</v>
      </c>
      <c r="Q13">
        <v>11</v>
      </c>
      <c r="R13" t="s">
        <v>1044</v>
      </c>
      <c r="S13" t="s">
        <v>189</v>
      </c>
      <c r="U13">
        <v>50</v>
      </c>
      <c r="W13">
        <v>11</v>
      </c>
      <c r="X13" t="s">
        <v>805</v>
      </c>
      <c r="Y13" t="s">
        <v>604</v>
      </c>
      <c r="Z13" t="s">
        <v>140</v>
      </c>
      <c r="AC13" t="s">
        <v>5140</v>
      </c>
    </row>
    <row r="14" spans="2:29" x14ac:dyDescent="0.2">
      <c r="B14">
        <v>2018</v>
      </c>
      <c r="C14" t="s">
        <v>384</v>
      </c>
      <c r="D14" t="str">
        <f>Language!B246</f>
        <v>November</v>
      </c>
      <c r="E14" t="s">
        <v>377</v>
      </c>
      <c r="F14">
        <v>12</v>
      </c>
      <c r="G14" t="s">
        <v>377</v>
      </c>
      <c r="H14">
        <v>11</v>
      </c>
      <c r="J14" t="s">
        <v>997</v>
      </c>
      <c r="K14" t="s">
        <v>998</v>
      </c>
      <c r="Q14">
        <v>12</v>
      </c>
      <c r="R14" t="s">
        <v>48</v>
      </c>
      <c r="S14" t="s">
        <v>193</v>
      </c>
      <c r="U14">
        <v>51</v>
      </c>
      <c r="W14">
        <v>12</v>
      </c>
      <c r="X14" t="s">
        <v>810</v>
      </c>
      <c r="Y14" t="s">
        <v>605</v>
      </c>
      <c r="Z14" t="s">
        <v>606</v>
      </c>
      <c r="AC14" t="s">
        <v>4882</v>
      </c>
    </row>
    <row r="15" spans="2:29" x14ac:dyDescent="0.2">
      <c r="B15">
        <v>2019</v>
      </c>
      <c r="C15" t="s">
        <v>385</v>
      </c>
      <c r="D15" t="str">
        <f>Language!B247</f>
        <v>December</v>
      </c>
      <c r="E15" t="s">
        <v>378</v>
      </c>
      <c r="F15">
        <v>13</v>
      </c>
      <c r="G15" t="s">
        <v>378</v>
      </c>
      <c r="H15">
        <v>12</v>
      </c>
      <c r="J15" t="s">
        <v>999</v>
      </c>
      <c r="K15" t="s">
        <v>34</v>
      </c>
      <c r="N15" t="s">
        <v>557</v>
      </c>
      <c r="O15" t="e">
        <f>VLOOKUP('Input Rearing'!G5,Diverse!N16:O19,2,FALSE)</f>
        <v>#N/A</v>
      </c>
      <c r="Q15">
        <v>13</v>
      </c>
      <c r="R15" t="s">
        <v>46</v>
      </c>
      <c r="S15" t="s">
        <v>191</v>
      </c>
      <c r="U15">
        <v>52</v>
      </c>
      <c r="W15">
        <v>13</v>
      </c>
      <c r="X15" t="s">
        <v>671</v>
      </c>
      <c r="Y15" t="s">
        <v>605</v>
      </c>
      <c r="Z15" t="s">
        <v>608</v>
      </c>
      <c r="AC15" t="s">
        <v>5141</v>
      </c>
    </row>
    <row r="16" spans="2:29" x14ac:dyDescent="0.2">
      <c r="B16">
        <v>2020</v>
      </c>
      <c r="C16" t="s">
        <v>386</v>
      </c>
      <c r="G16" t="s">
        <v>379</v>
      </c>
      <c r="H16">
        <v>13</v>
      </c>
      <c r="J16" t="s">
        <v>1000</v>
      </c>
      <c r="K16" t="s">
        <v>35</v>
      </c>
      <c r="M16">
        <v>1</v>
      </c>
      <c r="Q16">
        <v>14</v>
      </c>
      <c r="R16" t="s">
        <v>51</v>
      </c>
      <c r="S16" t="s">
        <v>196</v>
      </c>
      <c r="U16">
        <v>53</v>
      </c>
      <c r="W16">
        <v>14</v>
      </c>
      <c r="X16" t="s">
        <v>918</v>
      </c>
      <c r="Y16" t="s">
        <v>605</v>
      </c>
      <c r="Z16" t="s">
        <v>609</v>
      </c>
      <c r="AC16" t="s">
        <v>5133</v>
      </c>
    </row>
    <row r="17" spans="1:29" x14ac:dyDescent="0.2">
      <c r="G17" t="s">
        <v>380</v>
      </c>
      <c r="H17">
        <v>14</v>
      </c>
      <c r="J17" t="s">
        <v>1001</v>
      </c>
      <c r="K17" t="s">
        <v>1002</v>
      </c>
      <c r="M17">
        <v>2</v>
      </c>
      <c r="N17" t="str">
        <f>Language!B249</f>
        <v>Cage</v>
      </c>
      <c r="O17" t="s">
        <v>25</v>
      </c>
      <c r="Q17">
        <v>15</v>
      </c>
      <c r="R17" t="s">
        <v>50</v>
      </c>
      <c r="S17" t="s">
        <v>195</v>
      </c>
      <c r="U17">
        <v>54</v>
      </c>
      <c r="W17">
        <v>15</v>
      </c>
      <c r="X17" t="s">
        <v>766</v>
      </c>
      <c r="Y17" t="s">
        <v>605</v>
      </c>
      <c r="Z17" t="s">
        <v>611</v>
      </c>
      <c r="AC17" t="s">
        <v>5136</v>
      </c>
    </row>
    <row r="18" spans="1:29" x14ac:dyDescent="0.2">
      <c r="G18" t="s">
        <v>381</v>
      </c>
      <c r="H18">
        <v>15</v>
      </c>
      <c r="J18" t="s">
        <v>1003</v>
      </c>
      <c r="K18" t="s">
        <v>31</v>
      </c>
      <c r="M18">
        <v>3</v>
      </c>
      <c r="N18" t="str">
        <f>Language!B250</f>
        <v>Barn</v>
      </c>
      <c r="O18" t="s">
        <v>26</v>
      </c>
      <c r="Q18">
        <v>16</v>
      </c>
      <c r="R18" t="s">
        <v>49</v>
      </c>
      <c r="S18" t="s">
        <v>194</v>
      </c>
      <c r="U18">
        <v>55</v>
      </c>
      <c r="W18">
        <v>16</v>
      </c>
      <c r="X18" t="s">
        <v>633</v>
      </c>
      <c r="Y18" t="s">
        <v>605</v>
      </c>
      <c r="Z18" t="s">
        <v>613</v>
      </c>
      <c r="AC18" t="s">
        <v>5142</v>
      </c>
    </row>
    <row r="19" spans="1:29" x14ac:dyDescent="0.2">
      <c r="G19" t="s">
        <v>382</v>
      </c>
      <c r="H19">
        <v>16</v>
      </c>
      <c r="J19" t="s">
        <v>1004</v>
      </c>
      <c r="K19" t="s">
        <v>1005</v>
      </c>
      <c r="M19">
        <v>4</v>
      </c>
      <c r="N19" t="str">
        <f>Language!B253</f>
        <v>Aviary</v>
      </c>
      <c r="O19" t="s">
        <v>28</v>
      </c>
      <c r="Q19">
        <v>17</v>
      </c>
      <c r="R19" t="s">
        <v>440</v>
      </c>
      <c r="S19" t="s">
        <v>197</v>
      </c>
      <c r="U19">
        <v>56</v>
      </c>
      <c r="W19">
        <v>17</v>
      </c>
      <c r="X19" t="s">
        <v>711</v>
      </c>
      <c r="Y19" t="s">
        <v>605</v>
      </c>
      <c r="Z19" t="s">
        <v>615</v>
      </c>
      <c r="AC19" t="s">
        <v>5137</v>
      </c>
    </row>
    <row r="20" spans="1:29" x14ac:dyDescent="0.2">
      <c r="G20" t="s">
        <v>383</v>
      </c>
      <c r="H20">
        <v>17</v>
      </c>
      <c r="J20" t="s">
        <v>1006</v>
      </c>
      <c r="K20" t="s">
        <v>1007</v>
      </c>
      <c r="Q20">
        <v>18</v>
      </c>
      <c r="R20" t="s">
        <v>660</v>
      </c>
      <c r="S20" t="s">
        <v>207</v>
      </c>
      <c r="U20">
        <v>57</v>
      </c>
      <c r="W20">
        <v>18</v>
      </c>
      <c r="X20" t="s">
        <v>651</v>
      </c>
      <c r="Y20" t="s">
        <v>617</v>
      </c>
      <c r="Z20" t="s">
        <v>618</v>
      </c>
    </row>
    <row r="21" spans="1:29" x14ac:dyDescent="0.2">
      <c r="G21" t="s">
        <v>384</v>
      </c>
      <c r="H21">
        <v>18</v>
      </c>
      <c r="J21" t="s">
        <v>1008</v>
      </c>
      <c r="K21" t="s">
        <v>1009</v>
      </c>
      <c r="Q21">
        <v>19</v>
      </c>
      <c r="R21" t="s">
        <v>57</v>
      </c>
      <c r="S21" t="s">
        <v>201</v>
      </c>
      <c r="U21">
        <v>58</v>
      </c>
      <c r="W21">
        <v>19</v>
      </c>
      <c r="X21" t="s">
        <v>653</v>
      </c>
      <c r="Y21" t="s">
        <v>620</v>
      </c>
      <c r="Z21" t="s">
        <v>621</v>
      </c>
    </row>
    <row r="22" spans="1:29" x14ac:dyDescent="0.2">
      <c r="G22" t="s">
        <v>385</v>
      </c>
      <c r="H22">
        <v>19</v>
      </c>
      <c r="J22" t="s">
        <v>1010</v>
      </c>
      <c r="K22" t="s">
        <v>1011</v>
      </c>
      <c r="Q22">
        <v>20</v>
      </c>
      <c r="R22" t="s">
        <v>54</v>
      </c>
      <c r="S22" t="s">
        <v>199</v>
      </c>
      <c r="U22">
        <v>59</v>
      </c>
      <c r="W22">
        <v>20</v>
      </c>
      <c r="X22" t="s">
        <v>895</v>
      </c>
      <c r="Y22" t="s">
        <v>623</v>
      </c>
      <c r="Z22" t="s">
        <v>624</v>
      </c>
    </row>
    <row r="23" spans="1:29" x14ac:dyDescent="0.2">
      <c r="G23" t="s">
        <v>386</v>
      </c>
      <c r="H23">
        <v>20</v>
      </c>
      <c r="J23" t="s">
        <v>364</v>
      </c>
      <c r="K23" t="s">
        <v>36</v>
      </c>
      <c r="Q23">
        <v>21</v>
      </c>
      <c r="R23" t="s">
        <v>53</v>
      </c>
      <c r="S23" t="s">
        <v>30</v>
      </c>
      <c r="U23">
        <v>60</v>
      </c>
      <c r="W23">
        <v>21</v>
      </c>
      <c r="X23" t="s">
        <v>659</v>
      </c>
      <c r="Y23" t="s">
        <v>623</v>
      </c>
      <c r="Z23" t="s">
        <v>626</v>
      </c>
    </row>
    <row r="24" spans="1:29" x14ac:dyDescent="0.2">
      <c r="A24" t="s">
        <v>977</v>
      </c>
      <c r="B24" t="str">
        <f>IF(Language!B354="mm/dd/yy;@","ENG",IF(Language!B354="yy/mm/dd;@","CHI","DEF"))</f>
        <v>DEF</v>
      </c>
      <c r="G24" t="s">
        <v>387</v>
      </c>
      <c r="H24">
        <v>21</v>
      </c>
      <c r="J24" t="s">
        <v>1012</v>
      </c>
      <c r="K24" t="s">
        <v>1013</v>
      </c>
      <c r="Q24">
        <v>22</v>
      </c>
      <c r="R24" t="s">
        <v>64</v>
      </c>
      <c r="S24" t="s">
        <v>208</v>
      </c>
      <c r="U24">
        <v>61</v>
      </c>
      <c r="W24">
        <v>22</v>
      </c>
      <c r="X24" t="s">
        <v>820</v>
      </c>
      <c r="Y24" t="s">
        <v>623</v>
      </c>
      <c r="Z24" t="s">
        <v>628</v>
      </c>
    </row>
    <row r="25" spans="1:29" x14ac:dyDescent="0.2">
      <c r="G25" t="s">
        <v>388</v>
      </c>
      <c r="H25">
        <v>22</v>
      </c>
      <c r="J25" t="s">
        <v>1014</v>
      </c>
      <c r="K25" t="s">
        <v>1015</v>
      </c>
      <c r="Q25">
        <v>23</v>
      </c>
      <c r="R25" t="s">
        <v>24</v>
      </c>
      <c r="S25" t="s">
        <v>31</v>
      </c>
      <c r="U25">
        <v>62</v>
      </c>
      <c r="W25">
        <v>23</v>
      </c>
      <c r="X25" t="s">
        <v>853</v>
      </c>
      <c r="Y25" t="s">
        <v>623</v>
      </c>
      <c r="Z25" t="s">
        <v>630</v>
      </c>
    </row>
    <row r="26" spans="1:29" x14ac:dyDescent="0.2">
      <c r="A26" t="s">
        <v>978</v>
      </c>
      <c r="B26" t="str">
        <f>CONCATENATE(IF(MONTH(A35)&lt;10,"0",""),MONTH(A35)," / ",DAY(A29)," - ",DAY(A35)," / ",YEAR(A35))</f>
        <v>01 / 0 - 0 / 1900</v>
      </c>
      <c r="C26" t="str">
        <f>CONCATENATE(IF(MONTH(A40)&lt;10,"0",""),MONTH(A40)," / ",DAY(A34)," - ",DAY(A40)," / ",YEAR(A40))</f>
        <v>01 / 0 - 0 / 1900</v>
      </c>
      <c r="G26" t="s">
        <v>389</v>
      </c>
      <c r="H26">
        <v>23</v>
      </c>
      <c r="J26" t="s">
        <v>1016</v>
      </c>
      <c r="K26" t="s">
        <v>37</v>
      </c>
      <c r="Q26">
        <v>24</v>
      </c>
      <c r="R26" t="s">
        <v>65</v>
      </c>
      <c r="S26" t="s">
        <v>209</v>
      </c>
      <c r="U26">
        <v>63</v>
      </c>
      <c r="W26">
        <v>24</v>
      </c>
      <c r="X26" t="s">
        <v>874</v>
      </c>
      <c r="Y26" t="s">
        <v>623</v>
      </c>
      <c r="Z26" t="s">
        <v>632</v>
      </c>
    </row>
    <row r="27" spans="1:29" x14ac:dyDescent="0.2">
      <c r="A27" t="s">
        <v>979</v>
      </c>
      <c r="B27" t="str">
        <f>CONCATENATE(,YEAR(A35)," / ",IF(MONTH(A35)&lt;10,"0",""),MONTH(A35)," / ",DAY(A29)," - ",DAY(A35))</f>
        <v>1900 / 01 / 0 - 0</v>
      </c>
      <c r="C27" t="str">
        <f>CONCATENATE(,YEAR(A40)," / ",IF(MONTH(A40)&lt;10,"0",""),MONTH(A40)," / ",DAY(A34)," - ",DAY(A40))</f>
        <v>1900 / 01 / 0 - 0</v>
      </c>
      <c r="G27" t="s">
        <v>390</v>
      </c>
      <c r="H27">
        <v>24</v>
      </c>
      <c r="J27" t="s">
        <v>1017</v>
      </c>
      <c r="K27" t="s">
        <v>1018</v>
      </c>
      <c r="Q27">
        <v>25</v>
      </c>
      <c r="R27" t="s">
        <v>59</v>
      </c>
      <c r="S27" t="s">
        <v>203</v>
      </c>
      <c r="U27">
        <v>64</v>
      </c>
      <c r="W27">
        <v>25</v>
      </c>
      <c r="X27" t="s">
        <v>665</v>
      </c>
      <c r="Y27" t="s">
        <v>623</v>
      </c>
      <c r="Z27" t="s">
        <v>634</v>
      </c>
    </row>
    <row r="28" spans="1:29" x14ac:dyDescent="0.2">
      <c r="G28" t="s">
        <v>391</v>
      </c>
      <c r="H28">
        <v>25</v>
      </c>
      <c r="J28" t="s">
        <v>365</v>
      </c>
      <c r="K28" t="s">
        <v>38</v>
      </c>
      <c r="Q28">
        <v>26</v>
      </c>
      <c r="R28" t="s">
        <v>60</v>
      </c>
      <c r="S28" t="s">
        <v>204</v>
      </c>
      <c r="U28">
        <v>65</v>
      </c>
      <c r="W28">
        <v>26</v>
      </c>
      <c r="X28" t="s">
        <v>564</v>
      </c>
      <c r="Y28" t="s">
        <v>623</v>
      </c>
      <c r="Z28" t="s">
        <v>636</v>
      </c>
    </row>
    <row r="29" spans="1:29" x14ac:dyDescent="0.2">
      <c r="G29" t="s">
        <v>392</v>
      </c>
      <c r="H29">
        <v>26</v>
      </c>
      <c r="J29" t="s">
        <v>1019</v>
      </c>
      <c r="K29" t="s">
        <v>1020</v>
      </c>
      <c r="Q29">
        <v>27</v>
      </c>
      <c r="R29" t="s">
        <v>62</v>
      </c>
      <c r="S29" t="s">
        <v>34</v>
      </c>
      <c r="U29">
        <v>66</v>
      </c>
      <c r="W29">
        <v>27</v>
      </c>
      <c r="X29" t="s">
        <v>720</v>
      </c>
      <c r="Y29" t="s">
        <v>623</v>
      </c>
      <c r="Z29" t="s">
        <v>638</v>
      </c>
    </row>
    <row r="30" spans="1:29" x14ac:dyDescent="0.2">
      <c r="G30" t="s">
        <v>393</v>
      </c>
      <c r="H30">
        <v>27</v>
      </c>
      <c r="J30" t="s">
        <v>1021</v>
      </c>
      <c r="K30" t="s">
        <v>1022</v>
      </c>
      <c r="Q30">
        <v>28</v>
      </c>
      <c r="R30" t="s">
        <v>1045</v>
      </c>
      <c r="S30" t="s">
        <v>205</v>
      </c>
      <c r="U30">
        <v>67</v>
      </c>
      <c r="W30">
        <v>28</v>
      </c>
      <c r="X30" t="s">
        <v>565</v>
      </c>
      <c r="Y30" t="s">
        <v>640</v>
      </c>
      <c r="Z30" t="s">
        <v>641</v>
      </c>
    </row>
    <row r="31" spans="1:29" x14ac:dyDescent="0.2">
      <c r="A31" t="s">
        <v>5145</v>
      </c>
      <c r="B31">
        <v>1</v>
      </c>
      <c r="G31" t="s">
        <v>394</v>
      </c>
      <c r="H31">
        <v>28</v>
      </c>
      <c r="J31" t="s">
        <v>1023</v>
      </c>
      <c r="K31" t="s">
        <v>1024</v>
      </c>
      <c r="Q31">
        <v>29</v>
      </c>
      <c r="R31" t="s">
        <v>1046</v>
      </c>
      <c r="S31" t="s">
        <v>1047</v>
      </c>
      <c r="U31">
        <v>68</v>
      </c>
      <c r="W31">
        <v>29</v>
      </c>
      <c r="X31" t="s">
        <v>850</v>
      </c>
      <c r="Y31" t="s">
        <v>640</v>
      </c>
      <c r="Z31" t="s">
        <v>643</v>
      </c>
    </row>
    <row r="32" spans="1:29" x14ac:dyDescent="0.2">
      <c r="A32" t="s">
        <v>5146</v>
      </c>
      <c r="B32">
        <f ca="1">TODAY()</f>
        <v>44708</v>
      </c>
      <c r="G32" t="s">
        <v>395</v>
      </c>
      <c r="H32">
        <v>29</v>
      </c>
      <c r="J32" t="s">
        <v>1025</v>
      </c>
      <c r="K32" t="s">
        <v>1026</v>
      </c>
      <c r="Q32">
        <v>30</v>
      </c>
      <c r="R32" t="s">
        <v>52</v>
      </c>
      <c r="S32" t="s">
        <v>198</v>
      </c>
      <c r="U32">
        <v>69</v>
      </c>
      <c r="W32">
        <v>30</v>
      </c>
      <c r="X32" t="s">
        <v>938</v>
      </c>
      <c r="Y32" t="s">
        <v>645</v>
      </c>
      <c r="Z32" t="s">
        <v>646</v>
      </c>
    </row>
    <row r="33" spans="2:26" x14ac:dyDescent="0.2">
      <c r="G33" t="s">
        <v>396</v>
      </c>
      <c r="H33">
        <v>30</v>
      </c>
      <c r="J33" t="s">
        <v>1027</v>
      </c>
      <c r="K33" t="s">
        <v>39</v>
      </c>
      <c r="Q33">
        <v>31</v>
      </c>
      <c r="R33" t="s">
        <v>63</v>
      </c>
      <c r="S33" t="s">
        <v>35</v>
      </c>
      <c r="U33">
        <v>70</v>
      </c>
      <c r="W33">
        <v>31</v>
      </c>
      <c r="X33" t="s">
        <v>935</v>
      </c>
      <c r="Y33" t="s">
        <v>648</v>
      </c>
      <c r="Z33" t="s">
        <v>519</v>
      </c>
    </row>
    <row r="34" spans="2:26" x14ac:dyDescent="0.2">
      <c r="G34" t="s">
        <v>397</v>
      </c>
      <c r="H34">
        <v>31</v>
      </c>
      <c r="J34" t="s">
        <v>1028</v>
      </c>
      <c r="K34" t="s">
        <v>1029</v>
      </c>
      <c r="Q34">
        <v>32</v>
      </c>
      <c r="R34" t="s">
        <v>443</v>
      </c>
      <c r="S34" t="s">
        <v>442</v>
      </c>
      <c r="U34">
        <v>71</v>
      </c>
      <c r="W34">
        <v>32</v>
      </c>
      <c r="X34" t="s">
        <v>848</v>
      </c>
      <c r="Y34" t="s">
        <v>648</v>
      </c>
      <c r="Z34" t="s">
        <v>649</v>
      </c>
    </row>
    <row r="35" spans="2:26" x14ac:dyDescent="0.2">
      <c r="H35">
        <v>32</v>
      </c>
      <c r="J35" t="s">
        <v>1030</v>
      </c>
      <c r="K35" t="s">
        <v>40</v>
      </c>
      <c r="Q35">
        <v>33</v>
      </c>
      <c r="R35" t="s">
        <v>61</v>
      </c>
      <c r="S35" t="s">
        <v>206</v>
      </c>
      <c r="U35">
        <v>72</v>
      </c>
      <c r="W35">
        <v>33</v>
      </c>
      <c r="X35" t="s">
        <v>599</v>
      </c>
      <c r="Y35" t="s">
        <v>648</v>
      </c>
      <c r="Z35" t="s">
        <v>650</v>
      </c>
    </row>
    <row r="36" spans="2:26" x14ac:dyDescent="0.2">
      <c r="H36">
        <v>33</v>
      </c>
      <c r="J36" t="s">
        <v>1031</v>
      </c>
      <c r="K36" t="s">
        <v>1032</v>
      </c>
      <c r="Q36">
        <v>34</v>
      </c>
      <c r="R36" t="s">
        <v>470</v>
      </c>
      <c r="S36" t="s">
        <v>469</v>
      </c>
      <c r="U36">
        <v>73</v>
      </c>
      <c r="W36">
        <v>34</v>
      </c>
      <c r="X36" t="s">
        <v>852</v>
      </c>
      <c r="Y36" t="s">
        <v>648</v>
      </c>
      <c r="Z36" t="s">
        <v>652</v>
      </c>
    </row>
    <row r="37" spans="2:26" x14ac:dyDescent="0.2">
      <c r="H37">
        <v>34</v>
      </c>
      <c r="J37" t="s">
        <v>1033</v>
      </c>
      <c r="K37" t="s">
        <v>1034</v>
      </c>
      <c r="Q37">
        <v>35</v>
      </c>
      <c r="R37" t="s">
        <v>441</v>
      </c>
      <c r="S37" t="s">
        <v>33</v>
      </c>
      <c r="U37">
        <v>74</v>
      </c>
      <c r="W37">
        <v>35</v>
      </c>
      <c r="X37" t="s">
        <v>689</v>
      </c>
      <c r="Y37" t="s">
        <v>648</v>
      </c>
      <c r="Z37" t="s">
        <v>654</v>
      </c>
    </row>
    <row r="38" spans="2:26" x14ac:dyDescent="0.2">
      <c r="H38">
        <v>35</v>
      </c>
      <c r="J38" t="s">
        <v>366</v>
      </c>
      <c r="K38" t="s">
        <v>41</v>
      </c>
      <c r="Q38">
        <v>36</v>
      </c>
      <c r="R38" t="s">
        <v>56</v>
      </c>
      <c r="S38" t="s">
        <v>32</v>
      </c>
      <c r="U38">
        <v>75</v>
      </c>
      <c r="W38">
        <v>36</v>
      </c>
      <c r="X38" t="s">
        <v>610</v>
      </c>
      <c r="Y38" t="s">
        <v>648</v>
      </c>
      <c r="Z38" t="s">
        <v>656</v>
      </c>
    </row>
    <row r="39" spans="2:26" x14ac:dyDescent="0.2">
      <c r="H39">
        <v>36</v>
      </c>
      <c r="J39" t="s">
        <v>1035</v>
      </c>
      <c r="K39" t="s">
        <v>42</v>
      </c>
      <c r="Q39">
        <v>37</v>
      </c>
      <c r="R39" t="s">
        <v>55</v>
      </c>
      <c r="S39" t="s">
        <v>200</v>
      </c>
      <c r="U39">
        <v>76</v>
      </c>
      <c r="W39">
        <v>37</v>
      </c>
      <c r="X39" t="s">
        <v>703</v>
      </c>
      <c r="Y39" t="s">
        <v>648</v>
      </c>
      <c r="Z39" t="s">
        <v>658</v>
      </c>
    </row>
    <row r="40" spans="2:26" x14ac:dyDescent="0.2">
      <c r="H40">
        <v>37</v>
      </c>
      <c r="J40" t="s">
        <v>1036</v>
      </c>
      <c r="K40" t="s">
        <v>1037</v>
      </c>
      <c r="Q40">
        <v>38</v>
      </c>
      <c r="R40" t="s">
        <v>58</v>
      </c>
      <c r="S40" t="s">
        <v>202</v>
      </c>
      <c r="U40">
        <v>77</v>
      </c>
      <c r="W40">
        <v>38</v>
      </c>
      <c r="X40" t="s">
        <v>612</v>
      </c>
      <c r="Y40" t="s">
        <v>648</v>
      </c>
      <c r="Z40" t="s">
        <v>660</v>
      </c>
    </row>
    <row r="41" spans="2:26" x14ac:dyDescent="0.2">
      <c r="Q41">
        <v>39</v>
      </c>
      <c r="R41" t="s">
        <v>115</v>
      </c>
      <c r="S41" t="s">
        <v>266</v>
      </c>
      <c r="U41">
        <v>78</v>
      </c>
      <c r="W41">
        <v>39</v>
      </c>
      <c r="X41" t="s">
        <v>846</v>
      </c>
      <c r="Y41" t="s">
        <v>648</v>
      </c>
      <c r="Z41" t="s">
        <v>662</v>
      </c>
    </row>
    <row r="42" spans="2:26" x14ac:dyDescent="0.2">
      <c r="B42" t="s">
        <v>19</v>
      </c>
      <c r="D42" t="s">
        <v>20</v>
      </c>
      <c r="G42" t="s">
        <v>2</v>
      </c>
      <c r="Q42">
        <v>40</v>
      </c>
      <c r="R42" t="s">
        <v>70</v>
      </c>
      <c r="S42" t="s">
        <v>216</v>
      </c>
      <c r="U42">
        <v>79</v>
      </c>
      <c r="W42">
        <v>40</v>
      </c>
      <c r="X42" t="s">
        <v>627</v>
      </c>
      <c r="Y42" t="s">
        <v>648</v>
      </c>
      <c r="Z42" t="s">
        <v>186</v>
      </c>
    </row>
    <row r="43" spans="2:26" x14ac:dyDescent="0.2">
      <c r="B43" t="e">
        <f>VLOOKUP('Input Laying'!K5,B44:C57,1,FALSE)</f>
        <v>#N/A</v>
      </c>
      <c r="D43" t="e">
        <f>VLOOKUP('Input Laying'!I5,D44:E56,2,FALSE)</f>
        <v>#N/A</v>
      </c>
      <c r="E43" t="str">
        <f>IF(ISNA(D43),"",D43)</f>
        <v/>
      </c>
      <c r="Q43">
        <v>41</v>
      </c>
      <c r="R43" t="s">
        <v>66</v>
      </c>
      <c r="S43" t="s">
        <v>210</v>
      </c>
      <c r="U43">
        <v>80</v>
      </c>
      <c r="W43">
        <v>41</v>
      </c>
      <c r="X43" t="s">
        <v>614</v>
      </c>
      <c r="Y43" t="s">
        <v>648</v>
      </c>
      <c r="Z43" t="s">
        <v>664</v>
      </c>
    </row>
    <row r="44" spans="2:26" x14ac:dyDescent="0.2">
      <c r="Q44">
        <v>42</v>
      </c>
      <c r="R44" t="s">
        <v>1048</v>
      </c>
      <c r="S44" t="s">
        <v>221</v>
      </c>
      <c r="W44">
        <v>42</v>
      </c>
      <c r="X44" t="s">
        <v>779</v>
      </c>
      <c r="Y44" t="s">
        <v>648</v>
      </c>
      <c r="Z44" t="s">
        <v>65</v>
      </c>
    </row>
    <row r="45" spans="2:26" x14ac:dyDescent="0.2">
      <c r="B45">
        <v>2008</v>
      </c>
      <c r="C45" t="s">
        <v>374</v>
      </c>
      <c r="D45" t="str">
        <f>Language!B236</f>
        <v>January</v>
      </c>
      <c r="E45" t="s">
        <v>367</v>
      </c>
      <c r="G45" t="s">
        <v>367</v>
      </c>
      <c r="Q45">
        <v>43</v>
      </c>
      <c r="R45" t="s">
        <v>118</v>
      </c>
      <c r="S45" t="s">
        <v>272</v>
      </c>
      <c r="W45">
        <v>43</v>
      </c>
      <c r="X45" t="s">
        <v>817</v>
      </c>
      <c r="Y45" t="s">
        <v>648</v>
      </c>
      <c r="Z45" t="s">
        <v>667</v>
      </c>
    </row>
    <row r="46" spans="2:26" x14ac:dyDescent="0.2">
      <c r="B46">
        <v>2009</v>
      </c>
      <c r="C46" t="s">
        <v>375</v>
      </c>
      <c r="D46" t="str">
        <f>Language!B237</f>
        <v>February</v>
      </c>
      <c r="E46" t="s">
        <v>368</v>
      </c>
      <c r="G46" t="s">
        <v>368</v>
      </c>
      <c r="Q46">
        <v>44</v>
      </c>
      <c r="R46" t="s">
        <v>67</v>
      </c>
      <c r="S46" t="s">
        <v>211</v>
      </c>
      <c r="W46">
        <v>44</v>
      </c>
      <c r="X46" t="s">
        <v>591</v>
      </c>
      <c r="Y46" t="s">
        <v>648</v>
      </c>
      <c r="Z46" t="s">
        <v>66</v>
      </c>
    </row>
    <row r="47" spans="2:26" x14ac:dyDescent="0.2">
      <c r="B47">
        <v>2010</v>
      </c>
      <c r="C47" t="s">
        <v>376</v>
      </c>
      <c r="D47" t="str">
        <f>Language!B238</f>
        <v>March</v>
      </c>
      <c r="E47" t="s">
        <v>369</v>
      </c>
      <c r="G47" t="s">
        <v>369</v>
      </c>
      <c r="Q47">
        <v>45</v>
      </c>
      <c r="R47" t="s">
        <v>171</v>
      </c>
      <c r="S47" t="s">
        <v>334</v>
      </c>
      <c r="W47">
        <v>45</v>
      </c>
      <c r="X47" t="s">
        <v>566</v>
      </c>
      <c r="Y47" t="s">
        <v>648</v>
      </c>
      <c r="Z47" t="s">
        <v>668</v>
      </c>
    </row>
    <row r="48" spans="2:26" x14ac:dyDescent="0.2">
      <c r="B48">
        <v>2011</v>
      </c>
      <c r="C48" t="s">
        <v>377</v>
      </c>
      <c r="D48" t="str">
        <f>Language!B239</f>
        <v>April</v>
      </c>
      <c r="E48" t="s">
        <v>370</v>
      </c>
      <c r="G48" t="s">
        <v>370</v>
      </c>
      <c r="Q48">
        <v>46</v>
      </c>
      <c r="R48" t="s">
        <v>69</v>
      </c>
      <c r="S48" t="s">
        <v>215</v>
      </c>
      <c r="W48">
        <v>46</v>
      </c>
      <c r="X48" t="s">
        <v>669</v>
      </c>
      <c r="Y48" t="s">
        <v>648</v>
      </c>
      <c r="Z48" t="s">
        <v>670</v>
      </c>
    </row>
    <row r="49" spans="2:26" x14ac:dyDescent="0.2">
      <c r="B49">
        <v>2012</v>
      </c>
      <c r="C49" t="s">
        <v>378</v>
      </c>
      <c r="D49" t="str">
        <f>Language!B240</f>
        <v>May</v>
      </c>
      <c r="E49" t="s">
        <v>371</v>
      </c>
      <c r="G49" t="s">
        <v>371</v>
      </c>
      <c r="Q49">
        <v>47</v>
      </c>
      <c r="R49" t="s">
        <v>71</v>
      </c>
      <c r="S49" t="s">
        <v>217</v>
      </c>
      <c r="W49">
        <v>47</v>
      </c>
      <c r="X49" t="s">
        <v>784</v>
      </c>
      <c r="Y49" t="s">
        <v>648</v>
      </c>
      <c r="Z49" t="s">
        <v>672</v>
      </c>
    </row>
    <row r="50" spans="2:26" x14ac:dyDescent="0.2">
      <c r="B50">
        <v>2013</v>
      </c>
      <c r="C50" t="s">
        <v>379</v>
      </c>
      <c r="D50" t="str">
        <f>Language!B241</f>
        <v>June</v>
      </c>
      <c r="E50" t="s">
        <v>372</v>
      </c>
      <c r="G50" t="s">
        <v>372</v>
      </c>
      <c r="Q50">
        <v>48</v>
      </c>
      <c r="R50" t="s">
        <v>449</v>
      </c>
      <c r="S50" t="s">
        <v>448</v>
      </c>
      <c r="W50">
        <v>48</v>
      </c>
      <c r="X50" t="s">
        <v>567</v>
      </c>
      <c r="Y50" t="s">
        <v>648</v>
      </c>
      <c r="Z50" t="s">
        <v>99</v>
      </c>
    </row>
    <row r="51" spans="2:26" x14ac:dyDescent="0.2">
      <c r="B51">
        <v>2014</v>
      </c>
      <c r="C51" t="s">
        <v>380</v>
      </c>
      <c r="D51" t="str">
        <f>Language!B242</f>
        <v>July</v>
      </c>
      <c r="E51" t="s">
        <v>373</v>
      </c>
      <c r="G51" t="s">
        <v>373</v>
      </c>
      <c r="Q51">
        <v>49</v>
      </c>
      <c r="R51" t="s">
        <v>445</v>
      </c>
      <c r="S51" t="s">
        <v>444</v>
      </c>
      <c r="W51">
        <v>49</v>
      </c>
      <c r="X51" t="s">
        <v>748</v>
      </c>
      <c r="Y51" t="s">
        <v>648</v>
      </c>
      <c r="Z51" t="s">
        <v>98</v>
      </c>
    </row>
    <row r="52" spans="2:26" x14ac:dyDescent="0.2">
      <c r="B52">
        <v>2015</v>
      </c>
      <c r="C52" t="s">
        <v>381</v>
      </c>
      <c r="D52" t="str">
        <f>Language!B243</f>
        <v>August</v>
      </c>
      <c r="E52" t="s">
        <v>374</v>
      </c>
      <c r="G52" t="s">
        <v>374</v>
      </c>
      <c r="Q52">
        <v>50</v>
      </c>
      <c r="R52" t="s">
        <v>72</v>
      </c>
      <c r="S52" t="s">
        <v>218</v>
      </c>
      <c r="W52">
        <v>50</v>
      </c>
      <c r="X52" t="s">
        <v>794</v>
      </c>
      <c r="Y52" t="s">
        <v>648</v>
      </c>
      <c r="Z52" t="s">
        <v>675</v>
      </c>
    </row>
    <row r="53" spans="2:26" x14ac:dyDescent="0.2">
      <c r="B53">
        <v>2016</v>
      </c>
      <c r="C53" t="s">
        <v>382</v>
      </c>
      <c r="D53" t="str">
        <f>Language!B244</f>
        <v>September</v>
      </c>
      <c r="E53" t="s">
        <v>375</v>
      </c>
      <c r="G53" t="s">
        <v>375</v>
      </c>
      <c r="Q53">
        <v>51</v>
      </c>
      <c r="R53" t="s">
        <v>472</v>
      </c>
      <c r="S53" t="s">
        <v>268</v>
      </c>
      <c r="W53">
        <v>51</v>
      </c>
      <c r="X53" t="s">
        <v>597</v>
      </c>
      <c r="Y53" t="s">
        <v>648</v>
      </c>
      <c r="Z53" t="s">
        <v>677</v>
      </c>
    </row>
    <row r="54" spans="2:26" x14ac:dyDescent="0.2">
      <c r="B54">
        <v>2017</v>
      </c>
      <c r="C54" t="s">
        <v>383</v>
      </c>
      <c r="D54" t="str">
        <f>Language!B245</f>
        <v>October</v>
      </c>
      <c r="E54" t="s">
        <v>376</v>
      </c>
      <c r="G54" t="s">
        <v>376</v>
      </c>
      <c r="Q54">
        <v>52</v>
      </c>
      <c r="R54" t="s">
        <v>68</v>
      </c>
      <c r="S54" t="s">
        <v>212</v>
      </c>
      <c r="W54">
        <v>52</v>
      </c>
      <c r="X54" t="s">
        <v>791</v>
      </c>
      <c r="Y54" t="s">
        <v>648</v>
      </c>
      <c r="Z54" t="s">
        <v>679</v>
      </c>
    </row>
    <row r="55" spans="2:26" x14ac:dyDescent="0.2">
      <c r="B55">
        <v>2018</v>
      </c>
      <c r="C55" t="s">
        <v>384</v>
      </c>
      <c r="D55" t="str">
        <f>Language!B246</f>
        <v>November</v>
      </c>
      <c r="E55" t="s">
        <v>377</v>
      </c>
      <c r="G55" t="s">
        <v>377</v>
      </c>
      <c r="Q55">
        <v>53</v>
      </c>
      <c r="R55" t="s">
        <v>1049</v>
      </c>
      <c r="S55" t="s">
        <v>1050</v>
      </c>
      <c r="W55">
        <v>53</v>
      </c>
      <c r="X55" t="s">
        <v>616</v>
      </c>
      <c r="Y55" t="s">
        <v>681</v>
      </c>
      <c r="Z55" t="s">
        <v>682</v>
      </c>
    </row>
    <row r="56" spans="2:26" x14ac:dyDescent="0.2">
      <c r="B56">
        <v>2019</v>
      </c>
      <c r="C56" t="s">
        <v>385</v>
      </c>
      <c r="D56" t="str">
        <f>Language!B247</f>
        <v>December</v>
      </c>
      <c r="E56" t="s">
        <v>378</v>
      </c>
      <c r="G56" t="s">
        <v>378</v>
      </c>
      <c r="Q56">
        <v>54</v>
      </c>
      <c r="R56" t="s">
        <v>1051</v>
      </c>
      <c r="S56" t="s">
        <v>447</v>
      </c>
      <c r="W56">
        <v>54</v>
      </c>
      <c r="X56" t="s">
        <v>705</v>
      </c>
      <c r="Y56" t="s">
        <v>684</v>
      </c>
      <c r="Z56" t="s">
        <v>685</v>
      </c>
    </row>
    <row r="57" spans="2:26" x14ac:dyDescent="0.2">
      <c r="B57">
        <v>2020</v>
      </c>
      <c r="C57" t="s">
        <v>386</v>
      </c>
      <c r="G57" t="s">
        <v>379</v>
      </c>
      <c r="Q57">
        <v>55</v>
      </c>
      <c r="R57" t="s">
        <v>73</v>
      </c>
      <c r="S57" t="s">
        <v>219</v>
      </c>
      <c r="W57">
        <v>55</v>
      </c>
      <c r="X57" t="s">
        <v>855</v>
      </c>
      <c r="Y57" t="s">
        <v>687</v>
      </c>
      <c r="Z57" t="s">
        <v>688</v>
      </c>
    </row>
    <row r="58" spans="2:26" x14ac:dyDescent="0.2">
      <c r="G58" t="s">
        <v>380</v>
      </c>
      <c r="Q58">
        <v>56</v>
      </c>
      <c r="R58" t="s">
        <v>1052</v>
      </c>
      <c r="S58" t="s">
        <v>214</v>
      </c>
      <c r="W58">
        <v>56</v>
      </c>
      <c r="X58" t="s">
        <v>673</v>
      </c>
      <c r="Y58" t="s">
        <v>690</v>
      </c>
      <c r="Z58" t="s">
        <v>691</v>
      </c>
    </row>
    <row r="59" spans="2:26" x14ac:dyDescent="0.2">
      <c r="G59" t="s">
        <v>381</v>
      </c>
      <c r="Q59">
        <v>57</v>
      </c>
      <c r="R59" t="s">
        <v>101</v>
      </c>
      <c r="S59" t="s">
        <v>252</v>
      </c>
      <c r="W59">
        <v>57</v>
      </c>
      <c r="X59" t="s">
        <v>568</v>
      </c>
      <c r="Y59" t="s">
        <v>692</v>
      </c>
      <c r="Z59" t="s">
        <v>693</v>
      </c>
    </row>
    <row r="60" spans="2:26" x14ac:dyDescent="0.2">
      <c r="G60" t="s">
        <v>382</v>
      </c>
      <c r="Q60">
        <v>58</v>
      </c>
      <c r="R60" t="s">
        <v>74</v>
      </c>
      <c r="S60" t="s">
        <v>220</v>
      </c>
      <c r="W60">
        <v>58</v>
      </c>
      <c r="X60" t="s">
        <v>757</v>
      </c>
      <c r="Y60" t="s">
        <v>695</v>
      </c>
      <c r="Z60" t="s">
        <v>696</v>
      </c>
    </row>
    <row r="61" spans="2:26" x14ac:dyDescent="0.2">
      <c r="G61" t="s">
        <v>383</v>
      </c>
      <c r="Q61">
        <v>59</v>
      </c>
      <c r="R61" t="s">
        <v>1053</v>
      </c>
      <c r="S61" t="s">
        <v>1054</v>
      </c>
      <c r="W61">
        <v>59</v>
      </c>
      <c r="X61" t="s">
        <v>736</v>
      </c>
      <c r="Y61" t="s">
        <v>695</v>
      </c>
      <c r="Z61" t="s">
        <v>51</v>
      </c>
    </row>
    <row r="62" spans="2:26" x14ac:dyDescent="0.2">
      <c r="G62" t="s">
        <v>384</v>
      </c>
      <c r="Q62">
        <v>60</v>
      </c>
      <c r="R62" t="s">
        <v>75</v>
      </c>
      <c r="S62" t="s">
        <v>222</v>
      </c>
      <c r="W62">
        <v>60</v>
      </c>
      <c r="X62" t="s">
        <v>723</v>
      </c>
      <c r="Y62" t="s">
        <v>695</v>
      </c>
      <c r="Z62" t="s">
        <v>699</v>
      </c>
    </row>
    <row r="63" spans="2:26" x14ac:dyDescent="0.2">
      <c r="G63" t="s">
        <v>385</v>
      </c>
      <c r="Q63">
        <v>61</v>
      </c>
      <c r="R63" t="s">
        <v>76</v>
      </c>
      <c r="S63" t="s">
        <v>223</v>
      </c>
      <c r="W63">
        <v>61</v>
      </c>
      <c r="X63" t="s">
        <v>700</v>
      </c>
      <c r="Y63" t="s">
        <v>701</v>
      </c>
      <c r="Z63" t="s">
        <v>702</v>
      </c>
    </row>
    <row r="64" spans="2:26" x14ac:dyDescent="0.2">
      <c r="G64" t="s">
        <v>386</v>
      </c>
      <c r="Q64">
        <v>62</v>
      </c>
      <c r="R64" t="s">
        <v>79</v>
      </c>
      <c r="S64" t="s">
        <v>226</v>
      </c>
      <c r="W64">
        <v>62</v>
      </c>
      <c r="X64" t="s">
        <v>881</v>
      </c>
      <c r="Y64" t="s">
        <v>704</v>
      </c>
      <c r="Z64" t="s">
        <v>78</v>
      </c>
    </row>
    <row r="65" spans="7:26" x14ac:dyDescent="0.2">
      <c r="G65" t="s">
        <v>387</v>
      </c>
      <c r="Q65">
        <v>63</v>
      </c>
      <c r="R65" t="s">
        <v>78</v>
      </c>
      <c r="S65" t="s">
        <v>225</v>
      </c>
      <c r="W65">
        <v>63</v>
      </c>
      <c r="X65" t="s">
        <v>906</v>
      </c>
      <c r="Y65" t="s">
        <v>704</v>
      </c>
      <c r="Z65" t="s">
        <v>706</v>
      </c>
    </row>
    <row r="66" spans="7:26" x14ac:dyDescent="0.2">
      <c r="G66" t="s">
        <v>388</v>
      </c>
      <c r="Q66">
        <v>64</v>
      </c>
      <c r="R66" t="s">
        <v>451</v>
      </c>
      <c r="S66" t="s">
        <v>450</v>
      </c>
      <c r="W66">
        <v>64</v>
      </c>
      <c r="X66" t="s">
        <v>787</v>
      </c>
      <c r="Y66" t="s">
        <v>704</v>
      </c>
      <c r="Z66" t="s">
        <v>707</v>
      </c>
    </row>
    <row r="67" spans="7:26" x14ac:dyDescent="0.2">
      <c r="G67" t="s">
        <v>389</v>
      </c>
      <c r="Q67">
        <v>65</v>
      </c>
      <c r="R67" t="s">
        <v>80</v>
      </c>
      <c r="S67" t="s">
        <v>227</v>
      </c>
      <c r="W67">
        <v>65</v>
      </c>
      <c r="X67" t="s">
        <v>569</v>
      </c>
      <c r="Y67" t="s">
        <v>704</v>
      </c>
      <c r="Z67" t="s">
        <v>156</v>
      </c>
    </row>
    <row r="68" spans="7:26" x14ac:dyDescent="0.2">
      <c r="G68" t="s">
        <v>390</v>
      </c>
      <c r="Q68">
        <v>66</v>
      </c>
      <c r="R68" t="s">
        <v>81</v>
      </c>
      <c r="S68" t="s">
        <v>229</v>
      </c>
      <c r="W68">
        <v>66</v>
      </c>
      <c r="X68" t="s">
        <v>622</v>
      </c>
      <c r="Y68" t="s">
        <v>704</v>
      </c>
      <c r="Z68" t="s">
        <v>710</v>
      </c>
    </row>
    <row r="69" spans="7:26" x14ac:dyDescent="0.2">
      <c r="G69" t="s">
        <v>391</v>
      </c>
      <c r="Q69">
        <v>67</v>
      </c>
      <c r="R69" t="s">
        <v>83</v>
      </c>
      <c r="S69" t="s">
        <v>231</v>
      </c>
      <c r="W69">
        <v>67</v>
      </c>
      <c r="X69" t="s">
        <v>860</v>
      </c>
      <c r="Y69" t="s">
        <v>704</v>
      </c>
      <c r="Z69" t="s">
        <v>58</v>
      </c>
    </row>
    <row r="70" spans="7:26" x14ac:dyDescent="0.2">
      <c r="G70" t="s">
        <v>392</v>
      </c>
      <c r="Q70">
        <v>68</v>
      </c>
      <c r="R70" t="s">
        <v>169</v>
      </c>
      <c r="S70" t="s">
        <v>331</v>
      </c>
      <c r="W70">
        <v>68</v>
      </c>
      <c r="X70" t="s">
        <v>607</v>
      </c>
      <c r="Y70" t="s">
        <v>713</v>
      </c>
      <c r="Z70" t="s">
        <v>714</v>
      </c>
    </row>
    <row r="71" spans="7:26" x14ac:dyDescent="0.2">
      <c r="G71" t="s">
        <v>393</v>
      </c>
      <c r="Q71">
        <v>69</v>
      </c>
      <c r="R71" t="s">
        <v>95</v>
      </c>
      <c r="S71" t="s">
        <v>245</v>
      </c>
      <c r="W71">
        <v>69</v>
      </c>
      <c r="X71" t="s">
        <v>789</v>
      </c>
      <c r="Y71" t="s">
        <v>713</v>
      </c>
      <c r="Z71" t="s">
        <v>716</v>
      </c>
    </row>
    <row r="72" spans="7:26" x14ac:dyDescent="0.2">
      <c r="G72" t="s">
        <v>394</v>
      </c>
      <c r="Q72">
        <v>70</v>
      </c>
      <c r="R72" t="s">
        <v>84</v>
      </c>
      <c r="S72" t="s">
        <v>232</v>
      </c>
      <c r="W72">
        <v>70</v>
      </c>
      <c r="X72" t="s">
        <v>666</v>
      </c>
      <c r="Y72" t="s">
        <v>718</v>
      </c>
      <c r="Z72" t="s">
        <v>719</v>
      </c>
    </row>
    <row r="73" spans="7:26" x14ac:dyDescent="0.2">
      <c r="G73" t="s">
        <v>395</v>
      </c>
      <c r="Q73">
        <v>71</v>
      </c>
      <c r="R73" t="s">
        <v>82</v>
      </c>
      <c r="S73" t="s">
        <v>230</v>
      </c>
      <c r="W73">
        <v>71</v>
      </c>
      <c r="X73" t="s">
        <v>631</v>
      </c>
      <c r="Y73" t="s">
        <v>721</v>
      </c>
      <c r="Z73" t="s">
        <v>722</v>
      </c>
    </row>
    <row r="74" spans="7:26" x14ac:dyDescent="0.2">
      <c r="G74" t="s">
        <v>396</v>
      </c>
      <c r="Q74">
        <v>72</v>
      </c>
      <c r="R74" t="s">
        <v>86</v>
      </c>
      <c r="S74" t="s">
        <v>234</v>
      </c>
      <c r="W74">
        <v>72</v>
      </c>
      <c r="X74" t="s">
        <v>570</v>
      </c>
      <c r="Y74" t="s">
        <v>724</v>
      </c>
      <c r="Z74" t="s">
        <v>725</v>
      </c>
    </row>
    <row r="75" spans="7:26" x14ac:dyDescent="0.2">
      <c r="G75" t="s">
        <v>397</v>
      </c>
      <c r="Q75">
        <v>73</v>
      </c>
      <c r="R75" t="s">
        <v>456</v>
      </c>
      <c r="S75" t="s">
        <v>236</v>
      </c>
      <c r="W75">
        <v>73</v>
      </c>
      <c r="X75" t="s">
        <v>903</v>
      </c>
      <c r="Y75" t="s">
        <v>727</v>
      </c>
      <c r="Z75" t="s">
        <v>152</v>
      </c>
    </row>
    <row r="76" spans="7:26" x14ac:dyDescent="0.2">
      <c r="Q76">
        <v>74</v>
      </c>
      <c r="R76" t="s">
        <v>459</v>
      </c>
      <c r="S76" t="s">
        <v>458</v>
      </c>
      <c r="W76">
        <v>74</v>
      </c>
      <c r="X76" t="s">
        <v>909</v>
      </c>
      <c r="Y76" t="s">
        <v>729</v>
      </c>
      <c r="Z76" t="s">
        <v>178</v>
      </c>
    </row>
    <row r="77" spans="7:26" x14ac:dyDescent="0.2">
      <c r="Q77">
        <v>75</v>
      </c>
      <c r="R77" t="s">
        <v>455</v>
      </c>
      <c r="S77" t="s">
        <v>454</v>
      </c>
      <c r="W77">
        <v>75</v>
      </c>
      <c r="X77" t="s">
        <v>865</v>
      </c>
      <c r="Y77" t="s">
        <v>731</v>
      </c>
      <c r="Z77" t="s">
        <v>732</v>
      </c>
    </row>
    <row r="78" spans="7:26" x14ac:dyDescent="0.2">
      <c r="Q78">
        <v>76</v>
      </c>
      <c r="R78" t="s">
        <v>87</v>
      </c>
      <c r="S78" t="s">
        <v>235</v>
      </c>
      <c r="W78">
        <v>76</v>
      </c>
      <c r="X78" t="s">
        <v>709</v>
      </c>
      <c r="Y78" t="s">
        <v>734</v>
      </c>
      <c r="Z78" t="s">
        <v>735</v>
      </c>
    </row>
    <row r="79" spans="7:26" x14ac:dyDescent="0.2">
      <c r="Q79">
        <v>77</v>
      </c>
      <c r="R79" t="s">
        <v>88</v>
      </c>
      <c r="S79" t="s">
        <v>237</v>
      </c>
      <c r="W79">
        <v>77</v>
      </c>
      <c r="X79" t="s">
        <v>929</v>
      </c>
      <c r="Y79" t="s">
        <v>737</v>
      </c>
      <c r="Z79" t="s">
        <v>738</v>
      </c>
    </row>
    <row r="80" spans="7:26" x14ac:dyDescent="0.2">
      <c r="J80" t="str">
        <f>UPPER(J41)</f>
        <v/>
      </c>
      <c r="Q80">
        <v>78</v>
      </c>
      <c r="R80" t="s">
        <v>1055</v>
      </c>
      <c r="S80" t="s">
        <v>1056</v>
      </c>
      <c r="W80">
        <v>78</v>
      </c>
      <c r="X80" t="s">
        <v>571</v>
      </c>
      <c r="Y80" t="s">
        <v>740</v>
      </c>
      <c r="Z80" t="s">
        <v>741</v>
      </c>
    </row>
    <row r="81" spans="10:26" x14ac:dyDescent="0.2">
      <c r="J81" t="str">
        <f>UPPER(J42)</f>
        <v/>
      </c>
      <c r="Q81">
        <v>79</v>
      </c>
      <c r="R81" t="s">
        <v>498</v>
      </c>
      <c r="S81" t="s">
        <v>497</v>
      </c>
      <c r="W81">
        <v>79</v>
      </c>
      <c r="X81" t="s">
        <v>625</v>
      </c>
      <c r="Y81" t="s">
        <v>740</v>
      </c>
      <c r="Z81" t="s">
        <v>133</v>
      </c>
    </row>
    <row r="82" spans="10:26" x14ac:dyDescent="0.2">
      <c r="Q82">
        <v>80</v>
      </c>
      <c r="R82" t="s">
        <v>514</v>
      </c>
      <c r="S82" t="s">
        <v>513</v>
      </c>
      <c r="W82">
        <v>80</v>
      </c>
      <c r="X82" t="s">
        <v>657</v>
      </c>
      <c r="Y82" t="s">
        <v>744</v>
      </c>
      <c r="Z82" t="s">
        <v>47</v>
      </c>
    </row>
    <row r="83" spans="10:26" x14ac:dyDescent="0.2">
      <c r="Q83">
        <v>81</v>
      </c>
      <c r="R83" t="s">
        <v>89</v>
      </c>
      <c r="S83" t="s">
        <v>238</v>
      </c>
      <c r="W83">
        <v>81</v>
      </c>
      <c r="X83" t="s">
        <v>922</v>
      </c>
      <c r="Y83" t="s">
        <v>746</v>
      </c>
      <c r="Z83" t="s">
        <v>747</v>
      </c>
    </row>
    <row r="84" spans="10:26" x14ac:dyDescent="0.2">
      <c r="Q84">
        <v>82</v>
      </c>
      <c r="R84" t="s">
        <v>93</v>
      </c>
      <c r="S84" t="s">
        <v>243</v>
      </c>
      <c r="W84">
        <v>82</v>
      </c>
      <c r="X84" t="s">
        <v>733</v>
      </c>
      <c r="Y84" t="s">
        <v>749</v>
      </c>
      <c r="Z84" t="s">
        <v>750</v>
      </c>
    </row>
    <row r="85" spans="10:26" x14ac:dyDescent="0.2">
      <c r="Q85">
        <v>83</v>
      </c>
      <c r="R85" t="s">
        <v>90</v>
      </c>
      <c r="S85" t="s">
        <v>240</v>
      </c>
      <c r="W85">
        <v>83</v>
      </c>
      <c r="X85" t="s">
        <v>792</v>
      </c>
      <c r="Y85" t="s">
        <v>752</v>
      </c>
      <c r="Z85" t="s">
        <v>753</v>
      </c>
    </row>
    <row r="86" spans="10:26" x14ac:dyDescent="0.2">
      <c r="Q86">
        <v>84</v>
      </c>
      <c r="R86" t="s">
        <v>77</v>
      </c>
      <c r="S86" t="s">
        <v>224</v>
      </c>
      <c r="W86">
        <v>84</v>
      </c>
      <c r="X86" t="s">
        <v>879</v>
      </c>
      <c r="Y86" t="s">
        <v>755</v>
      </c>
      <c r="Z86" t="s">
        <v>756</v>
      </c>
    </row>
    <row r="87" spans="10:26" x14ac:dyDescent="0.2">
      <c r="Q87">
        <v>85</v>
      </c>
      <c r="R87" t="s">
        <v>91</v>
      </c>
      <c r="S87" t="s">
        <v>241</v>
      </c>
      <c r="W87">
        <v>85</v>
      </c>
      <c r="X87" t="s">
        <v>678</v>
      </c>
      <c r="Y87" t="s">
        <v>758</v>
      </c>
      <c r="Z87" t="s">
        <v>100</v>
      </c>
    </row>
    <row r="88" spans="10:26" x14ac:dyDescent="0.2">
      <c r="Q88">
        <v>86</v>
      </c>
      <c r="R88" t="s">
        <v>463</v>
      </c>
      <c r="S88" t="s">
        <v>462</v>
      </c>
      <c r="W88">
        <v>86</v>
      </c>
      <c r="X88" t="s">
        <v>800</v>
      </c>
      <c r="Y88" t="s">
        <v>760</v>
      </c>
      <c r="Z88" t="s">
        <v>165</v>
      </c>
    </row>
    <row r="89" spans="10:26" x14ac:dyDescent="0.2">
      <c r="Q89">
        <v>87</v>
      </c>
      <c r="R89" t="s">
        <v>96</v>
      </c>
      <c r="S89" t="s">
        <v>246</v>
      </c>
      <c r="W89">
        <v>87</v>
      </c>
      <c r="X89" t="s">
        <v>776</v>
      </c>
      <c r="Y89" t="s">
        <v>762</v>
      </c>
      <c r="Z89" t="s">
        <v>763</v>
      </c>
    </row>
    <row r="90" spans="10:26" x14ac:dyDescent="0.2">
      <c r="Q90">
        <v>88</v>
      </c>
      <c r="R90" t="s">
        <v>92</v>
      </c>
      <c r="S90" t="s">
        <v>242</v>
      </c>
      <c r="W90">
        <v>88</v>
      </c>
      <c r="X90" t="s">
        <v>751</v>
      </c>
      <c r="Y90" t="s">
        <v>762</v>
      </c>
      <c r="Z90" t="s">
        <v>765</v>
      </c>
    </row>
    <row r="91" spans="10:26" x14ac:dyDescent="0.2">
      <c r="Q91">
        <v>89</v>
      </c>
      <c r="R91" t="s">
        <v>461</v>
      </c>
      <c r="S91" t="s">
        <v>460</v>
      </c>
      <c r="W91">
        <v>89</v>
      </c>
      <c r="X91" t="s">
        <v>629</v>
      </c>
      <c r="Y91" t="s">
        <v>767</v>
      </c>
      <c r="Z91" t="s">
        <v>768</v>
      </c>
    </row>
    <row r="92" spans="10:26" x14ac:dyDescent="0.2">
      <c r="Q92">
        <v>90</v>
      </c>
      <c r="R92" t="s">
        <v>1057</v>
      </c>
      <c r="S92" t="s">
        <v>1058</v>
      </c>
      <c r="W92">
        <v>90</v>
      </c>
      <c r="X92" t="s">
        <v>642</v>
      </c>
      <c r="Y92" t="s">
        <v>770</v>
      </c>
      <c r="Z92" t="s">
        <v>170</v>
      </c>
    </row>
    <row r="93" spans="10:26" x14ac:dyDescent="0.2">
      <c r="Q93">
        <v>91</v>
      </c>
      <c r="R93" t="s">
        <v>467</v>
      </c>
      <c r="S93" t="s">
        <v>466</v>
      </c>
      <c r="W93">
        <v>91</v>
      </c>
      <c r="X93" t="s">
        <v>761</v>
      </c>
      <c r="Y93" t="s">
        <v>772</v>
      </c>
      <c r="Z93" t="s">
        <v>773</v>
      </c>
    </row>
    <row r="94" spans="10:26" x14ac:dyDescent="0.2">
      <c r="Q94">
        <v>92</v>
      </c>
      <c r="R94" t="s">
        <v>400</v>
      </c>
      <c r="S94" t="s">
        <v>247</v>
      </c>
      <c r="W94">
        <v>92</v>
      </c>
      <c r="X94" t="s">
        <v>584</v>
      </c>
      <c r="Y94" t="s">
        <v>772</v>
      </c>
      <c r="Z94" t="s">
        <v>775</v>
      </c>
    </row>
    <row r="95" spans="10:26" x14ac:dyDescent="0.2">
      <c r="Q95">
        <v>93</v>
      </c>
      <c r="R95" t="s">
        <v>795</v>
      </c>
      <c r="S95" t="s">
        <v>1059</v>
      </c>
      <c r="W95">
        <v>93</v>
      </c>
      <c r="X95" t="s">
        <v>619</v>
      </c>
      <c r="Y95" t="s">
        <v>777</v>
      </c>
      <c r="Z95" t="s">
        <v>778</v>
      </c>
    </row>
    <row r="96" spans="10:26" x14ac:dyDescent="0.2">
      <c r="Q96">
        <v>94</v>
      </c>
      <c r="R96" t="s">
        <v>94</v>
      </c>
      <c r="S96" t="s">
        <v>244</v>
      </c>
      <c r="W96">
        <v>94</v>
      </c>
      <c r="X96" t="s">
        <v>745</v>
      </c>
      <c r="Y96" t="s">
        <v>780</v>
      </c>
      <c r="Z96" t="s">
        <v>781</v>
      </c>
    </row>
    <row r="97" spans="17:26" x14ac:dyDescent="0.2">
      <c r="Q97">
        <v>95</v>
      </c>
      <c r="R97" t="s">
        <v>97</v>
      </c>
      <c r="S97" t="s">
        <v>248</v>
      </c>
      <c r="W97">
        <v>95</v>
      </c>
      <c r="X97" t="s">
        <v>924</v>
      </c>
      <c r="Y97" t="s">
        <v>780</v>
      </c>
      <c r="Z97" t="s">
        <v>783</v>
      </c>
    </row>
    <row r="98" spans="17:26" x14ac:dyDescent="0.2">
      <c r="Q98">
        <v>96</v>
      </c>
      <c r="R98" t="s">
        <v>98</v>
      </c>
      <c r="S98" t="s">
        <v>249</v>
      </c>
      <c r="W98">
        <v>96</v>
      </c>
      <c r="X98" t="s">
        <v>835</v>
      </c>
      <c r="Y98" t="s">
        <v>780</v>
      </c>
      <c r="Z98" t="s">
        <v>785</v>
      </c>
    </row>
    <row r="99" spans="17:26" x14ac:dyDescent="0.2">
      <c r="Q99">
        <v>97</v>
      </c>
      <c r="R99" t="s">
        <v>102</v>
      </c>
      <c r="S99" t="s">
        <v>37</v>
      </c>
      <c r="W99">
        <v>97</v>
      </c>
      <c r="X99" t="s">
        <v>771</v>
      </c>
      <c r="Y99" t="s">
        <v>780</v>
      </c>
      <c r="Z99" t="s">
        <v>786</v>
      </c>
    </row>
    <row r="100" spans="17:26" x14ac:dyDescent="0.2">
      <c r="Q100">
        <v>98</v>
      </c>
      <c r="R100" t="s">
        <v>1060</v>
      </c>
      <c r="S100" t="s">
        <v>468</v>
      </c>
      <c r="W100">
        <v>98</v>
      </c>
      <c r="X100" t="s">
        <v>883</v>
      </c>
      <c r="Y100" t="s">
        <v>780</v>
      </c>
      <c r="Z100" t="s">
        <v>788</v>
      </c>
    </row>
    <row r="101" spans="17:26" x14ac:dyDescent="0.2">
      <c r="Q101">
        <v>99</v>
      </c>
      <c r="R101" t="s">
        <v>1061</v>
      </c>
      <c r="S101" t="s">
        <v>523</v>
      </c>
      <c r="W101">
        <v>99</v>
      </c>
      <c r="X101" t="s">
        <v>890</v>
      </c>
      <c r="Y101" t="s">
        <v>780</v>
      </c>
      <c r="Z101" t="s">
        <v>790</v>
      </c>
    </row>
    <row r="102" spans="17:26" x14ac:dyDescent="0.2">
      <c r="Q102">
        <v>100</v>
      </c>
      <c r="R102" t="s">
        <v>100</v>
      </c>
      <c r="S102" t="s">
        <v>251</v>
      </c>
      <c r="W102">
        <v>100</v>
      </c>
      <c r="X102" t="s">
        <v>742</v>
      </c>
      <c r="Y102" t="s">
        <v>780</v>
      </c>
      <c r="Z102" t="s">
        <v>463</v>
      </c>
    </row>
    <row r="103" spans="17:26" x14ac:dyDescent="0.2">
      <c r="Q103">
        <v>101</v>
      </c>
      <c r="R103" t="s">
        <v>99</v>
      </c>
      <c r="S103" t="s">
        <v>250</v>
      </c>
      <c r="W103">
        <v>101</v>
      </c>
      <c r="X103" t="s">
        <v>572</v>
      </c>
      <c r="Y103" t="s">
        <v>780</v>
      </c>
      <c r="Z103" t="s">
        <v>793</v>
      </c>
    </row>
    <row r="104" spans="17:26" x14ac:dyDescent="0.2">
      <c r="Q104">
        <v>102</v>
      </c>
      <c r="R104" t="s">
        <v>103</v>
      </c>
      <c r="S104" t="s">
        <v>253</v>
      </c>
      <c r="W104">
        <v>102</v>
      </c>
      <c r="X104" t="s">
        <v>868</v>
      </c>
      <c r="Y104" t="s">
        <v>780</v>
      </c>
      <c r="Z104" t="s">
        <v>795</v>
      </c>
    </row>
    <row r="105" spans="17:26" x14ac:dyDescent="0.2">
      <c r="Q105">
        <v>103</v>
      </c>
      <c r="R105" t="s">
        <v>109</v>
      </c>
      <c r="S105" t="s">
        <v>260</v>
      </c>
      <c r="W105">
        <v>103</v>
      </c>
      <c r="X105" t="s">
        <v>813</v>
      </c>
      <c r="Y105" t="s">
        <v>780</v>
      </c>
      <c r="Z105" t="s">
        <v>797</v>
      </c>
    </row>
    <row r="106" spans="17:26" x14ac:dyDescent="0.2">
      <c r="Q106">
        <v>104</v>
      </c>
      <c r="R106" t="s">
        <v>107</v>
      </c>
      <c r="S106" t="s">
        <v>257</v>
      </c>
      <c r="W106">
        <v>104</v>
      </c>
      <c r="X106" t="s">
        <v>674</v>
      </c>
      <c r="Y106" t="s">
        <v>780</v>
      </c>
      <c r="Z106" t="s">
        <v>799</v>
      </c>
    </row>
    <row r="107" spans="17:26" x14ac:dyDescent="0.2">
      <c r="Q107">
        <v>105</v>
      </c>
      <c r="R107" t="s">
        <v>104</v>
      </c>
      <c r="S107" t="s">
        <v>254</v>
      </c>
      <c r="W107">
        <v>105</v>
      </c>
      <c r="X107" t="s">
        <v>815</v>
      </c>
      <c r="Y107" t="s">
        <v>801</v>
      </c>
      <c r="Z107" t="s">
        <v>122</v>
      </c>
    </row>
    <row r="108" spans="17:26" x14ac:dyDescent="0.2">
      <c r="Q108">
        <v>106</v>
      </c>
      <c r="R108" t="s">
        <v>1062</v>
      </c>
      <c r="S108" t="s">
        <v>259</v>
      </c>
      <c r="W108">
        <v>106</v>
      </c>
      <c r="X108" t="s">
        <v>603</v>
      </c>
      <c r="Y108" t="s">
        <v>803</v>
      </c>
      <c r="Z108" t="s">
        <v>804</v>
      </c>
    </row>
    <row r="109" spans="17:26" x14ac:dyDescent="0.2">
      <c r="Q109">
        <v>107</v>
      </c>
      <c r="R109" t="s">
        <v>108</v>
      </c>
      <c r="S109" t="s">
        <v>258</v>
      </c>
      <c r="W109">
        <v>107</v>
      </c>
      <c r="X109" t="s">
        <v>573</v>
      </c>
      <c r="Y109" t="s">
        <v>806</v>
      </c>
      <c r="Z109" t="s">
        <v>807</v>
      </c>
    </row>
    <row r="110" spans="17:26" x14ac:dyDescent="0.2">
      <c r="Q110">
        <v>108</v>
      </c>
      <c r="R110" t="s">
        <v>105</v>
      </c>
      <c r="S110" t="s">
        <v>255</v>
      </c>
      <c r="W110">
        <v>108</v>
      </c>
      <c r="X110" t="s">
        <v>886</v>
      </c>
      <c r="Y110" t="s">
        <v>806</v>
      </c>
      <c r="Z110" t="s">
        <v>809</v>
      </c>
    </row>
    <row r="111" spans="17:26" x14ac:dyDescent="0.2">
      <c r="Q111">
        <v>109</v>
      </c>
      <c r="R111" t="s">
        <v>1063</v>
      </c>
      <c r="S111" t="s">
        <v>1064</v>
      </c>
      <c r="W111">
        <v>109</v>
      </c>
      <c r="X111" t="s">
        <v>574</v>
      </c>
      <c r="Y111" t="s">
        <v>811</v>
      </c>
      <c r="Z111" t="s">
        <v>812</v>
      </c>
    </row>
    <row r="112" spans="17:26" x14ac:dyDescent="0.2">
      <c r="Q112">
        <v>110</v>
      </c>
      <c r="R112" t="s">
        <v>106</v>
      </c>
      <c r="S112" t="s">
        <v>256</v>
      </c>
      <c r="W112">
        <v>110</v>
      </c>
      <c r="X112" t="s">
        <v>864</v>
      </c>
      <c r="Y112" t="s">
        <v>814</v>
      </c>
      <c r="Z112" t="s">
        <v>136</v>
      </c>
    </row>
    <row r="113" spans="17:26" x14ac:dyDescent="0.2">
      <c r="Q113">
        <v>111</v>
      </c>
      <c r="R113" t="s">
        <v>110</v>
      </c>
      <c r="S113" t="s">
        <v>39</v>
      </c>
      <c r="W113">
        <v>111</v>
      </c>
      <c r="X113" t="s">
        <v>589</v>
      </c>
      <c r="Y113" t="s">
        <v>816</v>
      </c>
      <c r="Z113" t="s">
        <v>139</v>
      </c>
    </row>
    <row r="114" spans="17:26" x14ac:dyDescent="0.2">
      <c r="Q114">
        <v>112</v>
      </c>
      <c r="R114" t="s">
        <v>111</v>
      </c>
      <c r="S114" t="s">
        <v>261</v>
      </c>
      <c r="W114">
        <v>112</v>
      </c>
      <c r="X114" t="s">
        <v>823</v>
      </c>
      <c r="Y114" t="s">
        <v>818</v>
      </c>
      <c r="Z114" t="s">
        <v>819</v>
      </c>
    </row>
    <row r="115" spans="17:26" x14ac:dyDescent="0.2">
      <c r="Q115">
        <v>113</v>
      </c>
      <c r="R115" t="s">
        <v>113</v>
      </c>
      <c r="S115" t="s">
        <v>263</v>
      </c>
      <c r="W115">
        <v>113</v>
      </c>
      <c r="X115" t="s">
        <v>730</v>
      </c>
      <c r="Y115" t="s">
        <v>821</v>
      </c>
      <c r="Z115" t="s">
        <v>822</v>
      </c>
    </row>
    <row r="116" spans="17:26" x14ac:dyDescent="0.2">
      <c r="Q116">
        <v>114</v>
      </c>
      <c r="R116" t="s">
        <v>790</v>
      </c>
      <c r="S116" t="s">
        <v>1065</v>
      </c>
      <c r="W116">
        <v>114</v>
      </c>
      <c r="X116" t="s">
        <v>842</v>
      </c>
      <c r="Y116" t="s">
        <v>824</v>
      </c>
      <c r="Z116" t="s">
        <v>825</v>
      </c>
    </row>
    <row r="117" spans="17:26" x14ac:dyDescent="0.2">
      <c r="Q117">
        <v>115</v>
      </c>
      <c r="R117" t="s">
        <v>112</v>
      </c>
      <c r="S117" t="s">
        <v>262</v>
      </c>
      <c r="W117">
        <v>115</v>
      </c>
      <c r="X117" t="s">
        <v>889</v>
      </c>
      <c r="Y117" t="s">
        <v>827</v>
      </c>
      <c r="Z117" t="s">
        <v>828</v>
      </c>
    </row>
    <row r="118" spans="17:26" x14ac:dyDescent="0.2">
      <c r="Q118">
        <v>116</v>
      </c>
      <c r="R118" t="s">
        <v>474</v>
      </c>
      <c r="S118" t="s">
        <v>273</v>
      </c>
      <c r="W118">
        <v>116</v>
      </c>
      <c r="X118" t="s">
        <v>940</v>
      </c>
      <c r="Y118" t="s">
        <v>827</v>
      </c>
      <c r="Z118" t="s">
        <v>830</v>
      </c>
    </row>
    <row r="119" spans="17:26" x14ac:dyDescent="0.2">
      <c r="Q119">
        <v>117</v>
      </c>
      <c r="R119" t="s">
        <v>114</v>
      </c>
      <c r="S119" t="s">
        <v>264</v>
      </c>
      <c r="W119">
        <v>117</v>
      </c>
      <c r="X119" t="s">
        <v>726</v>
      </c>
      <c r="Y119" t="s">
        <v>827</v>
      </c>
      <c r="Z119" t="s">
        <v>832</v>
      </c>
    </row>
    <row r="120" spans="17:26" x14ac:dyDescent="0.2">
      <c r="Q120">
        <v>118</v>
      </c>
      <c r="R120" t="s">
        <v>116</v>
      </c>
      <c r="S120" t="s">
        <v>267</v>
      </c>
      <c r="W120">
        <v>118</v>
      </c>
      <c r="X120" t="s">
        <v>863</v>
      </c>
      <c r="Y120" t="s">
        <v>827</v>
      </c>
      <c r="Z120" t="s">
        <v>834</v>
      </c>
    </row>
    <row r="121" spans="17:26" x14ac:dyDescent="0.2">
      <c r="Q121">
        <v>119</v>
      </c>
      <c r="R121" t="s">
        <v>1066</v>
      </c>
      <c r="S121" t="s">
        <v>269</v>
      </c>
      <c r="W121">
        <v>119</v>
      </c>
      <c r="X121" t="s">
        <v>764</v>
      </c>
      <c r="Y121" t="s">
        <v>836</v>
      </c>
      <c r="Z121" t="s">
        <v>837</v>
      </c>
    </row>
    <row r="122" spans="17:26" x14ac:dyDescent="0.2">
      <c r="Q122">
        <v>120</v>
      </c>
      <c r="R122" t="s">
        <v>1067</v>
      </c>
      <c r="S122" t="s">
        <v>270</v>
      </c>
      <c r="W122">
        <v>120</v>
      </c>
      <c r="X122" t="s">
        <v>877</v>
      </c>
      <c r="Y122" t="s">
        <v>839</v>
      </c>
      <c r="Z122" t="s">
        <v>176</v>
      </c>
    </row>
    <row r="123" spans="17:26" x14ac:dyDescent="0.2">
      <c r="Q123">
        <v>121</v>
      </c>
      <c r="R123" t="s">
        <v>117</v>
      </c>
      <c r="S123" t="s">
        <v>271</v>
      </c>
      <c r="W123">
        <v>121</v>
      </c>
      <c r="X123" t="s">
        <v>708</v>
      </c>
      <c r="Y123" t="s">
        <v>841</v>
      </c>
      <c r="Z123" t="s">
        <v>181</v>
      </c>
    </row>
    <row r="124" spans="17:26" x14ac:dyDescent="0.2">
      <c r="Q124">
        <v>122</v>
      </c>
      <c r="R124" t="s">
        <v>471</v>
      </c>
      <c r="S124" t="s">
        <v>265</v>
      </c>
      <c r="W124">
        <v>122</v>
      </c>
      <c r="X124" t="s">
        <v>892</v>
      </c>
      <c r="Y124" t="s">
        <v>841</v>
      </c>
      <c r="Z124" t="s">
        <v>499</v>
      </c>
    </row>
    <row r="125" spans="17:26" x14ac:dyDescent="0.2">
      <c r="Q125">
        <v>123</v>
      </c>
      <c r="R125" t="s">
        <v>475</v>
      </c>
      <c r="S125" t="s">
        <v>274</v>
      </c>
      <c r="W125">
        <v>123</v>
      </c>
      <c r="X125" t="s">
        <v>661</v>
      </c>
      <c r="Y125" t="s">
        <v>841</v>
      </c>
      <c r="Z125" t="s">
        <v>843</v>
      </c>
    </row>
    <row r="126" spans="17:26" x14ac:dyDescent="0.2">
      <c r="Q126">
        <v>124</v>
      </c>
      <c r="R126" t="s">
        <v>125</v>
      </c>
      <c r="S126" t="s">
        <v>281</v>
      </c>
      <c r="W126">
        <v>124</v>
      </c>
      <c r="X126" t="s">
        <v>888</v>
      </c>
      <c r="Y126" t="s">
        <v>841</v>
      </c>
      <c r="Z126" t="s">
        <v>845</v>
      </c>
    </row>
    <row r="127" spans="17:26" x14ac:dyDescent="0.2">
      <c r="Q127">
        <v>125</v>
      </c>
      <c r="R127" t="s">
        <v>119</v>
      </c>
      <c r="S127" t="s">
        <v>275</v>
      </c>
      <c r="W127">
        <v>125</v>
      </c>
      <c r="X127" t="s">
        <v>782</v>
      </c>
      <c r="Y127" t="s">
        <v>841</v>
      </c>
      <c r="Z127" t="s">
        <v>847</v>
      </c>
    </row>
    <row r="128" spans="17:26" x14ac:dyDescent="0.2">
      <c r="Q128">
        <v>126</v>
      </c>
      <c r="R128" t="s">
        <v>122</v>
      </c>
      <c r="S128" t="s">
        <v>278</v>
      </c>
      <c r="W128">
        <v>126</v>
      </c>
      <c r="X128" t="s">
        <v>575</v>
      </c>
      <c r="Y128" t="s">
        <v>841</v>
      </c>
      <c r="Z128" t="s">
        <v>849</v>
      </c>
    </row>
    <row r="129" spans="17:26" x14ac:dyDescent="0.2">
      <c r="Q129">
        <v>127</v>
      </c>
      <c r="R129" t="s">
        <v>121</v>
      </c>
      <c r="S129" t="s">
        <v>277</v>
      </c>
      <c r="W129">
        <v>127</v>
      </c>
      <c r="X129" t="s">
        <v>576</v>
      </c>
      <c r="Y129" t="s">
        <v>841</v>
      </c>
      <c r="Z129" t="s">
        <v>851</v>
      </c>
    </row>
    <row r="130" spans="17:26" x14ac:dyDescent="0.2">
      <c r="Q130">
        <v>128</v>
      </c>
      <c r="R130" t="s">
        <v>1068</v>
      </c>
      <c r="S130" t="s">
        <v>282</v>
      </c>
      <c r="W130">
        <v>128</v>
      </c>
      <c r="X130" t="s">
        <v>796</v>
      </c>
      <c r="Y130" t="s">
        <v>841</v>
      </c>
      <c r="Z130" t="s">
        <v>74</v>
      </c>
    </row>
    <row r="131" spans="17:26" x14ac:dyDescent="0.2">
      <c r="Q131">
        <v>129</v>
      </c>
      <c r="R131" t="s">
        <v>479</v>
      </c>
      <c r="S131" t="s">
        <v>478</v>
      </c>
      <c r="W131">
        <v>129</v>
      </c>
      <c r="X131" t="s">
        <v>759</v>
      </c>
      <c r="Y131" t="s">
        <v>854</v>
      </c>
      <c r="Z131" t="s">
        <v>63</v>
      </c>
    </row>
    <row r="132" spans="17:26" x14ac:dyDescent="0.2">
      <c r="Q132">
        <v>130</v>
      </c>
      <c r="R132" t="s">
        <v>123</v>
      </c>
      <c r="S132" t="s">
        <v>279</v>
      </c>
      <c r="W132">
        <v>130</v>
      </c>
      <c r="X132" t="s">
        <v>904</v>
      </c>
      <c r="Y132" t="s">
        <v>856</v>
      </c>
      <c r="Z132" t="s">
        <v>400</v>
      </c>
    </row>
    <row r="133" spans="17:26" x14ac:dyDescent="0.2">
      <c r="Q133">
        <v>131</v>
      </c>
      <c r="R133" t="s">
        <v>124</v>
      </c>
      <c r="S133" t="s">
        <v>280</v>
      </c>
      <c r="W133">
        <v>131</v>
      </c>
      <c r="X133" t="s">
        <v>802</v>
      </c>
      <c r="Y133" t="s">
        <v>858</v>
      </c>
      <c r="Z133" t="s">
        <v>859</v>
      </c>
    </row>
    <row r="134" spans="17:26" x14ac:dyDescent="0.2">
      <c r="Q134">
        <v>132</v>
      </c>
      <c r="R134" t="s">
        <v>1069</v>
      </c>
      <c r="S134" t="s">
        <v>289</v>
      </c>
      <c r="W134">
        <v>132</v>
      </c>
      <c r="X134" t="s">
        <v>694</v>
      </c>
      <c r="Y134" t="s">
        <v>861</v>
      </c>
      <c r="Z134" t="s">
        <v>862</v>
      </c>
    </row>
    <row r="135" spans="17:26" x14ac:dyDescent="0.2">
      <c r="Q135">
        <v>133</v>
      </c>
      <c r="R135" t="s">
        <v>1070</v>
      </c>
      <c r="S135" t="s">
        <v>1071</v>
      </c>
      <c r="W135">
        <v>133</v>
      </c>
      <c r="X135" t="s">
        <v>644</v>
      </c>
      <c r="Y135" t="s">
        <v>861</v>
      </c>
      <c r="Z135" t="s">
        <v>153</v>
      </c>
    </row>
    <row r="136" spans="17:26" x14ac:dyDescent="0.2">
      <c r="Q136">
        <v>134</v>
      </c>
      <c r="R136" t="s">
        <v>127</v>
      </c>
      <c r="S136" t="s">
        <v>285</v>
      </c>
      <c r="W136">
        <v>134</v>
      </c>
      <c r="X136" t="s">
        <v>601</v>
      </c>
      <c r="Y136" t="s">
        <v>861</v>
      </c>
      <c r="Z136" t="s">
        <v>145</v>
      </c>
    </row>
    <row r="137" spans="17:26" x14ac:dyDescent="0.2">
      <c r="Q137">
        <v>135</v>
      </c>
      <c r="R137" t="s">
        <v>133</v>
      </c>
      <c r="S137" t="s">
        <v>294</v>
      </c>
      <c r="W137">
        <v>135</v>
      </c>
      <c r="X137" t="s">
        <v>798</v>
      </c>
      <c r="Y137" t="s">
        <v>866</v>
      </c>
      <c r="Z137" t="s">
        <v>867</v>
      </c>
    </row>
    <row r="138" spans="17:26" x14ac:dyDescent="0.2">
      <c r="Q138">
        <v>136</v>
      </c>
      <c r="R138" t="s">
        <v>135</v>
      </c>
      <c r="S138" t="s">
        <v>296</v>
      </c>
      <c r="W138">
        <v>136</v>
      </c>
      <c r="X138" t="s">
        <v>769</v>
      </c>
      <c r="Y138" t="s">
        <v>869</v>
      </c>
      <c r="Z138" t="s">
        <v>870</v>
      </c>
    </row>
    <row r="139" spans="17:26" x14ac:dyDescent="0.2">
      <c r="Q139">
        <v>137</v>
      </c>
      <c r="R139" t="s">
        <v>132</v>
      </c>
      <c r="S139" t="s">
        <v>293</v>
      </c>
      <c r="W139">
        <v>137</v>
      </c>
      <c r="X139" t="s">
        <v>586</v>
      </c>
      <c r="Y139" t="s">
        <v>872</v>
      </c>
      <c r="Z139" t="s">
        <v>873</v>
      </c>
    </row>
    <row r="140" spans="17:26" x14ac:dyDescent="0.2">
      <c r="Q140">
        <v>138</v>
      </c>
      <c r="R140" t="s">
        <v>128</v>
      </c>
      <c r="S140" t="s">
        <v>286</v>
      </c>
      <c r="W140">
        <v>138</v>
      </c>
      <c r="X140" t="s">
        <v>912</v>
      </c>
      <c r="Y140" t="s">
        <v>875</v>
      </c>
      <c r="Z140" t="s">
        <v>876</v>
      </c>
    </row>
    <row r="141" spans="17:26" x14ac:dyDescent="0.2">
      <c r="Q141">
        <v>139</v>
      </c>
      <c r="R141" t="s">
        <v>488</v>
      </c>
      <c r="S141" t="s">
        <v>487</v>
      </c>
      <c r="W141">
        <v>139</v>
      </c>
      <c r="X141" t="s">
        <v>808</v>
      </c>
      <c r="Y141" t="s">
        <v>875</v>
      </c>
      <c r="Z141" t="s">
        <v>878</v>
      </c>
    </row>
    <row r="142" spans="17:26" x14ac:dyDescent="0.2">
      <c r="Q142">
        <v>140</v>
      </c>
      <c r="R142" t="s">
        <v>483</v>
      </c>
      <c r="S142" t="s">
        <v>482</v>
      </c>
      <c r="W142">
        <v>140</v>
      </c>
      <c r="X142" t="s">
        <v>635</v>
      </c>
      <c r="Y142" t="s">
        <v>880</v>
      </c>
      <c r="Z142" t="s">
        <v>120</v>
      </c>
    </row>
    <row r="143" spans="17:26" x14ac:dyDescent="0.2">
      <c r="Q143">
        <v>141</v>
      </c>
      <c r="R143" t="s">
        <v>1072</v>
      </c>
      <c r="S143" t="s">
        <v>1073</v>
      </c>
      <c r="W143">
        <v>141</v>
      </c>
      <c r="X143" t="s">
        <v>838</v>
      </c>
      <c r="Y143" t="s">
        <v>880</v>
      </c>
      <c r="Z143" t="s">
        <v>882</v>
      </c>
    </row>
    <row r="144" spans="17:26" x14ac:dyDescent="0.2">
      <c r="Q144">
        <v>142</v>
      </c>
      <c r="R144" t="s">
        <v>486</v>
      </c>
      <c r="S144" t="s">
        <v>290</v>
      </c>
      <c r="W144">
        <v>142</v>
      </c>
      <c r="X144" t="s">
        <v>774</v>
      </c>
      <c r="Y144" t="s">
        <v>880</v>
      </c>
      <c r="Z144" t="s">
        <v>884</v>
      </c>
    </row>
    <row r="145" spans="17:26" x14ac:dyDescent="0.2">
      <c r="Q145">
        <v>143</v>
      </c>
      <c r="R145" t="s">
        <v>131</v>
      </c>
      <c r="S145" t="s">
        <v>292</v>
      </c>
      <c r="W145">
        <v>143</v>
      </c>
      <c r="X145" t="s">
        <v>655</v>
      </c>
      <c r="Y145" t="s">
        <v>880</v>
      </c>
      <c r="Z145" t="s">
        <v>885</v>
      </c>
    </row>
    <row r="146" spans="17:26" x14ac:dyDescent="0.2">
      <c r="Q146">
        <v>144</v>
      </c>
      <c r="R146" t="s">
        <v>1074</v>
      </c>
      <c r="S146" t="s">
        <v>1075</v>
      </c>
      <c r="W146">
        <v>144</v>
      </c>
      <c r="X146" t="s">
        <v>647</v>
      </c>
      <c r="Y146" t="s">
        <v>880</v>
      </c>
      <c r="Z146" t="s">
        <v>887</v>
      </c>
    </row>
    <row r="147" spans="17:26" x14ac:dyDescent="0.2">
      <c r="Q147">
        <v>145</v>
      </c>
      <c r="R147" t="s">
        <v>134</v>
      </c>
      <c r="S147" t="s">
        <v>295</v>
      </c>
      <c r="W147">
        <v>145</v>
      </c>
      <c r="X147" t="s">
        <v>676</v>
      </c>
      <c r="Y147" t="s">
        <v>880</v>
      </c>
      <c r="Z147" t="s">
        <v>159</v>
      </c>
    </row>
    <row r="148" spans="17:26" x14ac:dyDescent="0.2">
      <c r="Q148">
        <v>146</v>
      </c>
      <c r="R148" t="s">
        <v>1076</v>
      </c>
      <c r="S148" t="s">
        <v>457</v>
      </c>
      <c r="W148">
        <v>146</v>
      </c>
      <c r="X148" t="s">
        <v>898</v>
      </c>
      <c r="Y148" t="s">
        <v>880</v>
      </c>
      <c r="Z148" t="s">
        <v>149</v>
      </c>
    </row>
    <row r="149" spans="17:26" x14ac:dyDescent="0.2">
      <c r="Q149">
        <v>147</v>
      </c>
      <c r="R149" t="s">
        <v>1077</v>
      </c>
      <c r="S149" t="s">
        <v>284</v>
      </c>
      <c r="W149">
        <v>147</v>
      </c>
      <c r="X149" t="s">
        <v>728</v>
      </c>
      <c r="Y149" t="s">
        <v>891</v>
      </c>
      <c r="Z149" t="s">
        <v>132</v>
      </c>
    </row>
    <row r="150" spans="17:26" x14ac:dyDescent="0.2">
      <c r="Q150">
        <v>148</v>
      </c>
      <c r="R150" t="s">
        <v>481</v>
      </c>
      <c r="S150" t="s">
        <v>480</v>
      </c>
      <c r="W150">
        <v>148</v>
      </c>
      <c r="X150" t="s">
        <v>901</v>
      </c>
      <c r="Y150" t="s">
        <v>893</v>
      </c>
      <c r="Z150" t="s">
        <v>894</v>
      </c>
    </row>
    <row r="151" spans="17:26" x14ac:dyDescent="0.2">
      <c r="Q151">
        <v>149</v>
      </c>
      <c r="R151" t="s">
        <v>130</v>
      </c>
      <c r="S151" t="s">
        <v>288</v>
      </c>
      <c r="W151">
        <v>149</v>
      </c>
      <c r="X151" t="s">
        <v>577</v>
      </c>
      <c r="Y151" t="s">
        <v>896</v>
      </c>
      <c r="Z151" t="s">
        <v>897</v>
      </c>
    </row>
    <row r="152" spans="17:26" x14ac:dyDescent="0.2">
      <c r="Q152">
        <v>150</v>
      </c>
      <c r="R152" t="s">
        <v>1078</v>
      </c>
      <c r="S152" t="s">
        <v>1079</v>
      </c>
      <c r="W152">
        <v>150</v>
      </c>
      <c r="X152" t="s">
        <v>840</v>
      </c>
      <c r="Y152" t="s">
        <v>899</v>
      </c>
      <c r="Z152" t="s">
        <v>900</v>
      </c>
    </row>
    <row r="153" spans="17:26" x14ac:dyDescent="0.2">
      <c r="Q153">
        <v>151</v>
      </c>
      <c r="R153" t="s">
        <v>1080</v>
      </c>
      <c r="S153" t="s">
        <v>291</v>
      </c>
      <c r="W153">
        <v>151</v>
      </c>
      <c r="X153" t="s">
        <v>915</v>
      </c>
      <c r="Y153" t="s">
        <v>899</v>
      </c>
      <c r="Z153" t="s">
        <v>902</v>
      </c>
    </row>
    <row r="154" spans="17:26" x14ac:dyDescent="0.2">
      <c r="Q154">
        <v>152</v>
      </c>
      <c r="R154" t="s">
        <v>126</v>
      </c>
      <c r="S154" t="s">
        <v>283</v>
      </c>
      <c r="W154">
        <v>152</v>
      </c>
      <c r="X154" t="s">
        <v>594</v>
      </c>
      <c r="Y154" t="s">
        <v>899</v>
      </c>
      <c r="Z154" t="s">
        <v>114</v>
      </c>
    </row>
    <row r="155" spans="17:26" x14ac:dyDescent="0.2">
      <c r="Q155">
        <v>153</v>
      </c>
      <c r="R155" t="s">
        <v>136</v>
      </c>
      <c r="S155" t="s">
        <v>297</v>
      </c>
      <c r="W155">
        <v>153</v>
      </c>
      <c r="X155" t="s">
        <v>680</v>
      </c>
      <c r="Y155" t="s">
        <v>899</v>
      </c>
      <c r="Z155" t="s">
        <v>905</v>
      </c>
    </row>
    <row r="156" spans="17:26" x14ac:dyDescent="0.2">
      <c r="Q156">
        <v>154</v>
      </c>
      <c r="R156" t="s">
        <v>129</v>
      </c>
      <c r="S156" t="s">
        <v>287</v>
      </c>
      <c r="W156">
        <v>154</v>
      </c>
      <c r="X156" t="s">
        <v>927</v>
      </c>
      <c r="Y156" t="s">
        <v>907</v>
      </c>
      <c r="Z156" t="s">
        <v>908</v>
      </c>
    </row>
    <row r="157" spans="17:26" x14ac:dyDescent="0.2">
      <c r="Q157">
        <v>155</v>
      </c>
      <c r="R157" t="s">
        <v>137</v>
      </c>
      <c r="S157" t="s">
        <v>298</v>
      </c>
      <c r="W157">
        <v>155</v>
      </c>
      <c r="X157" t="s">
        <v>920</v>
      </c>
      <c r="Y157" t="s">
        <v>910</v>
      </c>
      <c r="Z157" t="s">
        <v>911</v>
      </c>
    </row>
    <row r="158" spans="17:26" x14ac:dyDescent="0.2">
      <c r="Q158">
        <v>156</v>
      </c>
      <c r="R158" t="s">
        <v>494</v>
      </c>
      <c r="S158" t="s">
        <v>493</v>
      </c>
      <c r="W158">
        <v>156</v>
      </c>
      <c r="X158" t="s">
        <v>712</v>
      </c>
      <c r="Y158" t="s">
        <v>913</v>
      </c>
      <c r="Z158" t="s">
        <v>914</v>
      </c>
    </row>
    <row r="159" spans="17:26" x14ac:dyDescent="0.2">
      <c r="Q159">
        <v>157</v>
      </c>
      <c r="R159" t="s">
        <v>143</v>
      </c>
      <c r="S159" t="s">
        <v>304</v>
      </c>
      <c r="W159">
        <v>157</v>
      </c>
      <c r="X159" t="s">
        <v>831</v>
      </c>
      <c r="Y159" t="s">
        <v>916</v>
      </c>
      <c r="Z159" t="s">
        <v>917</v>
      </c>
    </row>
    <row r="160" spans="17:26" x14ac:dyDescent="0.2">
      <c r="Q160">
        <v>158</v>
      </c>
      <c r="R160" t="s">
        <v>141</v>
      </c>
      <c r="S160" t="s">
        <v>302</v>
      </c>
      <c r="W160">
        <v>158</v>
      </c>
      <c r="X160" t="s">
        <v>829</v>
      </c>
      <c r="Y160" t="s">
        <v>919</v>
      </c>
      <c r="Z160" t="s">
        <v>54</v>
      </c>
    </row>
    <row r="161" spans="17:26" x14ac:dyDescent="0.2">
      <c r="Q161">
        <v>159</v>
      </c>
      <c r="R161" t="s">
        <v>490</v>
      </c>
      <c r="S161" t="s">
        <v>489</v>
      </c>
      <c r="W161">
        <v>159</v>
      </c>
      <c r="X161" t="s">
        <v>686</v>
      </c>
      <c r="Y161" t="s">
        <v>921</v>
      </c>
      <c r="Z161" t="s">
        <v>532</v>
      </c>
    </row>
    <row r="162" spans="17:26" x14ac:dyDescent="0.2">
      <c r="Q162">
        <v>160</v>
      </c>
      <c r="R162" t="s">
        <v>144</v>
      </c>
      <c r="S162" t="s">
        <v>305</v>
      </c>
      <c r="W162">
        <v>160</v>
      </c>
      <c r="X162" t="s">
        <v>715</v>
      </c>
      <c r="Y162" t="s">
        <v>923</v>
      </c>
      <c r="Z162" t="s">
        <v>474</v>
      </c>
    </row>
    <row r="163" spans="17:26" x14ac:dyDescent="0.2">
      <c r="Q163">
        <v>161</v>
      </c>
      <c r="R163" t="s">
        <v>140</v>
      </c>
      <c r="S163" t="s">
        <v>301</v>
      </c>
      <c r="W163">
        <v>161</v>
      </c>
      <c r="X163" t="s">
        <v>826</v>
      </c>
      <c r="Y163" t="s">
        <v>925</v>
      </c>
      <c r="Z163" t="s">
        <v>926</v>
      </c>
    </row>
    <row r="164" spans="17:26" x14ac:dyDescent="0.2">
      <c r="Q164">
        <v>162</v>
      </c>
      <c r="R164" t="s">
        <v>138</v>
      </c>
      <c r="S164" t="s">
        <v>299</v>
      </c>
      <c r="W164">
        <v>162</v>
      </c>
      <c r="X164" t="s">
        <v>717</v>
      </c>
      <c r="Y164" t="s">
        <v>928</v>
      </c>
      <c r="Z164" t="s">
        <v>529</v>
      </c>
    </row>
    <row r="165" spans="17:26" x14ac:dyDescent="0.2">
      <c r="Q165">
        <v>163</v>
      </c>
      <c r="R165" t="s">
        <v>139</v>
      </c>
      <c r="S165" t="s">
        <v>300</v>
      </c>
      <c r="W165">
        <v>163</v>
      </c>
      <c r="X165" t="s">
        <v>833</v>
      </c>
      <c r="Y165" t="s">
        <v>930</v>
      </c>
      <c r="Z165" t="s">
        <v>931</v>
      </c>
    </row>
    <row r="166" spans="17:26" x14ac:dyDescent="0.2">
      <c r="Q166">
        <v>164</v>
      </c>
      <c r="R166" t="s">
        <v>496</v>
      </c>
      <c r="S166" t="s">
        <v>495</v>
      </c>
      <c r="W166">
        <v>164</v>
      </c>
      <c r="X166" t="s">
        <v>871</v>
      </c>
      <c r="Y166" t="s">
        <v>930</v>
      </c>
      <c r="Z166" t="s">
        <v>932</v>
      </c>
    </row>
    <row r="167" spans="17:26" x14ac:dyDescent="0.2">
      <c r="Q167">
        <v>165</v>
      </c>
      <c r="R167" t="s">
        <v>492</v>
      </c>
      <c r="S167" t="s">
        <v>491</v>
      </c>
      <c r="W167">
        <v>165</v>
      </c>
      <c r="X167" t="s">
        <v>637</v>
      </c>
      <c r="Y167" t="s">
        <v>933</v>
      </c>
      <c r="Z167" t="s">
        <v>934</v>
      </c>
    </row>
    <row r="168" spans="17:26" x14ac:dyDescent="0.2">
      <c r="Q168">
        <v>166</v>
      </c>
      <c r="R168" t="s">
        <v>485</v>
      </c>
      <c r="S168" t="s">
        <v>484</v>
      </c>
      <c r="W168">
        <v>166</v>
      </c>
      <c r="X168" t="s">
        <v>857</v>
      </c>
      <c r="Y168" t="s">
        <v>936</v>
      </c>
      <c r="Z168" t="s">
        <v>937</v>
      </c>
    </row>
    <row r="169" spans="17:26" x14ac:dyDescent="0.2">
      <c r="Q169">
        <v>167</v>
      </c>
      <c r="R169" t="s">
        <v>142</v>
      </c>
      <c r="S169" t="s">
        <v>303</v>
      </c>
      <c r="W169">
        <v>167</v>
      </c>
      <c r="X169" t="s">
        <v>739</v>
      </c>
      <c r="Y169" t="s">
        <v>939</v>
      </c>
      <c r="Z169" t="s">
        <v>937</v>
      </c>
    </row>
    <row r="170" spans="17:26" x14ac:dyDescent="0.2">
      <c r="Q170">
        <v>168</v>
      </c>
      <c r="R170" t="s">
        <v>145</v>
      </c>
      <c r="S170" t="s">
        <v>306</v>
      </c>
      <c r="W170">
        <v>168</v>
      </c>
      <c r="X170" t="s">
        <v>663</v>
      </c>
      <c r="Y170" t="s">
        <v>941</v>
      </c>
      <c r="Z170" t="s">
        <v>942</v>
      </c>
    </row>
    <row r="171" spans="17:26" x14ac:dyDescent="0.2">
      <c r="Q171">
        <v>169</v>
      </c>
      <c r="R171" t="s">
        <v>149</v>
      </c>
      <c r="S171" t="s">
        <v>311</v>
      </c>
    </row>
    <row r="172" spans="17:26" x14ac:dyDescent="0.2">
      <c r="Q172">
        <v>170</v>
      </c>
      <c r="R172" t="s">
        <v>505</v>
      </c>
      <c r="S172" t="s">
        <v>504</v>
      </c>
    </row>
    <row r="173" spans="17:26" x14ac:dyDescent="0.2">
      <c r="Q173">
        <v>171</v>
      </c>
      <c r="R173" t="s">
        <v>1081</v>
      </c>
      <c r="S173" t="s">
        <v>1082</v>
      </c>
    </row>
    <row r="174" spans="17:26" x14ac:dyDescent="0.2">
      <c r="Q174">
        <v>172</v>
      </c>
      <c r="R174" t="s">
        <v>146</v>
      </c>
      <c r="S174" t="s">
        <v>307</v>
      </c>
    </row>
    <row r="175" spans="17:26" x14ac:dyDescent="0.2">
      <c r="Q175">
        <v>173</v>
      </c>
      <c r="R175" t="s">
        <v>148</v>
      </c>
      <c r="S175" t="s">
        <v>309</v>
      </c>
    </row>
    <row r="176" spans="17:26" x14ac:dyDescent="0.2">
      <c r="Q176">
        <v>174</v>
      </c>
      <c r="R176" t="s">
        <v>152</v>
      </c>
      <c r="S176" t="s">
        <v>314</v>
      </c>
    </row>
    <row r="177" spans="17:19" x14ac:dyDescent="0.2">
      <c r="Q177">
        <v>175</v>
      </c>
      <c r="R177" t="s">
        <v>147</v>
      </c>
      <c r="S177" t="s">
        <v>308</v>
      </c>
    </row>
    <row r="178" spans="17:19" x14ac:dyDescent="0.2">
      <c r="Q178">
        <v>176</v>
      </c>
      <c r="R178" t="s">
        <v>499</v>
      </c>
      <c r="S178" t="s">
        <v>310</v>
      </c>
    </row>
    <row r="179" spans="17:19" x14ac:dyDescent="0.2">
      <c r="Q179">
        <v>177</v>
      </c>
      <c r="R179" t="s">
        <v>501</v>
      </c>
      <c r="S179" t="s">
        <v>500</v>
      </c>
    </row>
    <row r="180" spans="17:19" x14ac:dyDescent="0.2">
      <c r="Q180">
        <v>178</v>
      </c>
      <c r="R180" t="s">
        <v>150</v>
      </c>
      <c r="S180" t="s">
        <v>312</v>
      </c>
    </row>
    <row r="181" spans="17:19" x14ac:dyDescent="0.2">
      <c r="Q181">
        <v>179</v>
      </c>
      <c r="R181" t="s">
        <v>151</v>
      </c>
      <c r="S181" t="s">
        <v>313</v>
      </c>
    </row>
    <row r="182" spans="17:19" x14ac:dyDescent="0.2">
      <c r="Q182">
        <v>180</v>
      </c>
      <c r="R182" t="s">
        <v>503</v>
      </c>
      <c r="S182" t="s">
        <v>502</v>
      </c>
    </row>
    <row r="183" spans="17:19" x14ac:dyDescent="0.2">
      <c r="Q183">
        <v>181</v>
      </c>
      <c r="R183" t="s">
        <v>153</v>
      </c>
      <c r="S183" t="s">
        <v>315</v>
      </c>
    </row>
    <row r="184" spans="17:19" x14ac:dyDescent="0.2">
      <c r="Q184">
        <v>182</v>
      </c>
      <c r="R184" t="s">
        <v>507</v>
      </c>
      <c r="S184" t="s">
        <v>506</v>
      </c>
    </row>
    <row r="185" spans="17:19" x14ac:dyDescent="0.2">
      <c r="Q185">
        <v>183</v>
      </c>
      <c r="R185" t="s">
        <v>154</v>
      </c>
      <c r="S185" t="s">
        <v>316</v>
      </c>
    </row>
    <row r="186" spans="17:19" x14ac:dyDescent="0.2">
      <c r="Q186">
        <v>184</v>
      </c>
      <c r="R186" t="s">
        <v>155</v>
      </c>
      <c r="S186" t="s">
        <v>317</v>
      </c>
    </row>
    <row r="187" spans="17:19" x14ac:dyDescent="0.2">
      <c r="Q187">
        <v>185</v>
      </c>
      <c r="R187" t="s">
        <v>156</v>
      </c>
      <c r="S187" t="s">
        <v>318</v>
      </c>
    </row>
    <row r="188" spans="17:19" x14ac:dyDescent="0.2">
      <c r="Q188">
        <v>186</v>
      </c>
      <c r="R188" t="s">
        <v>1083</v>
      </c>
      <c r="S188" t="s">
        <v>1084</v>
      </c>
    </row>
    <row r="189" spans="17:19" x14ac:dyDescent="0.2">
      <c r="Q189">
        <v>187</v>
      </c>
      <c r="R189" t="s">
        <v>1085</v>
      </c>
      <c r="S189" t="s">
        <v>508</v>
      </c>
    </row>
    <row r="190" spans="17:19" x14ac:dyDescent="0.2">
      <c r="Q190">
        <v>188</v>
      </c>
      <c r="R190" t="s">
        <v>1086</v>
      </c>
      <c r="S190" t="s">
        <v>473</v>
      </c>
    </row>
    <row r="191" spans="17:19" x14ac:dyDescent="0.2">
      <c r="Q191">
        <v>189</v>
      </c>
      <c r="R191" t="s">
        <v>477</v>
      </c>
      <c r="S191" t="s">
        <v>476</v>
      </c>
    </row>
    <row r="192" spans="17:19" x14ac:dyDescent="0.2">
      <c r="Q192">
        <v>190</v>
      </c>
      <c r="R192" t="s">
        <v>1087</v>
      </c>
      <c r="S192" t="s">
        <v>1088</v>
      </c>
    </row>
    <row r="193" spans="17:19" x14ac:dyDescent="0.2">
      <c r="Q193">
        <v>191</v>
      </c>
      <c r="R193" t="s">
        <v>1089</v>
      </c>
      <c r="S193" t="s">
        <v>1090</v>
      </c>
    </row>
    <row r="194" spans="17:19" x14ac:dyDescent="0.2">
      <c r="Q194">
        <v>192</v>
      </c>
      <c r="R194" t="s">
        <v>1091</v>
      </c>
      <c r="S194" t="s">
        <v>524</v>
      </c>
    </row>
    <row r="195" spans="17:19" x14ac:dyDescent="0.2">
      <c r="Q195">
        <v>193</v>
      </c>
      <c r="R195" t="s">
        <v>532</v>
      </c>
      <c r="S195" t="s">
        <v>531</v>
      </c>
    </row>
    <row r="196" spans="17:19" x14ac:dyDescent="0.2">
      <c r="Q196">
        <v>194</v>
      </c>
      <c r="R196" t="s">
        <v>510</v>
      </c>
      <c r="S196" t="s">
        <v>327</v>
      </c>
    </row>
    <row r="197" spans="17:19" x14ac:dyDescent="0.2">
      <c r="Q197">
        <v>195</v>
      </c>
      <c r="R197" t="s">
        <v>1092</v>
      </c>
      <c r="S197" t="s">
        <v>330</v>
      </c>
    </row>
    <row r="198" spans="17:19" x14ac:dyDescent="0.2">
      <c r="Q198">
        <v>196</v>
      </c>
      <c r="R198" t="s">
        <v>157</v>
      </c>
      <c r="S198" t="s">
        <v>319</v>
      </c>
    </row>
    <row r="199" spans="17:19" x14ac:dyDescent="0.2">
      <c r="Q199">
        <v>197</v>
      </c>
      <c r="R199" t="s">
        <v>166</v>
      </c>
      <c r="S199" t="s">
        <v>328</v>
      </c>
    </row>
    <row r="200" spans="17:19" x14ac:dyDescent="0.2">
      <c r="Q200">
        <v>198</v>
      </c>
      <c r="R200" t="s">
        <v>1093</v>
      </c>
      <c r="S200" t="s">
        <v>1094</v>
      </c>
    </row>
    <row r="201" spans="17:19" x14ac:dyDescent="0.2">
      <c r="Q201">
        <v>199</v>
      </c>
      <c r="R201" t="s">
        <v>159</v>
      </c>
      <c r="S201" t="s">
        <v>320</v>
      </c>
    </row>
    <row r="202" spans="17:19" x14ac:dyDescent="0.2">
      <c r="Q202">
        <v>200</v>
      </c>
      <c r="R202" t="s">
        <v>165</v>
      </c>
      <c r="S202" t="s">
        <v>326</v>
      </c>
    </row>
    <row r="203" spans="17:19" x14ac:dyDescent="0.2">
      <c r="Q203">
        <v>201</v>
      </c>
      <c r="R203" t="s">
        <v>162</v>
      </c>
      <c r="S203" t="s">
        <v>323</v>
      </c>
    </row>
    <row r="204" spans="17:19" x14ac:dyDescent="0.2">
      <c r="Q204">
        <v>202</v>
      </c>
      <c r="R204" t="s">
        <v>1095</v>
      </c>
      <c r="S204" t="s">
        <v>1096</v>
      </c>
    </row>
    <row r="205" spans="17:19" x14ac:dyDescent="0.2">
      <c r="Q205">
        <v>203</v>
      </c>
      <c r="R205" t="s">
        <v>164</v>
      </c>
      <c r="S205" t="s">
        <v>325</v>
      </c>
    </row>
    <row r="206" spans="17:19" x14ac:dyDescent="0.2">
      <c r="Q206">
        <v>204</v>
      </c>
      <c r="R206" t="s">
        <v>163</v>
      </c>
      <c r="S206" t="s">
        <v>324</v>
      </c>
    </row>
    <row r="207" spans="17:19" x14ac:dyDescent="0.2">
      <c r="Q207">
        <v>205</v>
      </c>
      <c r="R207" t="s">
        <v>158</v>
      </c>
      <c r="S207" t="s">
        <v>41</v>
      </c>
    </row>
    <row r="208" spans="17:19" x14ac:dyDescent="0.2">
      <c r="Q208">
        <v>206</v>
      </c>
      <c r="R208" t="s">
        <v>167</v>
      </c>
      <c r="S208" t="s">
        <v>329</v>
      </c>
    </row>
    <row r="209" spans="17:19" x14ac:dyDescent="0.2">
      <c r="Q209">
        <v>207</v>
      </c>
      <c r="R209" t="s">
        <v>184</v>
      </c>
      <c r="S209" t="s">
        <v>353</v>
      </c>
    </row>
    <row r="210" spans="17:19" x14ac:dyDescent="0.2">
      <c r="Q210">
        <v>208</v>
      </c>
      <c r="R210" t="s">
        <v>465</v>
      </c>
      <c r="S210" t="s">
        <v>464</v>
      </c>
    </row>
    <row r="211" spans="17:19" x14ac:dyDescent="0.2">
      <c r="Q211">
        <v>209</v>
      </c>
      <c r="R211" t="s">
        <v>1097</v>
      </c>
      <c r="S211" t="s">
        <v>1098</v>
      </c>
    </row>
    <row r="212" spans="17:19" x14ac:dyDescent="0.2">
      <c r="Q212">
        <v>210</v>
      </c>
      <c r="R212" t="s">
        <v>85</v>
      </c>
      <c r="S212" t="s">
        <v>233</v>
      </c>
    </row>
    <row r="213" spans="17:19" x14ac:dyDescent="0.2">
      <c r="Q213">
        <v>211</v>
      </c>
      <c r="R213" t="s">
        <v>120</v>
      </c>
      <c r="S213" t="s">
        <v>276</v>
      </c>
    </row>
    <row r="214" spans="17:19" x14ac:dyDescent="0.2">
      <c r="Q214">
        <v>212</v>
      </c>
      <c r="R214" t="s">
        <v>160</v>
      </c>
      <c r="S214" t="s">
        <v>321</v>
      </c>
    </row>
    <row r="215" spans="17:19" x14ac:dyDescent="0.2">
      <c r="Q215">
        <v>213</v>
      </c>
      <c r="R215" t="s">
        <v>168</v>
      </c>
      <c r="S215" t="s">
        <v>42</v>
      </c>
    </row>
    <row r="216" spans="17:19" x14ac:dyDescent="0.2">
      <c r="Q216">
        <v>214</v>
      </c>
      <c r="R216" t="s">
        <v>1099</v>
      </c>
      <c r="S216" t="s">
        <v>509</v>
      </c>
    </row>
    <row r="217" spans="17:19" x14ac:dyDescent="0.2">
      <c r="Q217">
        <v>215</v>
      </c>
      <c r="R217" t="s">
        <v>170</v>
      </c>
      <c r="S217" t="s">
        <v>333</v>
      </c>
    </row>
    <row r="218" spans="17:19" x14ac:dyDescent="0.2">
      <c r="Q218">
        <v>216</v>
      </c>
      <c r="R218" t="s">
        <v>161</v>
      </c>
      <c r="S218" t="s">
        <v>322</v>
      </c>
    </row>
    <row r="219" spans="17:19" x14ac:dyDescent="0.2">
      <c r="Q219">
        <v>217</v>
      </c>
      <c r="R219" t="s">
        <v>446</v>
      </c>
      <c r="S219" t="s">
        <v>213</v>
      </c>
    </row>
    <row r="220" spans="17:19" x14ac:dyDescent="0.2">
      <c r="Q220">
        <v>218</v>
      </c>
      <c r="R220" t="s">
        <v>511</v>
      </c>
      <c r="S220" t="s">
        <v>332</v>
      </c>
    </row>
    <row r="221" spans="17:19" x14ac:dyDescent="0.2">
      <c r="Q221">
        <v>219</v>
      </c>
      <c r="R221" t="s">
        <v>981</v>
      </c>
      <c r="S221" t="s">
        <v>343</v>
      </c>
    </row>
    <row r="222" spans="17:19" x14ac:dyDescent="0.2">
      <c r="Q222">
        <v>220</v>
      </c>
      <c r="R222" t="s">
        <v>174</v>
      </c>
      <c r="S222" t="s">
        <v>337</v>
      </c>
    </row>
    <row r="223" spans="17:19" x14ac:dyDescent="0.2">
      <c r="Q223">
        <v>221</v>
      </c>
      <c r="R223" t="s">
        <v>520</v>
      </c>
      <c r="S223" t="s">
        <v>344</v>
      </c>
    </row>
    <row r="224" spans="17:19" x14ac:dyDescent="0.2">
      <c r="Q224">
        <v>222</v>
      </c>
      <c r="R224" t="s">
        <v>173</v>
      </c>
      <c r="S224" t="s">
        <v>336</v>
      </c>
    </row>
    <row r="225" spans="17:19" x14ac:dyDescent="0.2">
      <c r="Q225">
        <v>223</v>
      </c>
      <c r="R225" t="s">
        <v>1100</v>
      </c>
      <c r="S225" t="s">
        <v>1101</v>
      </c>
    </row>
    <row r="226" spans="17:19" x14ac:dyDescent="0.2">
      <c r="Q226">
        <v>224</v>
      </c>
      <c r="R226" t="s">
        <v>172</v>
      </c>
      <c r="S226" t="s">
        <v>335</v>
      </c>
    </row>
    <row r="227" spans="17:19" x14ac:dyDescent="0.2">
      <c r="Q227">
        <v>225</v>
      </c>
      <c r="R227" t="s">
        <v>516</v>
      </c>
      <c r="S227" t="s">
        <v>515</v>
      </c>
    </row>
    <row r="228" spans="17:19" x14ac:dyDescent="0.2">
      <c r="Q228">
        <v>226</v>
      </c>
      <c r="R228" t="s">
        <v>176</v>
      </c>
      <c r="S228" t="s">
        <v>340</v>
      </c>
    </row>
    <row r="229" spans="17:19" x14ac:dyDescent="0.2">
      <c r="Q229">
        <v>227</v>
      </c>
      <c r="R229" t="s">
        <v>1102</v>
      </c>
      <c r="S229" t="s">
        <v>342</v>
      </c>
    </row>
    <row r="230" spans="17:19" x14ac:dyDescent="0.2">
      <c r="Q230">
        <v>228</v>
      </c>
      <c r="R230" t="s">
        <v>517</v>
      </c>
      <c r="S230" t="s">
        <v>339</v>
      </c>
    </row>
    <row r="231" spans="17:19" x14ac:dyDescent="0.2">
      <c r="Q231">
        <v>229</v>
      </c>
      <c r="R231" t="s">
        <v>177</v>
      </c>
      <c r="S231" t="s">
        <v>341</v>
      </c>
    </row>
    <row r="232" spans="17:19" x14ac:dyDescent="0.2">
      <c r="Q232">
        <v>230</v>
      </c>
      <c r="R232" t="s">
        <v>175</v>
      </c>
      <c r="S232" t="s">
        <v>338</v>
      </c>
    </row>
    <row r="233" spans="17:19" x14ac:dyDescent="0.2">
      <c r="Q233">
        <v>231</v>
      </c>
      <c r="R233" t="s">
        <v>1103</v>
      </c>
      <c r="S233" t="s">
        <v>512</v>
      </c>
    </row>
    <row r="234" spans="17:19" x14ac:dyDescent="0.2">
      <c r="Q234">
        <v>232</v>
      </c>
      <c r="R234" t="s">
        <v>519</v>
      </c>
      <c r="S234" t="s">
        <v>518</v>
      </c>
    </row>
    <row r="235" spans="17:19" x14ac:dyDescent="0.2">
      <c r="Q235">
        <v>233</v>
      </c>
      <c r="R235" t="s">
        <v>179</v>
      </c>
      <c r="S235" t="s">
        <v>346</v>
      </c>
    </row>
    <row r="236" spans="17:19" x14ac:dyDescent="0.2">
      <c r="Q236">
        <v>234</v>
      </c>
      <c r="R236" t="s">
        <v>178</v>
      </c>
      <c r="S236" t="s">
        <v>345</v>
      </c>
    </row>
    <row r="237" spans="17:19" x14ac:dyDescent="0.2">
      <c r="Q237">
        <v>235</v>
      </c>
      <c r="R237" t="s">
        <v>43</v>
      </c>
      <c r="S237" t="s">
        <v>187</v>
      </c>
    </row>
    <row r="238" spans="17:19" x14ac:dyDescent="0.2">
      <c r="Q238">
        <v>236</v>
      </c>
      <c r="R238" t="s">
        <v>1104</v>
      </c>
      <c r="S238" t="s">
        <v>239</v>
      </c>
    </row>
    <row r="239" spans="17:19" x14ac:dyDescent="0.2">
      <c r="Q239">
        <v>237</v>
      </c>
      <c r="R239" t="s">
        <v>180</v>
      </c>
      <c r="S239" t="s">
        <v>347</v>
      </c>
    </row>
    <row r="240" spans="17:19" x14ac:dyDescent="0.2">
      <c r="Q240">
        <v>238</v>
      </c>
      <c r="R240" t="s">
        <v>522</v>
      </c>
      <c r="S240" t="s">
        <v>521</v>
      </c>
    </row>
    <row r="241" spans="17:19" x14ac:dyDescent="0.2">
      <c r="Q241">
        <v>239</v>
      </c>
      <c r="R241" t="s">
        <v>181</v>
      </c>
      <c r="S241" t="s">
        <v>348</v>
      </c>
    </row>
    <row r="242" spans="17:19" x14ac:dyDescent="0.2">
      <c r="Q242">
        <v>240</v>
      </c>
      <c r="R242" t="s">
        <v>182</v>
      </c>
      <c r="S242" t="s">
        <v>349</v>
      </c>
    </row>
    <row r="243" spans="17:19" x14ac:dyDescent="0.2">
      <c r="Q243">
        <v>241</v>
      </c>
      <c r="R243" t="s">
        <v>529</v>
      </c>
      <c r="S243" t="s">
        <v>528</v>
      </c>
    </row>
    <row r="244" spans="17:19" x14ac:dyDescent="0.2">
      <c r="Q244">
        <v>242</v>
      </c>
      <c r="R244" t="s">
        <v>1105</v>
      </c>
      <c r="S244" t="s">
        <v>350</v>
      </c>
    </row>
    <row r="245" spans="17:19" x14ac:dyDescent="0.2">
      <c r="Q245">
        <v>243</v>
      </c>
      <c r="R245" t="s">
        <v>527</v>
      </c>
      <c r="S245" t="s">
        <v>351</v>
      </c>
    </row>
    <row r="246" spans="17:19" x14ac:dyDescent="0.2">
      <c r="Q246">
        <v>244</v>
      </c>
      <c r="R246" t="s">
        <v>1106</v>
      </c>
      <c r="S246" t="s">
        <v>525</v>
      </c>
    </row>
    <row r="247" spans="17:19" x14ac:dyDescent="0.2">
      <c r="Q247">
        <v>245</v>
      </c>
      <c r="R247" t="s">
        <v>1107</v>
      </c>
      <c r="S247" t="s">
        <v>526</v>
      </c>
    </row>
    <row r="248" spans="17:19" x14ac:dyDescent="0.2">
      <c r="Q248">
        <v>246</v>
      </c>
      <c r="R248" t="s">
        <v>1108</v>
      </c>
      <c r="S248" t="s">
        <v>530</v>
      </c>
    </row>
    <row r="249" spans="17:19" x14ac:dyDescent="0.2">
      <c r="Q249">
        <v>247</v>
      </c>
      <c r="R249" t="s">
        <v>453</v>
      </c>
      <c r="S249" t="s">
        <v>452</v>
      </c>
    </row>
    <row r="250" spans="17:19" x14ac:dyDescent="0.2">
      <c r="Q250">
        <v>248</v>
      </c>
      <c r="R250" t="s">
        <v>183</v>
      </c>
      <c r="S250" t="s">
        <v>352</v>
      </c>
    </row>
    <row r="251" spans="17:19" x14ac:dyDescent="0.2">
      <c r="Q251">
        <v>249</v>
      </c>
      <c r="R251" t="s">
        <v>185</v>
      </c>
      <c r="S251" t="s">
        <v>354</v>
      </c>
    </row>
    <row r="252" spans="17:19" x14ac:dyDescent="0.2">
      <c r="Q252">
        <v>250</v>
      </c>
      <c r="R252" t="s">
        <v>186</v>
      </c>
      <c r="S252" t="s">
        <v>355</v>
      </c>
    </row>
  </sheetData>
  <sheetProtection selectLockedCells="1"/>
  <phoneticPr fontId="4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05">
    <tabColor theme="0"/>
    <pageSetUpPr fitToPage="1"/>
  </sheetPr>
  <dimension ref="A1:F46"/>
  <sheetViews>
    <sheetView showGridLines="0" showRowColHeaders="0" tabSelected="1" showRuler="0" zoomScaleNormal="100" workbookViewId="0">
      <selection activeCell="B12" sqref="B12:D12"/>
    </sheetView>
  </sheetViews>
  <sheetFormatPr defaultColWidth="11.42578125" defaultRowHeight="15.75" customHeight="1" x14ac:dyDescent="0.2"/>
  <cols>
    <col min="1" max="1" width="39.7109375" style="54" customWidth="1"/>
    <col min="2" max="3" width="16.7109375" style="3" customWidth="1"/>
    <col min="4" max="4" width="16.7109375" style="7" customWidth="1"/>
    <col min="5" max="6" width="20.7109375" style="3" customWidth="1"/>
    <col min="7" max="16384" width="11.42578125" style="3"/>
  </cols>
  <sheetData>
    <row r="1" spans="1:6" s="93" customFormat="1" ht="15.75" customHeight="1" thickBot="1" x14ac:dyDescent="0.25">
      <c r="A1" s="489" t="str">
        <f>Language!B3</f>
        <v>Spread sheet explanation</v>
      </c>
      <c r="B1" s="490"/>
      <c r="C1" s="490"/>
      <c r="D1" s="490"/>
      <c r="E1" s="490"/>
      <c r="F1" s="491"/>
    </row>
    <row r="2" spans="1:6" ht="15.75" customHeight="1" x14ac:dyDescent="0.2">
      <c r="A2" s="496"/>
      <c r="B2" s="496"/>
      <c r="C2" s="496"/>
      <c r="D2" s="496"/>
      <c r="E2" s="496"/>
      <c r="F2" s="496"/>
    </row>
    <row r="3" spans="1:6" ht="15.75" customHeight="1" x14ac:dyDescent="0.2">
      <c r="A3" s="492" t="str">
        <f>Language!B5</f>
        <v xml:space="preserve">Please fill in the coloured cells. </v>
      </c>
      <c r="B3" s="492"/>
      <c r="C3" s="492"/>
      <c r="D3" s="492"/>
      <c r="E3" s="492"/>
      <c r="F3" s="492"/>
    </row>
    <row r="4" spans="1:6" ht="15.75" customHeight="1" x14ac:dyDescent="0.2">
      <c r="A4" s="492" t="str">
        <f>Language!B6</f>
        <v>Your document name will be in cell B25</v>
      </c>
      <c r="B4" s="492"/>
      <c r="C4" s="492"/>
      <c r="D4" s="492"/>
      <c r="E4" s="492"/>
      <c r="F4" s="492"/>
    </row>
    <row r="5" spans="1:6" ht="15.75" customHeight="1" x14ac:dyDescent="0.2">
      <c r="A5" s="492" t="str">
        <f>Language!B7</f>
        <v>You can use this format to name your document.</v>
      </c>
      <c r="B5" s="492"/>
      <c r="C5" s="492"/>
      <c r="D5" s="492"/>
      <c r="E5" s="492"/>
      <c r="F5" s="492"/>
    </row>
    <row r="6" spans="1:6" ht="15.75" customHeight="1" x14ac:dyDescent="0.2">
      <c r="A6" s="492"/>
      <c r="B6" s="492"/>
      <c r="C6" s="492"/>
      <c r="D6" s="492"/>
      <c r="E6" s="492"/>
      <c r="F6" s="492"/>
    </row>
    <row r="7" spans="1:6" ht="15.75" customHeight="1" x14ac:dyDescent="0.2">
      <c r="A7" s="492" t="str">
        <f>Language!B9</f>
        <v>Every calculation and graph will generate themselves from the data</v>
      </c>
      <c r="B7" s="492"/>
      <c r="C7" s="492"/>
      <c r="D7" s="492"/>
      <c r="E7" s="492"/>
      <c r="F7" s="492"/>
    </row>
    <row r="8" spans="1:6" ht="15.75" customHeight="1" x14ac:dyDescent="0.2">
      <c r="A8" s="492" t="str">
        <f>Language!B10</f>
        <v xml:space="preserve"> entered in "input general", "input rearing" and "input laying" worksheets.</v>
      </c>
      <c r="B8" s="492"/>
      <c r="C8" s="492"/>
      <c r="D8" s="492"/>
      <c r="E8" s="492"/>
      <c r="F8" s="492"/>
    </row>
    <row r="9" spans="1:6" ht="15.75" customHeight="1" thickBot="1" x14ac:dyDescent="0.25">
      <c r="A9" s="324"/>
      <c r="B9" s="324"/>
      <c r="C9" s="324"/>
      <c r="D9" s="324"/>
      <c r="E9" s="324"/>
      <c r="F9" s="324"/>
    </row>
    <row r="10" spans="1:6" s="93" customFormat="1" ht="15.75" customHeight="1" thickBot="1" x14ac:dyDescent="0.25">
      <c r="A10" s="489" t="str">
        <f>Language!B8</f>
        <v>Required informations</v>
      </c>
      <c r="B10" s="490"/>
      <c r="C10" s="490"/>
      <c r="D10" s="490"/>
      <c r="E10" s="490"/>
      <c r="F10" s="491"/>
    </row>
    <row r="11" spans="1:6" ht="15.75" customHeight="1" thickBot="1" x14ac:dyDescent="0.25">
      <c r="A11" s="53"/>
      <c r="B11" s="51"/>
      <c r="C11" s="51"/>
      <c r="D11" s="51"/>
      <c r="E11" s="51"/>
      <c r="F11" s="51"/>
    </row>
    <row r="12" spans="1:6" ht="15.75" customHeight="1" thickBot="1" x14ac:dyDescent="0.25">
      <c r="A12" s="96" t="s">
        <v>5131</v>
      </c>
      <c r="B12" s="493" t="s">
        <v>2131</v>
      </c>
      <c r="C12" s="494"/>
      <c r="D12" s="495"/>
      <c r="E12" s="51"/>
      <c r="F12" s="51"/>
    </row>
    <row r="13" spans="1:6" ht="15.75" customHeight="1" thickBot="1" x14ac:dyDescent="0.25">
      <c r="A13" s="97"/>
      <c r="B13" s="73"/>
      <c r="C13" s="73"/>
      <c r="D13" s="73"/>
      <c r="E13" s="51"/>
      <c r="F13" s="51"/>
    </row>
    <row r="14" spans="1:6" ht="15.75" customHeight="1" thickBot="1" x14ac:dyDescent="0.25">
      <c r="A14" s="96" t="str">
        <f>Language!B11</f>
        <v>Hatch date</v>
      </c>
      <c r="B14" s="466"/>
      <c r="C14" s="467"/>
      <c r="D14" s="468"/>
      <c r="E14" s="47"/>
      <c r="F14" s="48"/>
    </row>
    <row r="15" spans="1:6" s="4" customFormat="1" ht="15.75" customHeight="1" x14ac:dyDescent="0.2">
      <c r="A15" s="96"/>
      <c r="B15" s="469">
        <f>B14</f>
        <v>0</v>
      </c>
      <c r="C15" s="469"/>
      <c r="D15" s="469"/>
    </row>
    <row r="16" spans="1:6" s="4" customFormat="1" ht="15.75" customHeight="1" thickBot="1" x14ac:dyDescent="0.25">
      <c r="A16" s="96"/>
      <c r="B16" s="74"/>
      <c r="C16" s="74"/>
      <c r="D16" s="74"/>
      <c r="E16" s="488" t="str">
        <f>UPPER(Std!B1)</f>
        <v>ISA BROWN BAIADA ALT 2021</v>
      </c>
      <c r="F16" s="488"/>
    </row>
    <row r="17" spans="1:6" s="4" customFormat="1" ht="15.75" customHeight="1" x14ac:dyDescent="0.2">
      <c r="A17" s="96" t="str">
        <f>Language!B12</f>
        <v>Breed</v>
      </c>
      <c r="B17" s="479" t="s">
        <v>365</v>
      </c>
      <c r="C17" s="480"/>
      <c r="D17" s="481"/>
    </row>
    <row r="18" spans="1:6" ht="15.75" customHeight="1" x14ac:dyDescent="0.2">
      <c r="A18" s="96" t="str">
        <f>Language!B13</f>
        <v>Housing system during laying period</v>
      </c>
      <c r="B18" s="485"/>
      <c r="C18" s="486"/>
      <c r="D18" s="487"/>
      <c r="E18" s="6"/>
      <c r="F18" s="5"/>
    </row>
    <row r="19" spans="1:6" ht="15.75" customHeight="1" x14ac:dyDescent="0.2">
      <c r="A19" s="96" t="str">
        <f>Language!B14</f>
        <v>Company name / Egg Organisation</v>
      </c>
      <c r="B19" s="457"/>
      <c r="C19" s="458"/>
      <c r="D19" s="459"/>
      <c r="E19" s="6"/>
      <c r="F19" s="5"/>
    </row>
    <row r="20" spans="1:6" ht="15.75" customHeight="1" x14ac:dyDescent="0.2">
      <c r="A20" s="96" t="str">
        <f>Language!B15</f>
        <v>Laying farm name</v>
      </c>
      <c r="B20" s="457"/>
      <c r="C20" s="458"/>
      <c r="D20" s="459"/>
      <c r="E20" s="6"/>
      <c r="F20" s="5"/>
    </row>
    <row r="21" spans="1:6" ht="15.75" customHeight="1" x14ac:dyDescent="0.2">
      <c r="A21" s="96" t="str">
        <f>Language!B16</f>
        <v>House No. during laying period</v>
      </c>
      <c r="B21" s="457"/>
      <c r="C21" s="458"/>
      <c r="D21" s="459"/>
      <c r="E21" s="6"/>
      <c r="F21" s="5"/>
    </row>
    <row r="22" spans="1:6" ht="15.75" customHeight="1" x14ac:dyDescent="0.2">
      <c r="A22" s="96" t="str">
        <f>Language!B17</f>
        <v>Country</v>
      </c>
      <c r="B22" s="460"/>
      <c r="C22" s="461"/>
      <c r="D22" s="462"/>
      <c r="E22" s="6"/>
      <c r="F22" s="5"/>
    </row>
    <row r="23" spans="1:6" ht="15.75" customHeight="1" x14ac:dyDescent="0.2">
      <c r="A23" s="95" t="str">
        <f>Language!B18</f>
        <v>Currency</v>
      </c>
      <c r="B23" s="473"/>
      <c r="C23" s="473"/>
      <c r="D23" s="474"/>
      <c r="E23" s="5"/>
      <c r="F23" s="5"/>
    </row>
    <row r="24" spans="1:6" ht="15.75" customHeight="1" thickBot="1" x14ac:dyDescent="0.25">
      <c r="A24" s="95" t="str">
        <f>Language!B19</f>
        <v>Technical contact (e-mail)</v>
      </c>
      <c r="B24" s="482"/>
      <c r="C24" s="483"/>
      <c r="D24" s="484"/>
      <c r="E24" s="5"/>
      <c r="F24" s="5" t="s">
        <v>5205</v>
      </c>
    </row>
    <row r="25" spans="1:6" ht="15.75" customHeight="1" thickBot="1" x14ac:dyDescent="0.25">
      <c r="B25" s="475" t="str">
        <f>IF(Std!A2="","",HYPERLINK(Std!A2,Std!A2))</f>
        <v/>
      </c>
      <c r="C25" s="475"/>
      <c r="D25" s="475"/>
      <c r="F25" s="4"/>
    </row>
    <row r="26" spans="1:6" s="93" customFormat="1" ht="15.75" customHeight="1" thickBot="1" x14ac:dyDescent="0.25">
      <c r="A26" s="92" t="str">
        <f>Language!B20</f>
        <v>File name</v>
      </c>
      <c r="B26" s="476" t="str">
        <f>CONCATENATE(Diverse!C2,Diverse!E2,Diverse!H2," ",B17," ",Diverse!O2," ",B19," - ",B20," ",B21," ",Diverse!S2)</f>
        <v xml:space="preserve">000100 ISA BROWN   -   </v>
      </c>
      <c r="C26" s="477"/>
      <c r="D26" s="477"/>
      <c r="E26" s="477"/>
      <c r="F26" s="478"/>
    </row>
    <row r="27" spans="1:6" ht="15.75" customHeight="1" thickBot="1" x14ac:dyDescent="0.25">
      <c r="A27" s="55"/>
      <c r="F27" s="4"/>
    </row>
    <row r="28" spans="1:6" s="93" customFormat="1" ht="15.75" customHeight="1" thickBot="1" x14ac:dyDescent="0.25">
      <c r="A28" s="94" t="str">
        <f>Language!B23</f>
        <v>Available sheets</v>
      </c>
      <c r="B28" s="470" t="str">
        <f>Language!B38</f>
        <v>Content</v>
      </c>
      <c r="C28" s="471"/>
      <c r="D28" s="471"/>
      <c r="E28" s="471"/>
      <c r="F28" s="472"/>
    </row>
    <row r="29" spans="1:6" ht="15.75" customHeight="1" x14ac:dyDescent="0.2">
      <c r="A29" s="98" t="str">
        <f>Language!B24</f>
        <v>Input rearing</v>
      </c>
      <c r="B29" s="463" t="str">
        <f>Language!B39</f>
        <v>Daily and weekly mortality, body weight, consumptions and light programs.</v>
      </c>
      <c r="C29" s="464"/>
      <c r="D29" s="464"/>
      <c r="E29" s="464"/>
      <c r="F29" s="465"/>
    </row>
    <row r="30" spans="1:6" ht="15.75" customHeight="1" x14ac:dyDescent="0.2">
      <c r="A30" s="98" t="str">
        <f>Language!B25</f>
        <v>Rearing graph</v>
      </c>
      <c r="B30" s="451" t="str">
        <f>Language!B40</f>
        <v>Mortality, feed consumption, body weight and uniformity</v>
      </c>
      <c r="C30" s="452"/>
      <c r="D30" s="452"/>
      <c r="E30" s="452"/>
      <c r="F30" s="453"/>
    </row>
    <row r="31" spans="1:6" ht="15.75" customHeight="1" x14ac:dyDescent="0.2">
      <c r="A31" s="98" t="str">
        <f>Language!B26</f>
        <v>Input Laying</v>
      </c>
      <c r="B31" s="451" t="str">
        <f>Language!B41</f>
        <v>Daily and weekly production, weekly egg and body weights, consumptions and feed price.</v>
      </c>
      <c r="C31" s="452"/>
      <c r="D31" s="452"/>
      <c r="E31" s="452"/>
      <c r="F31" s="453"/>
    </row>
    <row r="32" spans="1:6" ht="15.75" customHeight="1" x14ac:dyDescent="0.2">
      <c r="A32" s="98" t="str">
        <f>Language!B27</f>
        <v>Laying graph</v>
      </c>
      <c r="B32" s="451" t="str">
        <f>Language!B42</f>
        <v>Liveability, % lay, egg weight and body weight</v>
      </c>
      <c r="C32" s="452"/>
      <c r="D32" s="452"/>
      <c r="E32" s="452"/>
      <c r="F32" s="453"/>
    </row>
    <row r="33" spans="1:6" ht="15.75" customHeight="1" x14ac:dyDescent="0.2">
      <c r="A33" s="98" t="str">
        <f>Language!B28</f>
        <v>Mass &amp; cons graph</v>
      </c>
      <c r="B33" s="451" t="str">
        <f>Language!B43</f>
        <v>Egg mass, consumption and cum. egg no.</v>
      </c>
      <c r="C33" s="452"/>
      <c r="D33" s="452"/>
      <c r="E33" s="452"/>
      <c r="F33" s="453"/>
    </row>
    <row r="34" spans="1:6" ht="15.75" customHeight="1" x14ac:dyDescent="0.2">
      <c r="A34" s="98" t="str">
        <f>Language!B29</f>
        <v>FCR graph</v>
      </c>
      <c r="B34" s="451" t="str">
        <f>Language!B44</f>
        <v>Feed conversion ratio and feed conversion/egg</v>
      </c>
      <c r="C34" s="452"/>
      <c r="D34" s="452"/>
      <c r="E34" s="452"/>
      <c r="F34" s="453"/>
    </row>
    <row r="35" spans="1:6" ht="15.75" customHeight="1" x14ac:dyDescent="0.2">
      <c r="A35" s="98" t="str">
        <f>Language!B30</f>
        <v>Down grading graph</v>
      </c>
      <c r="B35" s="451" t="str">
        <f>Language!B45</f>
        <v>Downgrading farm and packing station, weekly and cum.</v>
      </c>
      <c r="C35" s="452"/>
      <c r="D35" s="452"/>
      <c r="E35" s="452"/>
      <c r="F35" s="453"/>
    </row>
    <row r="36" spans="1:6" ht="15.75" customHeight="1" x14ac:dyDescent="0.2">
      <c r="A36" s="98" t="str">
        <f>Language!B31</f>
        <v>Egg grading</v>
      </c>
      <c r="B36" s="451" t="str">
        <f>Language!B46</f>
        <v>Egg weight distribution and number of eggs produced per grading</v>
      </c>
      <c r="C36" s="452"/>
      <c r="D36" s="452"/>
      <c r="E36" s="452"/>
      <c r="F36" s="453"/>
    </row>
    <row r="37" spans="1:6" ht="15.75" customHeight="1" x14ac:dyDescent="0.2">
      <c r="A37" s="98" t="str">
        <f>Language!B32</f>
        <v>Egg grading distribution graph</v>
      </c>
      <c r="B37" s="451" t="str">
        <f>Language!B47</f>
        <v>% egg grading repartion.</v>
      </c>
      <c r="C37" s="452"/>
      <c r="D37" s="452"/>
      <c r="E37" s="452"/>
      <c r="F37" s="453"/>
    </row>
    <row r="38" spans="1:6" ht="15.75" customHeight="1" x14ac:dyDescent="0.2">
      <c r="A38" s="98" t="str">
        <f>Language!B34</f>
        <v>Financial sheet</v>
      </c>
      <c r="B38" s="451" t="str">
        <f>Language!B49</f>
        <v>Weekly feed cost in ton, kg, egg and bird.</v>
      </c>
      <c r="C38" s="452"/>
      <c r="D38" s="452"/>
      <c r="E38" s="452"/>
      <c r="F38" s="453"/>
    </row>
    <row r="39" spans="1:6" ht="15.75" customHeight="1" x14ac:dyDescent="0.2">
      <c r="A39" s="98" t="str">
        <f>Language!B35</f>
        <v>Production data</v>
      </c>
      <c r="B39" s="451" t="str">
        <f>Language!B50</f>
        <v>Production chart, overview of the flock performance every week</v>
      </c>
      <c r="C39" s="452"/>
      <c r="D39" s="452"/>
      <c r="E39" s="452"/>
      <c r="F39" s="453"/>
    </row>
    <row r="40" spans="1:6" ht="15.75" customHeight="1" thickBot="1" x14ac:dyDescent="0.25">
      <c r="A40" s="99" t="str">
        <f>Language!B36</f>
        <v>Summary</v>
      </c>
      <c r="B40" s="454" t="str">
        <f>Language!B51</f>
        <v>Detailed overview of the flock performance during the laying period every 5 weeks</v>
      </c>
      <c r="C40" s="455"/>
      <c r="D40" s="455"/>
      <c r="E40" s="455"/>
      <c r="F40" s="456"/>
    </row>
    <row r="41" spans="1:6" ht="15.75" customHeight="1" thickBot="1" x14ac:dyDescent="0.25">
      <c r="A41" s="57"/>
      <c r="B41" s="8"/>
      <c r="C41" s="8"/>
      <c r="D41" s="9"/>
      <c r="E41" s="8"/>
      <c r="F41" s="10"/>
    </row>
    <row r="42" spans="1:6" ht="15.75" customHeight="1" x14ac:dyDescent="0.2">
      <c r="A42" s="230" t="str">
        <f>Language!B56</f>
        <v>We would be very pleased to receive your results</v>
      </c>
      <c r="B42" s="231"/>
      <c r="C42" s="231"/>
      <c r="D42" s="231"/>
      <c r="E42" s="231"/>
      <c r="F42" s="232"/>
    </row>
    <row r="43" spans="1:6" ht="15.75" customHeight="1" x14ac:dyDescent="0.2">
      <c r="A43" s="236" t="str">
        <f>Language!B57</f>
        <v>In order to create overviews of different breeds and compare their performances.</v>
      </c>
      <c r="B43" s="237"/>
      <c r="C43" s="237"/>
      <c r="D43" s="237"/>
      <c r="E43" s="237"/>
      <c r="F43" s="238"/>
    </row>
    <row r="44" spans="1:6" ht="15.75" customHeight="1" x14ac:dyDescent="0.2">
      <c r="A44" s="233"/>
      <c r="B44" s="234"/>
      <c r="C44" s="234"/>
      <c r="D44" s="234"/>
      <c r="E44" s="234"/>
      <c r="F44" s="235"/>
    </row>
    <row r="45" spans="1:6" ht="15.75" customHeight="1" thickBot="1" x14ac:dyDescent="0.25">
      <c r="A45" s="227" t="str">
        <f>Language!B59</f>
        <v xml:space="preserve">Please send this document to: isa.technicalfieldresults@hendrix-genetics.com </v>
      </c>
      <c r="B45" s="228"/>
      <c r="C45" s="228"/>
      <c r="D45" s="228"/>
      <c r="E45" s="228"/>
      <c r="F45" s="229"/>
    </row>
    <row r="46" spans="1:6" ht="15.75" customHeight="1" x14ac:dyDescent="0.2">
      <c r="D46" s="7" t="str">
        <f>IF(GHOST_SHEET!B26=0,"",GHOST_SHEET!B26)</f>
        <v/>
      </c>
      <c r="E46" s="100" t="str">
        <f>Language!B60</f>
        <v>Version:</v>
      </c>
      <c r="F46" s="302" t="str">
        <f>GHOST_SHEET!B9</f>
        <v>919071L</v>
      </c>
    </row>
  </sheetData>
  <sheetProtection selectLockedCells="1"/>
  <dataConsolidate link="1"/>
  <mergeCells count="36">
    <mergeCell ref="A1:F1"/>
    <mergeCell ref="A2:F2"/>
    <mergeCell ref="A3:F3"/>
    <mergeCell ref="A4:F4"/>
    <mergeCell ref="A5:F5"/>
    <mergeCell ref="A10:F10"/>
    <mergeCell ref="A6:F6"/>
    <mergeCell ref="A7:F7"/>
    <mergeCell ref="A8:F8"/>
    <mergeCell ref="B12:D12"/>
    <mergeCell ref="B14:D14"/>
    <mergeCell ref="B15:D15"/>
    <mergeCell ref="B28:F28"/>
    <mergeCell ref="B23:D23"/>
    <mergeCell ref="B25:D25"/>
    <mergeCell ref="B26:F26"/>
    <mergeCell ref="B17:D17"/>
    <mergeCell ref="B19:D19"/>
    <mergeCell ref="B20:D20"/>
    <mergeCell ref="B24:D24"/>
    <mergeCell ref="B18:D18"/>
    <mergeCell ref="E16:F16"/>
    <mergeCell ref="B34:F34"/>
    <mergeCell ref="B21:D21"/>
    <mergeCell ref="B22:D22"/>
    <mergeCell ref="B32:F32"/>
    <mergeCell ref="B30:F30"/>
    <mergeCell ref="B31:F31"/>
    <mergeCell ref="B29:F29"/>
    <mergeCell ref="B33:F33"/>
    <mergeCell ref="B38:F38"/>
    <mergeCell ref="B39:F39"/>
    <mergeCell ref="B40:F40"/>
    <mergeCell ref="B36:F36"/>
    <mergeCell ref="B35:F35"/>
    <mergeCell ref="B37:F37"/>
  </mergeCells>
  <dataValidations count="5">
    <dataValidation prompt="_x000a__x000a_" sqref="B17:D17" xr:uid="{00000000-0002-0000-0600-000000000000}"/>
    <dataValidation type="list" allowBlank="1" showInputMessage="1" showErrorMessage="1" sqref="B18:D18" xr:uid="{00000000-0002-0000-0600-000001000000}">
      <formula1>HOUSINGLAY</formula1>
    </dataValidation>
    <dataValidation type="list" allowBlank="1" showInputMessage="1" showErrorMessage="1" sqref="B12:D12" xr:uid="{00000000-0002-0000-0600-000002000000}">
      <formula1>Languages</formula1>
    </dataValidation>
    <dataValidation type="list" allowBlank="1" showInputMessage="1" showErrorMessage="1" sqref="B22:D22" xr:uid="{00000000-0002-0000-0600-000003000000}">
      <formula1>COUNTRIES</formula1>
    </dataValidation>
    <dataValidation type="date" allowBlank="1" showInputMessage="1" showErrorMessage="1" sqref="B14:D14" xr:uid="{00000000-0002-0000-0600-000004000000}">
      <formula1>1</formula1>
      <formula2>109575</formula2>
    </dataValidation>
  </dataValidations>
  <pageMargins left="0.7" right="0.7" top="0.75" bottom="0.75" header="0.3" footer="0.3"/>
  <pageSetup paperSize="9" scale="6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06">
    <tabColor theme="1"/>
    <pageSetUpPr fitToPage="1"/>
  </sheetPr>
  <dimension ref="A1:AM150"/>
  <sheetViews>
    <sheetView showGridLines="0" zoomScale="85" zoomScaleNormal="85" workbookViewId="0">
      <pane xSplit="4" ySplit="11" topLeftCell="E12" activePane="bottomRight" state="frozen"/>
      <selection pane="topRight" activeCell="D1" sqref="D1"/>
      <selection pane="bottomLeft" activeCell="A12" sqref="A12"/>
      <selection pane="bottomRight" activeCell="L2" sqref="L2"/>
    </sheetView>
  </sheetViews>
  <sheetFormatPr defaultColWidth="10.7109375" defaultRowHeight="15.75" customHeight="1" x14ac:dyDescent="0.2"/>
  <cols>
    <col min="1" max="1" width="15.7109375" style="14" customWidth="1"/>
    <col min="2" max="2" width="10.85546875" style="14" customWidth="1"/>
    <col min="3" max="3" width="10.7109375" style="14" customWidth="1"/>
    <col min="4" max="5" width="10.7109375" style="14"/>
    <col min="6" max="6" width="10.7109375" style="14" customWidth="1"/>
    <col min="7" max="15" width="10.7109375" style="14"/>
    <col min="16" max="16" width="10.7109375" style="14" customWidth="1"/>
    <col min="17" max="16384" width="10.7109375" style="14"/>
  </cols>
  <sheetData>
    <row r="1" spans="1:38" ht="15.75" customHeight="1" x14ac:dyDescent="0.2">
      <c r="A1" s="516" t="str">
        <f>Language!B86</f>
        <v>Rearing farm name</v>
      </c>
      <c r="B1" s="517"/>
      <c r="C1" s="517"/>
      <c r="D1" s="517"/>
      <c r="E1" s="517"/>
      <c r="F1" s="518"/>
      <c r="G1" s="525"/>
      <c r="H1" s="526"/>
      <c r="I1" s="526"/>
      <c r="J1" s="526"/>
      <c r="K1" s="527"/>
      <c r="P1" s="515" t="str">
        <f>Language!B61&amp;" - "&amp;Std!B1</f>
        <v>Rearing input - ISA BROWN Baiada ALT 2021</v>
      </c>
      <c r="Q1" s="515"/>
      <c r="R1" s="515"/>
      <c r="S1" s="515"/>
      <c r="T1" s="515"/>
      <c r="U1" s="515"/>
      <c r="V1" s="515"/>
      <c r="W1" s="515"/>
      <c r="X1" s="515"/>
      <c r="Y1" s="515"/>
      <c r="Z1" s="515"/>
      <c r="AA1" s="333"/>
      <c r="AB1" s="62"/>
    </row>
    <row r="2" spans="1:38" ht="15.75" customHeight="1" x14ac:dyDescent="0.2">
      <c r="A2" s="519" t="str">
        <f>Language!B11</f>
        <v>Hatch date</v>
      </c>
      <c r="B2" s="520"/>
      <c r="C2" s="520"/>
      <c r="D2" s="520"/>
      <c r="E2" s="520"/>
      <c r="F2" s="521"/>
      <c r="G2" s="528">
        <f>'General Input'!B14</f>
        <v>0</v>
      </c>
      <c r="H2" s="529"/>
      <c r="I2" s="529"/>
      <c r="J2" s="529"/>
      <c r="K2" s="530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333"/>
      <c r="AB2" s="62"/>
    </row>
    <row r="3" spans="1:38" ht="15.75" customHeight="1" x14ac:dyDescent="0.2">
      <c r="A3" s="519" t="str">
        <f>Language!B87</f>
        <v>Number of day old chickens</v>
      </c>
      <c r="B3" s="520"/>
      <c r="C3" s="520"/>
      <c r="D3" s="520"/>
      <c r="E3" s="520"/>
      <c r="F3" s="521"/>
      <c r="G3" s="531">
        <v>10000</v>
      </c>
      <c r="H3" s="532"/>
      <c r="I3" s="532"/>
      <c r="J3" s="532"/>
      <c r="K3" s="533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333"/>
      <c r="AB3" s="15"/>
    </row>
    <row r="4" spans="1:38" ht="15.75" customHeight="1" x14ac:dyDescent="0.2">
      <c r="A4" s="519" t="str">
        <f>Language!B12</f>
        <v>Breed</v>
      </c>
      <c r="B4" s="520"/>
      <c r="C4" s="520"/>
      <c r="D4" s="520"/>
      <c r="E4" s="520"/>
      <c r="F4" s="521"/>
      <c r="G4" s="534" t="str">
        <f>IF('General Input'!B17="","",'General Input'!B17)</f>
        <v>ISA BROWN</v>
      </c>
      <c r="H4" s="535"/>
      <c r="I4" s="535"/>
      <c r="J4" s="535"/>
      <c r="K4" s="536"/>
      <c r="P4" s="515"/>
      <c r="Q4" s="515"/>
      <c r="R4" s="515"/>
      <c r="S4" s="515"/>
      <c r="T4" s="515"/>
      <c r="U4" s="515"/>
      <c r="V4" s="515"/>
      <c r="W4" s="515"/>
      <c r="X4" s="515"/>
      <c r="Y4" s="515"/>
      <c r="Z4" s="515"/>
      <c r="AA4" s="333"/>
      <c r="AB4" s="15"/>
    </row>
    <row r="5" spans="1:38" ht="15.75" customHeight="1" x14ac:dyDescent="0.2">
      <c r="A5" s="522" t="str">
        <f>Language!B88</f>
        <v>Housing system</v>
      </c>
      <c r="B5" s="523"/>
      <c r="C5" s="523"/>
      <c r="D5" s="523"/>
      <c r="E5" s="523"/>
      <c r="F5" s="524"/>
      <c r="G5" s="556"/>
      <c r="H5" s="557"/>
      <c r="I5" s="557"/>
      <c r="J5" s="557"/>
      <c r="K5" s="558"/>
      <c r="P5" s="515"/>
      <c r="Q5" s="515"/>
      <c r="R5" s="515"/>
      <c r="S5" s="515"/>
      <c r="T5" s="515"/>
      <c r="U5" s="515"/>
      <c r="V5" s="515"/>
      <c r="W5" s="515"/>
      <c r="X5" s="515"/>
      <c r="Y5" s="515"/>
      <c r="Z5" s="515"/>
      <c r="AA5" s="38"/>
      <c r="AB5" s="17"/>
    </row>
    <row r="6" spans="1:38" ht="15.75" customHeight="1" x14ac:dyDescent="0.2">
      <c r="A6" s="550" t="str">
        <f>Language!B89</f>
        <v>Flock no. :</v>
      </c>
      <c r="B6" s="551"/>
      <c r="C6" s="551"/>
      <c r="D6" s="551"/>
      <c r="E6" s="551"/>
      <c r="F6" s="552"/>
      <c r="G6" s="537"/>
      <c r="H6" s="538"/>
      <c r="I6" s="538"/>
      <c r="J6" s="538"/>
      <c r="K6" s="539"/>
      <c r="P6" s="515"/>
      <c r="Q6" s="515"/>
      <c r="R6" s="515"/>
      <c r="S6" s="515"/>
      <c r="T6" s="515"/>
      <c r="U6" s="515"/>
      <c r="V6" s="515"/>
      <c r="W6" s="515"/>
      <c r="X6" s="515"/>
      <c r="Y6" s="515"/>
      <c r="Z6" s="515"/>
      <c r="AA6" s="38"/>
      <c r="AB6" s="18"/>
    </row>
    <row r="7" spans="1:38" ht="15.75" customHeight="1" thickBot="1" x14ac:dyDescent="0.25">
      <c r="A7" s="553" t="str">
        <f>Language!B90</f>
        <v>House no.</v>
      </c>
      <c r="B7" s="554"/>
      <c r="C7" s="554"/>
      <c r="D7" s="554"/>
      <c r="E7" s="554"/>
      <c r="F7" s="555"/>
      <c r="G7" s="547"/>
      <c r="H7" s="548"/>
      <c r="I7" s="548"/>
      <c r="J7" s="548"/>
      <c r="K7" s="549"/>
      <c r="P7" s="515"/>
      <c r="Q7" s="515"/>
      <c r="R7" s="515"/>
      <c r="S7" s="515"/>
      <c r="T7" s="515"/>
      <c r="U7" s="515"/>
      <c r="V7" s="515"/>
      <c r="W7" s="515"/>
      <c r="X7" s="515"/>
      <c r="Y7" s="515"/>
      <c r="Z7" s="515"/>
      <c r="AA7" s="39"/>
      <c r="AB7" s="19"/>
    </row>
    <row r="8" spans="1:38" ht="15.75" hidden="1" customHeight="1" thickBot="1" x14ac:dyDescent="0.25">
      <c r="T8" s="15"/>
      <c r="U8" s="15"/>
      <c r="V8" s="15"/>
      <c r="W8" s="15"/>
    </row>
    <row r="9" spans="1:38" s="90" customFormat="1" ht="15.75" customHeight="1" x14ac:dyDescent="0.2">
      <c r="A9" s="540" t="str">
        <f>Language!B62</f>
        <v>Date</v>
      </c>
      <c r="B9" s="506" t="str">
        <f>Language!B63</f>
        <v>Age</v>
      </c>
      <c r="C9" s="507"/>
      <c r="D9" s="508"/>
      <c r="E9" s="509" t="str">
        <f>Language!B64</f>
        <v>Mortality</v>
      </c>
      <c r="F9" s="510"/>
      <c r="G9" s="510"/>
      <c r="H9" s="510"/>
      <c r="I9" s="510"/>
      <c r="J9" s="510"/>
      <c r="K9" s="511"/>
      <c r="L9" s="509" t="str">
        <f>Language!B71</f>
        <v>Body weight</v>
      </c>
      <c r="M9" s="510"/>
      <c r="N9" s="510"/>
      <c r="O9" s="510"/>
      <c r="P9" s="510"/>
      <c r="Q9" s="511"/>
      <c r="R9" s="509" t="str">
        <f>Language!B97</f>
        <v>Consumptions</v>
      </c>
      <c r="S9" s="510"/>
      <c r="T9" s="510"/>
      <c r="U9" s="510"/>
      <c r="V9" s="510"/>
      <c r="W9" s="510"/>
      <c r="X9" s="510"/>
      <c r="Y9" s="510"/>
      <c r="Z9" s="510"/>
      <c r="AA9" s="511"/>
      <c r="AB9" s="509" t="str">
        <f>Language!B81</f>
        <v>Lighting</v>
      </c>
      <c r="AC9" s="510"/>
      <c r="AD9" s="510"/>
      <c r="AE9" s="511"/>
      <c r="AF9" s="509" t="str">
        <f>Language!B84</f>
        <v>Vaccination or Operations</v>
      </c>
      <c r="AG9" s="510"/>
      <c r="AH9" s="510"/>
      <c r="AI9" s="511"/>
      <c r="AL9" s="91"/>
    </row>
    <row r="10" spans="1:38" s="90" customFormat="1" ht="15.75" customHeight="1" x14ac:dyDescent="0.2">
      <c r="A10" s="541"/>
      <c r="B10" s="497" t="str">
        <f>Language!B363</f>
        <v>Civil Week</v>
      </c>
      <c r="C10" s="601" t="str">
        <f>Language!B93</f>
        <v>Weeks</v>
      </c>
      <c r="D10" s="543" t="str">
        <f>Language!B94</f>
        <v>Days</v>
      </c>
      <c r="E10" s="497" t="str">
        <f>Language!B65</f>
        <v>Daily</v>
      </c>
      <c r="F10" s="514" t="str">
        <f>Language!B66</f>
        <v>Weekly</v>
      </c>
      <c r="G10" s="514" t="str">
        <f>Language!B67</f>
        <v>Cum.</v>
      </c>
      <c r="H10" s="512" t="str">
        <f>Language!B68</f>
        <v>Transfer</v>
      </c>
      <c r="I10" s="542"/>
      <c r="J10" s="514" t="str">
        <f>Language!B69</f>
        <v>Mortality %</v>
      </c>
      <c r="K10" s="543" t="str">
        <f>Language!B70</f>
        <v>Number of birds end of period</v>
      </c>
      <c r="L10" s="497" t="str">
        <f>Language!B72</f>
        <v>Actual (g)</v>
      </c>
      <c r="M10" s="514" t="str">
        <f>Language!B66</f>
        <v>Weekly</v>
      </c>
      <c r="N10" s="512" t="str">
        <f>Language!B74</f>
        <v>Standard</v>
      </c>
      <c r="O10" s="542"/>
      <c r="P10" s="512" t="str">
        <f>Language!B73</f>
        <v>Unif. %</v>
      </c>
      <c r="Q10" s="513"/>
      <c r="R10" s="576" t="str">
        <f>Language!B96</f>
        <v>Water Cons in Ltrs</v>
      </c>
      <c r="S10" s="542"/>
      <c r="T10" s="514" t="str">
        <f>Language!B98</f>
        <v>Water Cons ml/d/bird</v>
      </c>
      <c r="U10" s="514" t="str">
        <f>Language!B99</f>
        <v>Water/feed ratio</v>
      </c>
      <c r="V10" s="512" t="str">
        <f>Language!B77</f>
        <v>Total feed intake (kg)</v>
      </c>
      <c r="W10" s="577"/>
      <c r="X10" s="542"/>
      <c r="Y10" s="581" t="str">
        <f>Language!B79</f>
        <v>Daily feed cons per bird (g)</v>
      </c>
      <c r="Z10" s="582"/>
      <c r="AA10" s="584" t="str">
        <f>Language!B80</f>
        <v>Cum. Feed cons per bird (g)</v>
      </c>
      <c r="AB10" s="576" t="str">
        <f>Language!B82</f>
        <v>Light duration in hrs</v>
      </c>
      <c r="AC10" s="577"/>
      <c r="AD10" s="577" t="str">
        <f>Language!B83</f>
        <v>Light on at</v>
      </c>
      <c r="AE10" s="513"/>
      <c r="AF10" s="576"/>
      <c r="AG10" s="577"/>
      <c r="AH10" s="577"/>
      <c r="AI10" s="513"/>
    </row>
    <row r="11" spans="1:38" s="90" customFormat="1" ht="22.5" customHeight="1" thickBot="1" x14ac:dyDescent="0.25">
      <c r="A11" s="541"/>
      <c r="B11" s="498"/>
      <c r="C11" s="602"/>
      <c r="D11" s="603"/>
      <c r="E11" s="497"/>
      <c r="F11" s="514"/>
      <c r="G11" s="514"/>
      <c r="H11" s="339" t="str">
        <f>Language!B65</f>
        <v>Daily</v>
      </c>
      <c r="I11" s="339" t="str">
        <f>Language!B66</f>
        <v>Weekly</v>
      </c>
      <c r="J11" s="514"/>
      <c r="K11" s="543"/>
      <c r="L11" s="497"/>
      <c r="M11" s="514"/>
      <c r="N11" s="343" t="str">
        <f>Language!B75</f>
        <v>Min</v>
      </c>
      <c r="O11" s="353" t="str">
        <f>Language!B76</f>
        <v>Max</v>
      </c>
      <c r="P11" s="343" t="str">
        <f>Language!B65</f>
        <v>Daily</v>
      </c>
      <c r="Q11" s="342" t="str">
        <f>Language!B66</f>
        <v>Weekly</v>
      </c>
      <c r="R11" s="340" t="str">
        <f>Language!B65</f>
        <v>Daily</v>
      </c>
      <c r="S11" s="338" t="str">
        <f>Language!B66</f>
        <v>Weekly</v>
      </c>
      <c r="T11" s="514"/>
      <c r="U11" s="514"/>
      <c r="V11" s="339" t="str">
        <f>Language!B140</f>
        <v>Intake in kg</v>
      </c>
      <c r="W11" s="378" t="str">
        <f>Language!B141</f>
        <v>Stock End of week</v>
      </c>
      <c r="X11" s="339" t="str">
        <f>Language!B66</f>
        <v>Weekly</v>
      </c>
      <c r="Y11" s="374" t="str">
        <f>Language!B66</f>
        <v>Weekly</v>
      </c>
      <c r="Z11" s="373" t="str">
        <f>Language!B74</f>
        <v>Standard</v>
      </c>
      <c r="AA11" s="585"/>
      <c r="AB11" s="340" t="str">
        <f>Language!B65</f>
        <v>Daily</v>
      </c>
      <c r="AC11" s="342" t="str">
        <f>Language!B66</f>
        <v>Weekly</v>
      </c>
      <c r="AD11" s="344" t="str">
        <f>Language!B65</f>
        <v>Daily</v>
      </c>
      <c r="AE11" s="377" t="str">
        <f>Language!B66</f>
        <v>Weekly</v>
      </c>
      <c r="AF11" s="576"/>
      <c r="AG11" s="577"/>
      <c r="AH11" s="577"/>
      <c r="AI11" s="513"/>
    </row>
    <row r="12" spans="1:38" ht="15.75" customHeight="1" x14ac:dyDescent="0.2">
      <c r="A12" s="443">
        <f>$G$2+D12-1</f>
        <v>0</v>
      </c>
      <c r="B12" s="502">
        <f>WEEKNUM(A12,1)</f>
        <v>0</v>
      </c>
      <c r="C12" s="502">
        <v>1</v>
      </c>
      <c r="D12" s="86">
        <v>1</v>
      </c>
      <c r="E12" s="223"/>
      <c r="F12" s="503">
        <f>SUM(E12:E18)</f>
        <v>0</v>
      </c>
      <c r="G12" s="81">
        <f>E12</f>
        <v>0</v>
      </c>
      <c r="H12" s="345"/>
      <c r="I12" s="503">
        <f>SUM(H12:H18)</f>
        <v>0</v>
      </c>
      <c r="J12" s="566">
        <f ca="1">OFFSET('Graph values'!$Y$96,0,0)/'Graph values'!$Q$117</f>
        <v>0</v>
      </c>
      <c r="K12" s="356">
        <f>G3-H12-E12</f>
        <v>10000</v>
      </c>
      <c r="L12" s="223"/>
      <c r="M12" s="503" t="str">
        <f>IF(L18="",IF(L17="",IF(L16="",IF(L15="",IF(L14="",IF(L13="",IF(L12="","",L12),L13),L14),L15),L16),L17),L18)</f>
        <v/>
      </c>
      <c r="N12" s="83"/>
      <c r="O12" s="83"/>
      <c r="P12" s="345"/>
      <c r="Q12" s="587" t="str">
        <f>IF(P18="",IF(P17="",IF(P16="",IF(P15="",IF(P14="",IF(P13="",IF(P12="","",P12),P13),P14),P15),P16),P17),P18)</f>
        <v/>
      </c>
      <c r="R12" s="223"/>
      <c r="S12" s="503">
        <f>SUM(R12:R18)</f>
        <v>0</v>
      </c>
      <c r="T12" s="583" t="e">
        <f>IF(S12="","",S12/AVERAGE(K12:K18)*1000/COUNTA(R12:R18))</f>
        <v>#DIV/0!</v>
      </c>
      <c r="U12" s="563" t="e">
        <f>IF(S12="","",IF(X12="","",S12/X12))</f>
        <v>#DIV/0!</v>
      </c>
      <c r="V12" s="357"/>
      <c r="W12" s="357"/>
      <c r="X12" s="560">
        <f>IF(SUM(W12:W18)=0,SUM(V12:V18),SUM(W12:W18)-SUM(V12:V18))</f>
        <v>0</v>
      </c>
      <c r="Y12" s="573">
        <f>IF(X12="","",X12/K12*1000)/7</f>
        <v>0</v>
      </c>
      <c r="Z12" s="573" t="str">
        <f>TEXT(VLOOKUP(C12,Std!$A$3:$K$103,10,FALSE),0)&amp;"-"&amp;TEXT(VLOOKUP(C12,Std!$A$3:$K$103,11,FALSE),0)</f>
        <v>10-12</v>
      </c>
      <c r="AA12" s="570">
        <f>IF(X12="","",X12/K18*1000)</f>
        <v>0</v>
      </c>
      <c r="AB12" s="223"/>
      <c r="AC12" s="503" t="str">
        <f>IF(OR(MIN(AB12:AB18)=0,MIN(AB12:AB18)&gt;24),"",MIN(AB12:AB18))</f>
        <v/>
      </c>
      <c r="AD12" s="226"/>
      <c r="AE12" s="578" t="str">
        <f>IF(MIN(AD12:AD18)=0,"",MIN(AD12:AD18))</f>
        <v/>
      </c>
      <c r="AF12" s="592"/>
      <c r="AG12" s="593"/>
      <c r="AH12" s="593"/>
      <c r="AI12" s="594"/>
    </row>
    <row r="13" spans="1:38" ht="15.75" customHeight="1" x14ac:dyDescent="0.2">
      <c r="A13" s="444">
        <f t="shared" ref="A13:A76" si="0">$G$2+D13-1</f>
        <v>1</v>
      </c>
      <c r="B13" s="500"/>
      <c r="C13" s="500"/>
      <c r="D13" s="75">
        <v>2</v>
      </c>
      <c r="E13" s="224"/>
      <c r="F13" s="504"/>
      <c r="G13" s="335">
        <f>G12+E13</f>
        <v>0</v>
      </c>
      <c r="H13" s="337"/>
      <c r="I13" s="504"/>
      <c r="J13" s="545"/>
      <c r="K13" s="78">
        <f>K12-H13-E13</f>
        <v>10000</v>
      </c>
      <c r="L13" s="224"/>
      <c r="M13" s="504"/>
      <c r="N13" s="77"/>
      <c r="O13" s="77"/>
      <c r="P13" s="337"/>
      <c r="Q13" s="588"/>
      <c r="R13" s="224"/>
      <c r="S13" s="504"/>
      <c r="T13" s="568"/>
      <c r="U13" s="564"/>
      <c r="V13" s="334"/>
      <c r="W13" s="334"/>
      <c r="X13" s="561"/>
      <c r="Y13" s="574"/>
      <c r="Z13" s="574"/>
      <c r="AA13" s="571"/>
      <c r="AB13" s="224"/>
      <c r="AC13" s="504"/>
      <c r="AD13" s="225"/>
      <c r="AE13" s="579"/>
      <c r="AF13" s="595"/>
      <c r="AG13" s="596"/>
      <c r="AH13" s="596"/>
      <c r="AI13" s="597"/>
    </row>
    <row r="14" spans="1:38" ht="15.75" customHeight="1" x14ac:dyDescent="0.2">
      <c r="A14" s="444">
        <f t="shared" si="0"/>
        <v>2</v>
      </c>
      <c r="B14" s="500"/>
      <c r="C14" s="500"/>
      <c r="D14" s="75">
        <v>3</v>
      </c>
      <c r="E14" s="224"/>
      <c r="F14" s="504"/>
      <c r="G14" s="335">
        <f t="shared" ref="G14:G77" si="1">G13+E14</f>
        <v>0</v>
      </c>
      <c r="H14" s="337"/>
      <c r="I14" s="504"/>
      <c r="J14" s="545"/>
      <c r="K14" s="78">
        <f t="shared" ref="K14:K77" si="2">K13-H14-E14</f>
        <v>10000</v>
      </c>
      <c r="L14" s="224"/>
      <c r="M14" s="504"/>
      <c r="N14" s="77"/>
      <c r="O14" s="77"/>
      <c r="P14" s="337"/>
      <c r="Q14" s="588"/>
      <c r="R14" s="224"/>
      <c r="S14" s="504"/>
      <c r="T14" s="568"/>
      <c r="U14" s="564"/>
      <c r="V14" s="334"/>
      <c r="W14" s="334"/>
      <c r="X14" s="561"/>
      <c r="Y14" s="574"/>
      <c r="Z14" s="574"/>
      <c r="AA14" s="571"/>
      <c r="AB14" s="224"/>
      <c r="AC14" s="504"/>
      <c r="AD14" s="225"/>
      <c r="AE14" s="579"/>
      <c r="AF14" s="595"/>
      <c r="AG14" s="596"/>
      <c r="AH14" s="596"/>
      <c r="AI14" s="597"/>
    </row>
    <row r="15" spans="1:38" ht="15.75" customHeight="1" x14ac:dyDescent="0.2">
      <c r="A15" s="444">
        <f t="shared" si="0"/>
        <v>3</v>
      </c>
      <c r="B15" s="500"/>
      <c r="C15" s="500"/>
      <c r="D15" s="75">
        <v>4</v>
      </c>
      <c r="E15" s="224"/>
      <c r="F15" s="504"/>
      <c r="G15" s="335">
        <f t="shared" si="1"/>
        <v>0</v>
      </c>
      <c r="H15" s="337"/>
      <c r="I15" s="504"/>
      <c r="J15" s="545"/>
      <c r="K15" s="78">
        <f t="shared" si="2"/>
        <v>10000</v>
      </c>
      <c r="L15" s="224"/>
      <c r="M15" s="504"/>
      <c r="N15" s="77"/>
      <c r="O15" s="77"/>
      <c r="P15" s="337"/>
      <c r="Q15" s="588"/>
      <c r="R15" s="224"/>
      <c r="S15" s="504"/>
      <c r="T15" s="568"/>
      <c r="U15" s="564"/>
      <c r="V15" s="334"/>
      <c r="W15" s="334"/>
      <c r="X15" s="561"/>
      <c r="Y15" s="574"/>
      <c r="Z15" s="574"/>
      <c r="AA15" s="571"/>
      <c r="AB15" s="224"/>
      <c r="AC15" s="504"/>
      <c r="AD15" s="225"/>
      <c r="AE15" s="579"/>
      <c r="AF15" s="595"/>
      <c r="AG15" s="596"/>
      <c r="AH15" s="596"/>
      <c r="AI15" s="597"/>
    </row>
    <row r="16" spans="1:38" ht="15.75" customHeight="1" x14ac:dyDescent="0.2">
      <c r="A16" s="444">
        <f t="shared" si="0"/>
        <v>4</v>
      </c>
      <c r="B16" s="500"/>
      <c r="C16" s="500"/>
      <c r="D16" s="75">
        <v>5</v>
      </c>
      <c r="E16" s="224"/>
      <c r="F16" s="504"/>
      <c r="G16" s="335">
        <f t="shared" si="1"/>
        <v>0</v>
      </c>
      <c r="H16" s="337"/>
      <c r="I16" s="504"/>
      <c r="J16" s="545"/>
      <c r="K16" s="78">
        <f t="shared" si="2"/>
        <v>10000</v>
      </c>
      <c r="L16" s="224"/>
      <c r="M16" s="504"/>
      <c r="N16" s="77"/>
      <c r="O16" s="77"/>
      <c r="P16" s="337"/>
      <c r="Q16" s="588"/>
      <c r="R16" s="224"/>
      <c r="S16" s="504"/>
      <c r="T16" s="568"/>
      <c r="U16" s="564"/>
      <c r="V16" s="334"/>
      <c r="W16" s="334"/>
      <c r="X16" s="561"/>
      <c r="Y16" s="574"/>
      <c r="Z16" s="574"/>
      <c r="AA16" s="571"/>
      <c r="AB16" s="224"/>
      <c r="AC16" s="504"/>
      <c r="AD16" s="225"/>
      <c r="AE16" s="579"/>
      <c r="AF16" s="595"/>
      <c r="AG16" s="596"/>
      <c r="AH16" s="596"/>
      <c r="AI16" s="597"/>
    </row>
    <row r="17" spans="1:39" ht="15.75" customHeight="1" x14ac:dyDescent="0.2">
      <c r="A17" s="444">
        <f t="shared" si="0"/>
        <v>5</v>
      </c>
      <c r="B17" s="500"/>
      <c r="C17" s="500"/>
      <c r="D17" s="75">
        <v>6</v>
      </c>
      <c r="E17" s="224"/>
      <c r="F17" s="504"/>
      <c r="G17" s="335">
        <f t="shared" si="1"/>
        <v>0</v>
      </c>
      <c r="H17" s="337"/>
      <c r="I17" s="504"/>
      <c r="J17" s="545"/>
      <c r="K17" s="78">
        <f t="shared" si="2"/>
        <v>10000</v>
      </c>
      <c r="L17" s="224"/>
      <c r="M17" s="504"/>
      <c r="N17" s="77"/>
      <c r="O17" s="77"/>
      <c r="P17" s="337"/>
      <c r="Q17" s="588"/>
      <c r="R17" s="224"/>
      <c r="S17" s="504"/>
      <c r="T17" s="568"/>
      <c r="U17" s="564"/>
      <c r="V17" s="334"/>
      <c r="W17" s="334"/>
      <c r="X17" s="561"/>
      <c r="Y17" s="574"/>
      <c r="Z17" s="574"/>
      <c r="AA17" s="571"/>
      <c r="AB17" s="224"/>
      <c r="AC17" s="504"/>
      <c r="AD17" s="225"/>
      <c r="AE17" s="579"/>
      <c r="AF17" s="595"/>
      <c r="AG17" s="596"/>
      <c r="AH17" s="596"/>
      <c r="AI17" s="597"/>
    </row>
    <row r="18" spans="1:39" ht="15.75" customHeight="1" thickBot="1" x14ac:dyDescent="0.25">
      <c r="A18" s="445">
        <f t="shared" si="0"/>
        <v>6</v>
      </c>
      <c r="B18" s="501"/>
      <c r="C18" s="501"/>
      <c r="D18" s="347">
        <v>7</v>
      </c>
      <c r="E18" s="358"/>
      <c r="F18" s="505"/>
      <c r="G18" s="348">
        <f t="shared" si="1"/>
        <v>0</v>
      </c>
      <c r="H18" s="349"/>
      <c r="I18" s="505"/>
      <c r="J18" s="546"/>
      <c r="K18" s="360">
        <f t="shared" si="2"/>
        <v>10000</v>
      </c>
      <c r="L18" s="358"/>
      <c r="M18" s="505"/>
      <c r="N18" s="351">
        <f ca="1">OFFSET(Std!$H$4,0,0)</f>
        <v>63.862499999999997</v>
      </c>
      <c r="O18" s="351">
        <f ca="1">OFFSET(Std!$I$4,0,0)</f>
        <v>67.137499999999989</v>
      </c>
      <c r="P18" s="349"/>
      <c r="Q18" s="589"/>
      <c r="R18" s="358"/>
      <c r="S18" s="505"/>
      <c r="T18" s="569"/>
      <c r="U18" s="565"/>
      <c r="V18" s="352"/>
      <c r="W18" s="352"/>
      <c r="X18" s="562"/>
      <c r="Y18" s="575"/>
      <c r="Z18" s="575"/>
      <c r="AA18" s="572"/>
      <c r="AB18" s="358"/>
      <c r="AC18" s="505"/>
      <c r="AD18" s="359"/>
      <c r="AE18" s="580"/>
      <c r="AF18" s="598"/>
      <c r="AG18" s="599"/>
      <c r="AH18" s="599"/>
      <c r="AI18" s="600"/>
    </row>
    <row r="19" spans="1:39" ht="15.75" customHeight="1" x14ac:dyDescent="0.2">
      <c r="A19" s="443">
        <f t="shared" si="0"/>
        <v>7</v>
      </c>
      <c r="B19" s="502">
        <f>WEEKNUM(A19,1)</f>
        <v>1</v>
      </c>
      <c r="C19" s="499">
        <v>2</v>
      </c>
      <c r="D19" s="355">
        <v>8</v>
      </c>
      <c r="E19" s="223"/>
      <c r="F19" s="503">
        <f>SUM(E19:E25)</f>
        <v>0</v>
      </c>
      <c r="G19" s="81">
        <f t="shared" si="1"/>
        <v>0</v>
      </c>
      <c r="H19" s="345"/>
      <c r="I19" s="503">
        <f>SUM(H19:H25)</f>
        <v>0</v>
      </c>
      <c r="J19" s="566">
        <f ca="1">OFFSET('Graph values'!$Y$96,C12,0)/'Graph values'!$Q$117</f>
        <v>0</v>
      </c>
      <c r="K19" s="356">
        <f t="shared" si="2"/>
        <v>10000</v>
      </c>
      <c r="L19" s="223"/>
      <c r="M19" s="503" t="str">
        <f>IF(L25="",IF(L24="",IF(L23="",IF(L22="",IF(L21="",IF(L20="",IF(L19="","",L19),L20),L21),L22),L23),L24),L25)</f>
        <v/>
      </c>
      <c r="N19" s="83">
        <f ca="1">N18+1*(N25-N18)/7</f>
        <v>71.105357142857144</v>
      </c>
      <c r="O19" s="83">
        <f ca="1">O18+1*(O25-O18)/7</f>
        <v>74.751785714285703</v>
      </c>
      <c r="P19" s="345"/>
      <c r="Q19" s="587" t="str">
        <f>IF(P25="",IF(P24="",IF(P23="",IF(P22="",IF(P21="",IF(P20="",IF(P19="","",P19),P20),P21),P22),P23),P24),P25)</f>
        <v/>
      </c>
      <c r="R19" s="223"/>
      <c r="S19" s="503">
        <f>SUM(R19:R25)</f>
        <v>0</v>
      </c>
      <c r="T19" s="583" t="e">
        <f>IF(S19="","",S19/AVERAGE(K19:K25)*1000/COUNTA(R19:R25))</f>
        <v>#DIV/0!</v>
      </c>
      <c r="U19" s="563" t="e">
        <f>IF(S19="","",IF(X19="","",S19/X19))</f>
        <v>#DIV/0!</v>
      </c>
      <c r="V19" s="357"/>
      <c r="W19" s="357"/>
      <c r="X19" s="560">
        <f>IF(SUM(W19:W25)=0,SUM(V19:V25),SUM(W19:W25)-SUM(V19:V25))</f>
        <v>0</v>
      </c>
      <c r="Y19" s="573">
        <f>IF(X19="","",X19/K19*1000)/7</f>
        <v>0</v>
      </c>
      <c r="Z19" s="573" t="str">
        <f>TEXT(VLOOKUP(C19,Std!$A$3:$K$103,10,FALSE),0)&amp;"-"&amp;TEXT(VLOOKUP(C19,Std!$A$3:$K$103,11,FALSE),0)</f>
        <v>17-19</v>
      </c>
      <c r="AA19" s="570">
        <f>IF(X19="","",X19/K25*1000)+AA12</f>
        <v>0</v>
      </c>
      <c r="AB19" s="223"/>
      <c r="AC19" s="503" t="str">
        <f>IF(OR(MIN(AB19:AB25)=0,MIN(AB19:AB25)&gt;24),"",MIN(AB19:AB25))</f>
        <v/>
      </c>
      <c r="AD19" s="226"/>
      <c r="AE19" s="578" t="str">
        <f>IF(MIN(AD19:AD25)=0,"",MIN(AD19:AD25))</f>
        <v/>
      </c>
      <c r="AF19" s="592"/>
      <c r="AG19" s="593"/>
      <c r="AH19" s="593"/>
      <c r="AI19" s="594"/>
    </row>
    <row r="20" spans="1:39" ht="15.75" customHeight="1" x14ac:dyDescent="0.2">
      <c r="A20" s="444">
        <f t="shared" si="0"/>
        <v>8</v>
      </c>
      <c r="B20" s="500"/>
      <c r="C20" s="500"/>
      <c r="D20" s="75">
        <v>9</v>
      </c>
      <c r="E20" s="224"/>
      <c r="F20" s="504"/>
      <c r="G20" s="335">
        <f t="shared" si="1"/>
        <v>0</v>
      </c>
      <c r="H20" s="337"/>
      <c r="I20" s="504"/>
      <c r="J20" s="545"/>
      <c r="K20" s="76">
        <f t="shared" si="2"/>
        <v>10000</v>
      </c>
      <c r="L20" s="224"/>
      <c r="M20" s="504"/>
      <c r="N20" s="77">
        <f ca="1">N18+2*(N25-N18)/7</f>
        <v>78.348214285714278</v>
      </c>
      <c r="O20" s="77">
        <f ca="1">O18+2*(O25-O18)/7</f>
        <v>82.366071428571416</v>
      </c>
      <c r="P20" s="337"/>
      <c r="Q20" s="588"/>
      <c r="R20" s="224"/>
      <c r="S20" s="504"/>
      <c r="T20" s="568"/>
      <c r="U20" s="564"/>
      <c r="V20" s="334"/>
      <c r="W20" s="334"/>
      <c r="X20" s="561"/>
      <c r="Y20" s="574"/>
      <c r="Z20" s="574"/>
      <c r="AA20" s="571"/>
      <c r="AB20" s="224"/>
      <c r="AC20" s="504"/>
      <c r="AD20" s="225"/>
      <c r="AE20" s="579"/>
      <c r="AF20" s="595"/>
      <c r="AG20" s="596"/>
      <c r="AH20" s="596"/>
      <c r="AI20" s="597"/>
    </row>
    <row r="21" spans="1:39" ht="15.75" customHeight="1" x14ac:dyDescent="0.2">
      <c r="A21" s="444">
        <f t="shared" si="0"/>
        <v>9</v>
      </c>
      <c r="B21" s="500"/>
      <c r="C21" s="500"/>
      <c r="D21" s="75">
        <v>10</v>
      </c>
      <c r="E21" s="224"/>
      <c r="F21" s="504"/>
      <c r="G21" s="335">
        <f t="shared" si="1"/>
        <v>0</v>
      </c>
      <c r="H21" s="337"/>
      <c r="I21" s="504"/>
      <c r="J21" s="545"/>
      <c r="K21" s="76">
        <f t="shared" si="2"/>
        <v>10000</v>
      </c>
      <c r="L21" s="224"/>
      <c r="M21" s="504"/>
      <c r="N21" s="77">
        <f ca="1">N18+3*(N25-N18)/7</f>
        <v>85.591071428571425</v>
      </c>
      <c r="O21" s="77">
        <f ca="1">O18+3*(O25-O18)/7</f>
        <v>89.98035714285713</v>
      </c>
      <c r="P21" s="337"/>
      <c r="Q21" s="588"/>
      <c r="R21" s="224"/>
      <c r="S21" s="504"/>
      <c r="T21" s="568"/>
      <c r="U21" s="564"/>
      <c r="V21" s="334"/>
      <c r="W21" s="334"/>
      <c r="X21" s="561"/>
      <c r="Y21" s="574"/>
      <c r="Z21" s="574"/>
      <c r="AA21" s="571"/>
      <c r="AB21" s="224"/>
      <c r="AC21" s="504"/>
      <c r="AD21" s="225"/>
      <c r="AE21" s="579"/>
      <c r="AF21" s="595"/>
      <c r="AG21" s="596"/>
      <c r="AH21" s="596"/>
      <c r="AI21" s="597"/>
    </row>
    <row r="22" spans="1:39" ht="15.75" customHeight="1" x14ac:dyDescent="0.2">
      <c r="A22" s="444">
        <f t="shared" si="0"/>
        <v>10</v>
      </c>
      <c r="B22" s="500"/>
      <c r="C22" s="500"/>
      <c r="D22" s="75">
        <v>11</v>
      </c>
      <c r="E22" s="224"/>
      <c r="F22" s="504"/>
      <c r="G22" s="335">
        <f t="shared" si="1"/>
        <v>0</v>
      </c>
      <c r="H22" s="337"/>
      <c r="I22" s="504"/>
      <c r="J22" s="545"/>
      <c r="K22" s="76">
        <f t="shared" si="2"/>
        <v>10000</v>
      </c>
      <c r="L22" s="224"/>
      <c r="M22" s="504"/>
      <c r="N22" s="77">
        <f ca="1">N18+4*(N25-N18)/7</f>
        <v>92.833928571428572</v>
      </c>
      <c r="O22" s="77">
        <f ca="1">O18+4*(O25-O18)/7</f>
        <v>97.594642857142844</v>
      </c>
      <c r="P22" s="337"/>
      <c r="Q22" s="588"/>
      <c r="R22" s="224"/>
      <c r="S22" s="504"/>
      <c r="T22" s="568"/>
      <c r="U22" s="564"/>
      <c r="V22" s="334"/>
      <c r="W22" s="334"/>
      <c r="X22" s="561"/>
      <c r="Y22" s="574"/>
      <c r="Z22" s="574"/>
      <c r="AA22" s="571"/>
      <c r="AB22" s="224"/>
      <c r="AC22" s="504"/>
      <c r="AD22" s="225"/>
      <c r="AE22" s="579"/>
      <c r="AF22" s="595"/>
      <c r="AG22" s="596"/>
      <c r="AH22" s="596"/>
      <c r="AI22" s="597"/>
    </row>
    <row r="23" spans="1:39" ht="15.75" customHeight="1" x14ac:dyDescent="0.2">
      <c r="A23" s="444">
        <f t="shared" si="0"/>
        <v>11</v>
      </c>
      <c r="B23" s="500"/>
      <c r="C23" s="500"/>
      <c r="D23" s="75">
        <v>12</v>
      </c>
      <c r="E23" s="224"/>
      <c r="F23" s="504"/>
      <c r="G23" s="335">
        <f t="shared" si="1"/>
        <v>0</v>
      </c>
      <c r="H23" s="337"/>
      <c r="I23" s="504"/>
      <c r="J23" s="545"/>
      <c r="K23" s="76">
        <f t="shared" si="2"/>
        <v>10000</v>
      </c>
      <c r="L23" s="224"/>
      <c r="M23" s="504"/>
      <c r="N23" s="77">
        <f ca="1">N18+5*(N25-N18)/7</f>
        <v>100.07678571428571</v>
      </c>
      <c r="O23" s="77">
        <f ca="1">O18+5*(O25-O18)/7</f>
        <v>105.20892857142856</v>
      </c>
      <c r="P23" s="337"/>
      <c r="Q23" s="588"/>
      <c r="R23" s="224"/>
      <c r="S23" s="504"/>
      <c r="T23" s="568"/>
      <c r="U23" s="564"/>
      <c r="V23" s="334"/>
      <c r="W23" s="334"/>
      <c r="X23" s="561"/>
      <c r="Y23" s="574"/>
      <c r="Z23" s="574"/>
      <c r="AA23" s="571"/>
      <c r="AB23" s="224"/>
      <c r="AC23" s="504"/>
      <c r="AD23" s="225"/>
      <c r="AE23" s="579"/>
      <c r="AF23" s="595"/>
      <c r="AG23" s="596"/>
      <c r="AH23" s="596"/>
      <c r="AI23" s="597"/>
    </row>
    <row r="24" spans="1:39" ht="15.75" customHeight="1" x14ac:dyDescent="0.2">
      <c r="A24" s="444">
        <f t="shared" si="0"/>
        <v>12</v>
      </c>
      <c r="B24" s="500"/>
      <c r="C24" s="500"/>
      <c r="D24" s="75">
        <v>13</v>
      </c>
      <c r="E24" s="224"/>
      <c r="F24" s="504"/>
      <c r="G24" s="335">
        <f t="shared" si="1"/>
        <v>0</v>
      </c>
      <c r="H24" s="337"/>
      <c r="I24" s="504"/>
      <c r="J24" s="545"/>
      <c r="K24" s="76">
        <f t="shared" si="2"/>
        <v>10000</v>
      </c>
      <c r="L24" s="224"/>
      <c r="M24" s="504"/>
      <c r="N24" s="77">
        <f ca="1">N18+6*(N25-N18)/7</f>
        <v>107.31964285714287</v>
      </c>
      <c r="O24" s="77">
        <f ca="1">O18+6*(O25-O18)/7</f>
        <v>112.82321428571427</v>
      </c>
      <c r="P24" s="337"/>
      <c r="Q24" s="588"/>
      <c r="R24" s="224"/>
      <c r="S24" s="504"/>
      <c r="T24" s="568"/>
      <c r="U24" s="564"/>
      <c r="V24" s="334"/>
      <c r="W24" s="334"/>
      <c r="X24" s="561"/>
      <c r="Y24" s="574"/>
      <c r="Z24" s="574"/>
      <c r="AA24" s="571"/>
      <c r="AB24" s="224"/>
      <c r="AC24" s="504"/>
      <c r="AD24" s="225"/>
      <c r="AE24" s="579"/>
      <c r="AF24" s="595"/>
      <c r="AG24" s="596"/>
      <c r="AH24" s="596"/>
      <c r="AI24" s="597"/>
    </row>
    <row r="25" spans="1:39" ht="15.75" customHeight="1" thickBot="1" x14ac:dyDescent="0.25">
      <c r="A25" s="445">
        <f t="shared" si="0"/>
        <v>13</v>
      </c>
      <c r="B25" s="501"/>
      <c r="C25" s="501"/>
      <c r="D25" s="347">
        <v>14</v>
      </c>
      <c r="E25" s="358"/>
      <c r="F25" s="505"/>
      <c r="G25" s="348">
        <f t="shared" si="1"/>
        <v>0</v>
      </c>
      <c r="H25" s="349"/>
      <c r="I25" s="505"/>
      <c r="J25" s="546"/>
      <c r="K25" s="350">
        <f t="shared" si="2"/>
        <v>10000</v>
      </c>
      <c r="L25" s="358"/>
      <c r="M25" s="505"/>
      <c r="N25" s="351">
        <f ca="1">OFFSET(Std!$H$4,C12,0)</f>
        <v>114.5625</v>
      </c>
      <c r="O25" s="351">
        <f ca="1">OFFSET(Std!$I$4,C12,0)</f>
        <v>120.43749999999999</v>
      </c>
      <c r="P25" s="349"/>
      <c r="Q25" s="589"/>
      <c r="R25" s="358"/>
      <c r="S25" s="505"/>
      <c r="T25" s="569"/>
      <c r="U25" s="565"/>
      <c r="V25" s="352"/>
      <c r="W25" s="352"/>
      <c r="X25" s="562"/>
      <c r="Y25" s="575"/>
      <c r="Z25" s="575"/>
      <c r="AA25" s="572"/>
      <c r="AB25" s="358"/>
      <c r="AC25" s="505"/>
      <c r="AD25" s="359"/>
      <c r="AE25" s="580"/>
      <c r="AF25" s="598"/>
      <c r="AG25" s="599"/>
      <c r="AH25" s="599"/>
      <c r="AI25" s="600"/>
    </row>
    <row r="26" spans="1:39" ht="15.75" customHeight="1" x14ac:dyDescent="0.2">
      <c r="A26" s="443">
        <f t="shared" si="0"/>
        <v>14</v>
      </c>
      <c r="B26" s="502">
        <f>WEEKNUM(A26,1)</f>
        <v>2</v>
      </c>
      <c r="C26" s="499">
        <v>3</v>
      </c>
      <c r="D26" s="355">
        <v>15</v>
      </c>
      <c r="E26" s="223"/>
      <c r="F26" s="503">
        <f>SUM(E26:E32)</f>
        <v>0</v>
      </c>
      <c r="G26" s="81">
        <f t="shared" si="1"/>
        <v>0</v>
      </c>
      <c r="H26" s="345"/>
      <c r="I26" s="503">
        <f>SUM(H26:H32)</f>
        <v>0</v>
      </c>
      <c r="J26" s="566">
        <f ca="1">OFFSET('Graph values'!$Y$96,C19,0)/'Graph values'!$Q$117</f>
        <v>0</v>
      </c>
      <c r="K26" s="356">
        <f t="shared" si="2"/>
        <v>10000</v>
      </c>
      <c r="L26" s="223"/>
      <c r="M26" s="503" t="str">
        <f>IF(L32="",IF(L31="",IF(L30="",IF(L29="",IF(L28="",IF(L27="",IF(L26="","",L26),L27),L28),L29),L30),L31),L32)</f>
        <v/>
      </c>
      <c r="N26" s="83">
        <f ca="1">N25+1*(N32-N25)/7</f>
        <v>124.86964285714286</v>
      </c>
      <c r="O26" s="83">
        <f ca="1">O25+1*(O32-O25)/7</f>
        <v>131.27321428571426</v>
      </c>
      <c r="P26" s="345"/>
      <c r="Q26" s="587" t="str">
        <f>IF(P32="",IF(P31="",IF(P30="",IF(P29="",IF(P28="",IF(P27="",IF(P26="","",P26),P27),P28),P29),P30),P31),P32)</f>
        <v/>
      </c>
      <c r="R26" s="223"/>
      <c r="S26" s="503">
        <f>SUM(R26:R32)</f>
        <v>0</v>
      </c>
      <c r="T26" s="583" t="e">
        <f>IF(S26="","",S26/AVERAGE(K26:K32)*1000/COUNTA(R26:R32))</f>
        <v>#DIV/0!</v>
      </c>
      <c r="U26" s="563" t="e">
        <f>IF(S26="","",IF(X26="","",S26/X26))</f>
        <v>#DIV/0!</v>
      </c>
      <c r="V26" s="357"/>
      <c r="W26" s="357"/>
      <c r="X26" s="560">
        <f>IF(SUM(W26:W32)=0,SUM(V26:V32),SUM(W26:W32)-SUM(V26:V32))</f>
        <v>0</v>
      </c>
      <c r="Y26" s="573">
        <f>IF(X26="","",X26/K26*1000)/7</f>
        <v>0</v>
      </c>
      <c r="Z26" s="573" t="str">
        <f>TEXT(VLOOKUP(C26,Std!$A$3:$K$103,10,FALSE),0)&amp;"-"&amp;TEXT(VLOOKUP(C26,Std!$A$3:$K$103,11,FALSE),0)</f>
        <v>24-26</v>
      </c>
      <c r="AA26" s="570">
        <f>IF(X26="","",X26/K32*1000)+AA19</f>
        <v>0</v>
      </c>
      <c r="AB26" s="223"/>
      <c r="AC26" s="503" t="str">
        <f>IF(OR(MIN(AB26:AB32)=0,MIN(AB26:AB32)&gt;24),"",MIN(AB26:AB32))</f>
        <v/>
      </c>
      <c r="AD26" s="226"/>
      <c r="AE26" s="578" t="str">
        <f>IF(MIN(AD26:AD32)=0,"",MIN(AD26:AD32))</f>
        <v/>
      </c>
      <c r="AF26" s="592"/>
      <c r="AG26" s="593"/>
      <c r="AH26" s="593"/>
      <c r="AI26" s="594"/>
    </row>
    <row r="27" spans="1:39" ht="15.75" customHeight="1" x14ac:dyDescent="0.2">
      <c r="A27" s="444">
        <f t="shared" si="0"/>
        <v>15</v>
      </c>
      <c r="B27" s="500"/>
      <c r="C27" s="500"/>
      <c r="D27" s="75">
        <v>16</v>
      </c>
      <c r="E27" s="224"/>
      <c r="F27" s="504"/>
      <c r="G27" s="335">
        <f t="shared" si="1"/>
        <v>0</v>
      </c>
      <c r="H27" s="337"/>
      <c r="I27" s="504"/>
      <c r="J27" s="545"/>
      <c r="K27" s="76">
        <f t="shared" si="2"/>
        <v>10000</v>
      </c>
      <c r="L27" s="224"/>
      <c r="M27" s="504"/>
      <c r="N27" s="77">
        <f ca="1">N25+2*(N32-N25)/7</f>
        <v>135.17678571428573</v>
      </c>
      <c r="O27" s="77">
        <f ca="1">O25+2*(O32-O25)/7</f>
        <v>142.10892857142855</v>
      </c>
      <c r="P27" s="337"/>
      <c r="Q27" s="588"/>
      <c r="R27" s="224"/>
      <c r="S27" s="504"/>
      <c r="T27" s="568"/>
      <c r="U27" s="564"/>
      <c r="V27" s="334"/>
      <c r="W27" s="334"/>
      <c r="X27" s="561"/>
      <c r="Y27" s="574"/>
      <c r="Z27" s="574"/>
      <c r="AA27" s="571"/>
      <c r="AB27" s="224"/>
      <c r="AC27" s="504"/>
      <c r="AD27" s="225"/>
      <c r="AE27" s="579"/>
      <c r="AF27" s="595"/>
      <c r="AG27" s="596"/>
      <c r="AH27" s="596"/>
      <c r="AI27" s="597"/>
      <c r="AK27" s="15"/>
      <c r="AL27" s="15"/>
      <c r="AM27" s="15"/>
    </row>
    <row r="28" spans="1:39" ht="15.75" customHeight="1" x14ac:dyDescent="0.2">
      <c r="A28" s="444">
        <f t="shared" si="0"/>
        <v>16</v>
      </c>
      <c r="B28" s="500"/>
      <c r="C28" s="500"/>
      <c r="D28" s="75">
        <v>17</v>
      </c>
      <c r="E28" s="224"/>
      <c r="F28" s="504"/>
      <c r="G28" s="335">
        <f t="shared" si="1"/>
        <v>0</v>
      </c>
      <c r="H28" s="337"/>
      <c r="I28" s="504"/>
      <c r="J28" s="545"/>
      <c r="K28" s="76">
        <f t="shared" si="2"/>
        <v>10000</v>
      </c>
      <c r="L28" s="224"/>
      <c r="M28" s="504"/>
      <c r="N28" s="77">
        <f ca="1">N25+3*(N32-N25)/7</f>
        <v>145.48392857142858</v>
      </c>
      <c r="O28" s="77">
        <f ca="1">O25+3*(O32-O25)/7</f>
        <v>152.94464285714284</v>
      </c>
      <c r="P28" s="337"/>
      <c r="Q28" s="588"/>
      <c r="R28" s="224"/>
      <c r="S28" s="504"/>
      <c r="T28" s="568"/>
      <c r="U28" s="564"/>
      <c r="V28" s="334"/>
      <c r="W28" s="334"/>
      <c r="X28" s="561"/>
      <c r="Y28" s="574"/>
      <c r="Z28" s="574"/>
      <c r="AA28" s="571"/>
      <c r="AB28" s="224"/>
      <c r="AC28" s="504"/>
      <c r="AD28" s="225"/>
      <c r="AE28" s="579"/>
      <c r="AF28" s="595"/>
      <c r="AG28" s="596"/>
      <c r="AH28" s="596"/>
      <c r="AI28" s="597"/>
      <c r="AM28" s="15"/>
    </row>
    <row r="29" spans="1:39" ht="15.75" customHeight="1" x14ac:dyDescent="0.2">
      <c r="A29" s="444">
        <f t="shared" si="0"/>
        <v>17</v>
      </c>
      <c r="B29" s="500"/>
      <c r="C29" s="500"/>
      <c r="D29" s="75">
        <v>18</v>
      </c>
      <c r="E29" s="224"/>
      <c r="F29" s="504"/>
      <c r="G29" s="335">
        <f t="shared" si="1"/>
        <v>0</v>
      </c>
      <c r="H29" s="337"/>
      <c r="I29" s="504"/>
      <c r="J29" s="545"/>
      <c r="K29" s="76">
        <f t="shared" si="2"/>
        <v>10000</v>
      </c>
      <c r="L29" s="224"/>
      <c r="M29" s="504"/>
      <c r="N29" s="77">
        <f ca="1">N25+4*(N32-N25)/7</f>
        <v>155.79107142857143</v>
      </c>
      <c r="O29" s="77">
        <f ca="1">O25+4*(O32-O25)/7</f>
        <v>163.78035714285713</v>
      </c>
      <c r="P29" s="337"/>
      <c r="Q29" s="588"/>
      <c r="R29" s="224"/>
      <c r="S29" s="504"/>
      <c r="T29" s="568"/>
      <c r="U29" s="564"/>
      <c r="V29" s="334"/>
      <c r="W29" s="334"/>
      <c r="X29" s="561"/>
      <c r="Y29" s="574"/>
      <c r="Z29" s="574"/>
      <c r="AA29" s="571"/>
      <c r="AB29" s="224"/>
      <c r="AC29" s="504"/>
      <c r="AD29" s="225"/>
      <c r="AE29" s="579"/>
      <c r="AF29" s="595"/>
      <c r="AG29" s="596"/>
      <c r="AH29" s="596"/>
      <c r="AI29" s="597"/>
      <c r="AM29" s="15"/>
    </row>
    <row r="30" spans="1:39" ht="15.75" customHeight="1" x14ac:dyDescent="0.2">
      <c r="A30" s="444">
        <f t="shared" si="0"/>
        <v>18</v>
      </c>
      <c r="B30" s="500"/>
      <c r="C30" s="500"/>
      <c r="D30" s="75">
        <v>19</v>
      </c>
      <c r="E30" s="224"/>
      <c r="F30" s="504"/>
      <c r="G30" s="335">
        <f t="shared" si="1"/>
        <v>0</v>
      </c>
      <c r="H30" s="337"/>
      <c r="I30" s="504"/>
      <c r="J30" s="545"/>
      <c r="K30" s="76">
        <f t="shared" si="2"/>
        <v>10000</v>
      </c>
      <c r="L30" s="224"/>
      <c r="M30" s="504"/>
      <c r="N30" s="77">
        <f ca="1">N25+5*(N32-N25)/7</f>
        <v>166.09821428571428</v>
      </c>
      <c r="O30" s="77">
        <f ca="1">O25+5*(O32-O25)/7</f>
        <v>174.61607142857142</v>
      </c>
      <c r="P30" s="337"/>
      <c r="Q30" s="588"/>
      <c r="R30" s="224"/>
      <c r="S30" s="504"/>
      <c r="T30" s="568"/>
      <c r="U30" s="564"/>
      <c r="V30" s="334"/>
      <c r="W30" s="334"/>
      <c r="X30" s="561"/>
      <c r="Y30" s="574"/>
      <c r="Z30" s="574"/>
      <c r="AA30" s="571"/>
      <c r="AB30" s="224"/>
      <c r="AC30" s="504"/>
      <c r="AD30" s="225"/>
      <c r="AE30" s="579"/>
      <c r="AF30" s="595"/>
      <c r="AG30" s="596"/>
      <c r="AH30" s="596"/>
      <c r="AI30" s="597"/>
    </row>
    <row r="31" spans="1:39" ht="15.75" customHeight="1" x14ac:dyDescent="0.2">
      <c r="A31" s="444">
        <f t="shared" si="0"/>
        <v>19</v>
      </c>
      <c r="B31" s="500"/>
      <c r="C31" s="500"/>
      <c r="D31" s="75">
        <v>20</v>
      </c>
      <c r="E31" s="224"/>
      <c r="F31" s="504"/>
      <c r="G31" s="335">
        <f t="shared" si="1"/>
        <v>0</v>
      </c>
      <c r="H31" s="337"/>
      <c r="I31" s="504"/>
      <c r="J31" s="545"/>
      <c r="K31" s="76">
        <f t="shared" si="2"/>
        <v>10000</v>
      </c>
      <c r="L31" s="224"/>
      <c r="M31" s="504"/>
      <c r="N31" s="77">
        <f ca="1">N25+6*(N32-N25)/7</f>
        <v>176.40535714285716</v>
      </c>
      <c r="O31" s="77">
        <f ca="1">O25+6*(O32-O25)/7</f>
        <v>185.45178571428571</v>
      </c>
      <c r="P31" s="337"/>
      <c r="Q31" s="588"/>
      <c r="R31" s="224"/>
      <c r="S31" s="504"/>
      <c r="T31" s="568"/>
      <c r="U31" s="564"/>
      <c r="V31" s="334"/>
      <c r="W31" s="334"/>
      <c r="X31" s="561"/>
      <c r="Y31" s="574"/>
      <c r="Z31" s="574"/>
      <c r="AA31" s="571"/>
      <c r="AB31" s="224"/>
      <c r="AC31" s="504"/>
      <c r="AD31" s="225"/>
      <c r="AE31" s="579"/>
      <c r="AF31" s="595"/>
      <c r="AG31" s="596"/>
      <c r="AH31" s="596"/>
      <c r="AI31" s="597"/>
    </row>
    <row r="32" spans="1:39" ht="15.75" customHeight="1" thickBot="1" x14ac:dyDescent="0.25">
      <c r="A32" s="445">
        <f t="shared" si="0"/>
        <v>20</v>
      </c>
      <c r="B32" s="501"/>
      <c r="C32" s="501"/>
      <c r="D32" s="347">
        <v>21</v>
      </c>
      <c r="E32" s="358"/>
      <c r="F32" s="505"/>
      <c r="G32" s="348">
        <f t="shared" si="1"/>
        <v>0</v>
      </c>
      <c r="H32" s="349"/>
      <c r="I32" s="505"/>
      <c r="J32" s="546"/>
      <c r="K32" s="350">
        <f t="shared" si="2"/>
        <v>10000</v>
      </c>
      <c r="L32" s="358"/>
      <c r="M32" s="505"/>
      <c r="N32" s="351">
        <f ca="1">OFFSET(Std!$H$4,C19,0)</f>
        <v>186.71250000000001</v>
      </c>
      <c r="O32" s="351">
        <f ca="1">OFFSET(Std!$I$4,C19,0)</f>
        <v>196.28749999999999</v>
      </c>
      <c r="P32" s="349"/>
      <c r="Q32" s="589"/>
      <c r="R32" s="358"/>
      <c r="S32" s="505"/>
      <c r="T32" s="569"/>
      <c r="U32" s="565"/>
      <c r="V32" s="352"/>
      <c r="W32" s="352"/>
      <c r="X32" s="562"/>
      <c r="Y32" s="575"/>
      <c r="Z32" s="575"/>
      <c r="AA32" s="572"/>
      <c r="AB32" s="358"/>
      <c r="AC32" s="505"/>
      <c r="AD32" s="359"/>
      <c r="AE32" s="580"/>
      <c r="AF32" s="598"/>
      <c r="AG32" s="599"/>
      <c r="AH32" s="599"/>
      <c r="AI32" s="600"/>
    </row>
    <row r="33" spans="1:35" ht="15.75" customHeight="1" x14ac:dyDescent="0.2">
      <c r="A33" s="443">
        <f t="shared" si="0"/>
        <v>21</v>
      </c>
      <c r="B33" s="502">
        <f>WEEKNUM(A33,1)</f>
        <v>3</v>
      </c>
      <c r="C33" s="499">
        <v>4</v>
      </c>
      <c r="D33" s="355">
        <v>22</v>
      </c>
      <c r="E33" s="223"/>
      <c r="F33" s="503">
        <f>SUM(E33:E39)</f>
        <v>0</v>
      </c>
      <c r="G33" s="81">
        <f t="shared" si="1"/>
        <v>0</v>
      </c>
      <c r="H33" s="345"/>
      <c r="I33" s="503">
        <f>SUM(H33:H39)</f>
        <v>0</v>
      </c>
      <c r="J33" s="566">
        <f ca="1">OFFSET('Graph values'!$Y$96,C26,0)/'Graph values'!$Q$117</f>
        <v>0</v>
      </c>
      <c r="K33" s="82">
        <f t="shared" si="2"/>
        <v>10000</v>
      </c>
      <c r="L33" s="223"/>
      <c r="M33" s="503" t="str">
        <f>IF(L39="",IF(L38="",IF(L37="",IF(L36="",IF(L35="",IF(L34="",IF(L33="","",L33),L34),L35),L36),L37),L38),L39)</f>
        <v/>
      </c>
      <c r="N33" s="83">
        <f ca="1">N32+1*(N39-N32)/7</f>
        <v>198.41249999999999</v>
      </c>
      <c r="O33" s="83">
        <f ca="1">O32+1*(O39-O32)/7</f>
        <v>208.58750000000001</v>
      </c>
      <c r="P33" s="345"/>
      <c r="Q33" s="587" t="str">
        <f>IF(P39="",IF(P38="",IF(P37="",IF(P36="",IF(P35="",IF(P34="",IF(P33="","",P33),P34),P35),P36),P37),P38),P39)</f>
        <v/>
      </c>
      <c r="R33" s="223"/>
      <c r="S33" s="503">
        <f>SUM(R33:R39)</f>
        <v>0</v>
      </c>
      <c r="T33" s="583" t="e">
        <f>IF(S33="","",S33/AVERAGE(K33:K39)*1000/COUNTA(R33:R39))</f>
        <v>#DIV/0!</v>
      </c>
      <c r="U33" s="563" t="e">
        <f>IF(S33="","",IF(X33="","",S33/X33))</f>
        <v>#DIV/0!</v>
      </c>
      <c r="V33" s="357"/>
      <c r="W33" s="357"/>
      <c r="X33" s="560">
        <f>IF(SUM(W33:W39)=0,SUM(V33:V39),SUM(W33:W39)-SUM(V33:V39))</f>
        <v>0</v>
      </c>
      <c r="Y33" s="573">
        <f>IF(X33="","",X33/K33*1000)/7</f>
        <v>0</v>
      </c>
      <c r="Z33" s="573" t="str">
        <f>TEXT(VLOOKUP(C33,Std!$A$3:$K$103,10,FALSE),0)&amp;"-"&amp;TEXT(VLOOKUP(C33,Std!$A$3:$K$103,11,FALSE),0)</f>
        <v>30-32</v>
      </c>
      <c r="AA33" s="570">
        <f>IF(X33="","",X33/K39*1000)+AA26</f>
        <v>0</v>
      </c>
      <c r="AB33" s="223"/>
      <c r="AC33" s="503" t="str">
        <f>IF(OR(MIN(AB33:AB39)=0,MIN(AB33:AB39)&gt;24),"",MIN(AB33:AB39))</f>
        <v/>
      </c>
      <c r="AD33" s="226"/>
      <c r="AE33" s="578" t="str">
        <f>IF(MIN(AD33:AD39)=0,"",MIN(AD33:AD39))</f>
        <v/>
      </c>
      <c r="AF33" s="592"/>
      <c r="AG33" s="593"/>
      <c r="AH33" s="593"/>
      <c r="AI33" s="594"/>
    </row>
    <row r="34" spans="1:35" ht="15.75" customHeight="1" x14ac:dyDescent="0.2">
      <c r="A34" s="444">
        <f t="shared" si="0"/>
        <v>22</v>
      </c>
      <c r="B34" s="500"/>
      <c r="C34" s="500"/>
      <c r="D34" s="75">
        <v>23</v>
      </c>
      <c r="E34" s="224"/>
      <c r="F34" s="504"/>
      <c r="G34" s="335">
        <f t="shared" si="1"/>
        <v>0</v>
      </c>
      <c r="H34" s="337"/>
      <c r="I34" s="504"/>
      <c r="J34" s="545"/>
      <c r="K34" s="80">
        <f t="shared" si="2"/>
        <v>10000</v>
      </c>
      <c r="L34" s="224"/>
      <c r="M34" s="504"/>
      <c r="N34" s="77">
        <f ca="1">N32+2*(N39-N32)/7</f>
        <v>210.11250000000001</v>
      </c>
      <c r="O34" s="77">
        <f ca="1">O32+2*(O39-O32)/7</f>
        <v>220.88749999999999</v>
      </c>
      <c r="P34" s="337"/>
      <c r="Q34" s="588"/>
      <c r="R34" s="224"/>
      <c r="S34" s="504"/>
      <c r="T34" s="568"/>
      <c r="U34" s="564"/>
      <c r="V34" s="334"/>
      <c r="W34" s="334"/>
      <c r="X34" s="561"/>
      <c r="Y34" s="574"/>
      <c r="Z34" s="574"/>
      <c r="AA34" s="571"/>
      <c r="AB34" s="224"/>
      <c r="AC34" s="504"/>
      <c r="AD34" s="225"/>
      <c r="AE34" s="579"/>
      <c r="AF34" s="595"/>
      <c r="AG34" s="596"/>
      <c r="AH34" s="596"/>
      <c r="AI34" s="597"/>
    </row>
    <row r="35" spans="1:35" ht="15.75" customHeight="1" x14ac:dyDescent="0.2">
      <c r="A35" s="444">
        <f t="shared" si="0"/>
        <v>23</v>
      </c>
      <c r="B35" s="500"/>
      <c r="C35" s="500"/>
      <c r="D35" s="75">
        <v>24</v>
      </c>
      <c r="E35" s="224"/>
      <c r="F35" s="504"/>
      <c r="G35" s="335">
        <f t="shared" si="1"/>
        <v>0</v>
      </c>
      <c r="H35" s="337"/>
      <c r="I35" s="504"/>
      <c r="J35" s="545"/>
      <c r="K35" s="80">
        <f t="shared" si="2"/>
        <v>10000</v>
      </c>
      <c r="L35" s="224"/>
      <c r="M35" s="504"/>
      <c r="N35" s="77">
        <f ca="1">N32+3*(N39-N32)/7</f>
        <v>221.8125</v>
      </c>
      <c r="O35" s="77">
        <f ca="1">O32+3*(O39-O32)/7</f>
        <v>233.1875</v>
      </c>
      <c r="P35" s="337"/>
      <c r="Q35" s="588"/>
      <c r="R35" s="224"/>
      <c r="S35" s="504"/>
      <c r="T35" s="568"/>
      <c r="U35" s="564"/>
      <c r="V35" s="334"/>
      <c r="W35" s="334"/>
      <c r="X35" s="561"/>
      <c r="Y35" s="574"/>
      <c r="Z35" s="574"/>
      <c r="AA35" s="571"/>
      <c r="AB35" s="224"/>
      <c r="AC35" s="504"/>
      <c r="AD35" s="225"/>
      <c r="AE35" s="579"/>
      <c r="AF35" s="595"/>
      <c r="AG35" s="596"/>
      <c r="AH35" s="596"/>
      <c r="AI35" s="597"/>
    </row>
    <row r="36" spans="1:35" ht="15.75" customHeight="1" x14ac:dyDescent="0.2">
      <c r="A36" s="444">
        <f t="shared" si="0"/>
        <v>24</v>
      </c>
      <c r="B36" s="500"/>
      <c r="C36" s="500"/>
      <c r="D36" s="75">
        <v>25</v>
      </c>
      <c r="E36" s="224"/>
      <c r="F36" s="504"/>
      <c r="G36" s="335">
        <f t="shared" si="1"/>
        <v>0</v>
      </c>
      <c r="H36" s="337"/>
      <c r="I36" s="504"/>
      <c r="J36" s="545"/>
      <c r="K36" s="80">
        <f t="shared" si="2"/>
        <v>10000</v>
      </c>
      <c r="L36" s="224"/>
      <c r="M36" s="504"/>
      <c r="N36" s="77">
        <f ca="1">N32+4*(N39-N32)/7</f>
        <v>233.51250000000002</v>
      </c>
      <c r="O36" s="77">
        <f ca="1">O32+4*(O39-O32)/7</f>
        <v>245.48749999999998</v>
      </c>
      <c r="P36" s="337"/>
      <c r="Q36" s="588"/>
      <c r="R36" s="224"/>
      <c r="S36" s="504"/>
      <c r="T36" s="568"/>
      <c r="U36" s="564"/>
      <c r="V36" s="334"/>
      <c r="W36" s="334"/>
      <c r="X36" s="561"/>
      <c r="Y36" s="574"/>
      <c r="Z36" s="574"/>
      <c r="AA36" s="571"/>
      <c r="AB36" s="224"/>
      <c r="AC36" s="504"/>
      <c r="AD36" s="225"/>
      <c r="AE36" s="579"/>
      <c r="AF36" s="595"/>
      <c r="AG36" s="596"/>
      <c r="AH36" s="596"/>
      <c r="AI36" s="597"/>
    </row>
    <row r="37" spans="1:35" ht="15.75" customHeight="1" x14ac:dyDescent="0.2">
      <c r="A37" s="444">
        <f t="shared" si="0"/>
        <v>25</v>
      </c>
      <c r="B37" s="500"/>
      <c r="C37" s="500"/>
      <c r="D37" s="75">
        <v>26</v>
      </c>
      <c r="E37" s="224"/>
      <c r="F37" s="504"/>
      <c r="G37" s="335">
        <f t="shared" si="1"/>
        <v>0</v>
      </c>
      <c r="H37" s="337"/>
      <c r="I37" s="504"/>
      <c r="J37" s="545"/>
      <c r="K37" s="80">
        <f t="shared" si="2"/>
        <v>10000</v>
      </c>
      <c r="L37" s="224"/>
      <c r="M37" s="504"/>
      <c r="N37" s="77">
        <f ca="1">N32+5*(N39-N32)/7</f>
        <v>245.21250000000001</v>
      </c>
      <c r="O37" s="77">
        <f ca="1">O32+5*(O39-O32)/7</f>
        <v>257.78750000000002</v>
      </c>
      <c r="P37" s="337"/>
      <c r="Q37" s="588"/>
      <c r="R37" s="224"/>
      <c r="S37" s="504"/>
      <c r="T37" s="568"/>
      <c r="U37" s="564"/>
      <c r="V37" s="334"/>
      <c r="W37" s="334"/>
      <c r="X37" s="561"/>
      <c r="Y37" s="574"/>
      <c r="Z37" s="574"/>
      <c r="AA37" s="571"/>
      <c r="AB37" s="224"/>
      <c r="AC37" s="504"/>
      <c r="AD37" s="225"/>
      <c r="AE37" s="579"/>
      <c r="AF37" s="595"/>
      <c r="AG37" s="596"/>
      <c r="AH37" s="596"/>
      <c r="AI37" s="597"/>
    </row>
    <row r="38" spans="1:35" ht="15.75" customHeight="1" x14ac:dyDescent="0.2">
      <c r="A38" s="444">
        <f t="shared" si="0"/>
        <v>26</v>
      </c>
      <c r="B38" s="500"/>
      <c r="C38" s="500"/>
      <c r="D38" s="75">
        <v>27</v>
      </c>
      <c r="E38" s="224"/>
      <c r="F38" s="504"/>
      <c r="G38" s="335">
        <f t="shared" si="1"/>
        <v>0</v>
      </c>
      <c r="H38" s="337"/>
      <c r="I38" s="504"/>
      <c r="J38" s="545"/>
      <c r="K38" s="80">
        <f t="shared" si="2"/>
        <v>10000</v>
      </c>
      <c r="L38" s="224"/>
      <c r="M38" s="504"/>
      <c r="N38" s="77">
        <f ca="1">N32+6*(N39-N32)/7</f>
        <v>256.91250000000002</v>
      </c>
      <c r="O38" s="77">
        <f ca="1">O32+6*(O39-O32)/7</f>
        <v>270.08749999999998</v>
      </c>
      <c r="P38" s="337"/>
      <c r="Q38" s="588"/>
      <c r="R38" s="224"/>
      <c r="S38" s="504"/>
      <c r="T38" s="568"/>
      <c r="U38" s="564"/>
      <c r="V38" s="334"/>
      <c r="W38" s="334"/>
      <c r="X38" s="561"/>
      <c r="Y38" s="574"/>
      <c r="Z38" s="574"/>
      <c r="AA38" s="571"/>
      <c r="AB38" s="224"/>
      <c r="AC38" s="504"/>
      <c r="AD38" s="225"/>
      <c r="AE38" s="579"/>
      <c r="AF38" s="595"/>
      <c r="AG38" s="596"/>
      <c r="AH38" s="596"/>
      <c r="AI38" s="597"/>
    </row>
    <row r="39" spans="1:35" ht="15.75" customHeight="1" thickBot="1" x14ac:dyDescent="0.25">
      <c r="A39" s="445">
        <f t="shared" si="0"/>
        <v>27</v>
      </c>
      <c r="B39" s="501"/>
      <c r="C39" s="501"/>
      <c r="D39" s="347">
        <v>28</v>
      </c>
      <c r="E39" s="358"/>
      <c r="F39" s="505"/>
      <c r="G39" s="348">
        <f t="shared" si="1"/>
        <v>0</v>
      </c>
      <c r="H39" s="349"/>
      <c r="I39" s="505"/>
      <c r="J39" s="546"/>
      <c r="K39" s="361">
        <f t="shared" si="2"/>
        <v>10000</v>
      </c>
      <c r="L39" s="358"/>
      <c r="M39" s="505"/>
      <c r="N39" s="351">
        <f ca="1">OFFSET(Std!$H$4,C26,0)</f>
        <v>268.61250000000001</v>
      </c>
      <c r="O39" s="351">
        <f ca="1">OFFSET(Std!$I$4,C26,0)</f>
        <v>282.38749999999999</v>
      </c>
      <c r="P39" s="349"/>
      <c r="Q39" s="589"/>
      <c r="R39" s="358"/>
      <c r="S39" s="505"/>
      <c r="T39" s="569"/>
      <c r="U39" s="565"/>
      <c r="V39" s="352"/>
      <c r="W39" s="352"/>
      <c r="X39" s="562"/>
      <c r="Y39" s="575"/>
      <c r="Z39" s="575"/>
      <c r="AA39" s="572"/>
      <c r="AB39" s="358"/>
      <c r="AC39" s="505"/>
      <c r="AD39" s="359"/>
      <c r="AE39" s="580"/>
      <c r="AF39" s="598"/>
      <c r="AG39" s="599"/>
      <c r="AH39" s="599"/>
      <c r="AI39" s="600"/>
    </row>
    <row r="40" spans="1:35" ht="15.75" customHeight="1" x14ac:dyDescent="0.2">
      <c r="A40" s="443">
        <f t="shared" si="0"/>
        <v>28</v>
      </c>
      <c r="B40" s="502">
        <f>WEEKNUM(A40,1)</f>
        <v>4</v>
      </c>
      <c r="C40" s="499">
        <v>5</v>
      </c>
      <c r="D40" s="355">
        <v>29</v>
      </c>
      <c r="E40" s="223"/>
      <c r="F40" s="503">
        <f>SUM(E40:E46)</f>
        <v>0</v>
      </c>
      <c r="G40" s="81">
        <f t="shared" si="1"/>
        <v>0</v>
      </c>
      <c r="H40" s="345"/>
      <c r="I40" s="503">
        <f>SUM(H40:H46)</f>
        <v>0</v>
      </c>
      <c r="J40" s="566">
        <f ca="1">OFFSET('Graph values'!$Y$96,C33,0)/'Graph values'!$Q$117</f>
        <v>0</v>
      </c>
      <c r="K40" s="82">
        <f t="shared" si="2"/>
        <v>10000</v>
      </c>
      <c r="L40" s="223"/>
      <c r="M40" s="503" t="str">
        <f>IF(L46="",IF(L45="",IF(L44="",IF(L43="",IF(L42="",IF(L41="",IF(L40="","",L40),L41),L42),L43),L44),L45),L46)</f>
        <v/>
      </c>
      <c r="N40" s="83">
        <f ca="1">N39+1*(N46-N39)/7</f>
        <v>281.77500000000003</v>
      </c>
      <c r="O40" s="83">
        <f ca="1">O39+1*(O46-O39)/7</f>
        <v>296.22499999999997</v>
      </c>
      <c r="P40" s="345"/>
      <c r="Q40" s="587" t="str">
        <f>IF(P46="",IF(P45="",IF(P44="",IF(P43="",IF(P42="",IF(P41="",IF(P40="","",P40),P41),P42),P43),P44),P45),P46)</f>
        <v/>
      </c>
      <c r="R40" s="223"/>
      <c r="S40" s="503">
        <f>SUM(R40:R46)</f>
        <v>0</v>
      </c>
      <c r="T40" s="583" t="e">
        <f>IF(S40="","",S40/AVERAGE(K40:K46)*1000/COUNTA(R40:R46))</f>
        <v>#DIV/0!</v>
      </c>
      <c r="U40" s="563" t="e">
        <f>IF(S40="","",IF(X40="","",S40/X40))</f>
        <v>#DIV/0!</v>
      </c>
      <c r="V40" s="357"/>
      <c r="W40" s="357"/>
      <c r="X40" s="560">
        <f>IF(SUM(W40:W46)=0,SUM(V40:V46),SUM(W40:W46)-SUM(V40:V46))</f>
        <v>0</v>
      </c>
      <c r="Y40" s="573">
        <f>IF(X40="","",X40/K40*1000)/7</f>
        <v>0</v>
      </c>
      <c r="Z40" s="573" t="str">
        <f>TEXT(VLOOKUP(C40,Std!$A$3:$K$103,10,FALSE),0)&amp;"-"&amp;TEXT(VLOOKUP(C40,Std!$A$3:$K$103,11,FALSE),0)</f>
        <v>36-38</v>
      </c>
      <c r="AA40" s="570">
        <f>IF(X40="","",X40/K46*1000)+AA33</f>
        <v>0</v>
      </c>
      <c r="AB40" s="223"/>
      <c r="AC40" s="503" t="str">
        <f>IF(OR(MIN(AB40:AB46)=0,MIN(AB40:AB46)&gt;24),"",MIN(AB40:AB46))</f>
        <v/>
      </c>
      <c r="AD40" s="226"/>
      <c r="AE40" s="578" t="str">
        <f>IF(MIN(AD40:AD46)=0,"",MIN(AD40:AD46))</f>
        <v/>
      </c>
      <c r="AF40" s="592"/>
      <c r="AG40" s="593"/>
      <c r="AH40" s="593"/>
      <c r="AI40" s="594"/>
    </row>
    <row r="41" spans="1:35" ht="15.75" customHeight="1" x14ac:dyDescent="0.2">
      <c r="A41" s="444">
        <f t="shared" si="0"/>
        <v>29</v>
      </c>
      <c r="B41" s="500"/>
      <c r="C41" s="500"/>
      <c r="D41" s="75">
        <v>30</v>
      </c>
      <c r="E41" s="224"/>
      <c r="F41" s="504"/>
      <c r="G41" s="335">
        <f t="shared" si="1"/>
        <v>0</v>
      </c>
      <c r="H41" s="337"/>
      <c r="I41" s="504"/>
      <c r="J41" s="545"/>
      <c r="K41" s="80">
        <f t="shared" si="2"/>
        <v>10000</v>
      </c>
      <c r="L41" s="224"/>
      <c r="M41" s="504"/>
      <c r="N41" s="77">
        <f ca="1">N39+2*(N46-N39)/7</f>
        <v>294.9375</v>
      </c>
      <c r="O41" s="77">
        <f ca="1">O39+2*(O46-O39)/7</f>
        <v>310.0625</v>
      </c>
      <c r="P41" s="337"/>
      <c r="Q41" s="588"/>
      <c r="R41" s="224"/>
      <c r="S41" s="504"/>
      <c r="T41" s="568"/>
      <c r="U41" s="564"/>
      <c r="V41" s="334"/>
      <c r="W41" s="334"/>
      <c r="X41" s="561"/>
      <c r="Y41" s="574"/>
      <c r="Z41" s="574"/>
      <c r="AA41" s="571"/>
      <c r="AB41" s="224"/>
      <c r="AC41" s="504"/>
      <c r="AD41" s="225"/>
      <c r="AE41" s="579"/>
      <c r="AF41" s="595"/>
      <c r="AG41" s="596"/>
      <c r="AH41" s="596"/>
      <c r="AI41" s="597"/>
    </row>
    <row r="42" spans="1:35" ht="15.75" customHeight="1" x14ac:dyDescent="0.2">
      <c r="A42" s="444">
        <f t="shared" si="0"/>
        <v>30</v>
      </c>
      <c r="B42" s="500"/>
      <c r="C42" s="500"/>
      <c r="D42" s="75">
        <v>31</v>
      </c>
      <c r="E42" s="224"/>
      <c r="F42" s="504"/>
      <c r="G42" s="335">
        <f t="shared" si="1"/>
        <v>0</v>
      </c>
      <c r="H42" s="337"/>
      <c r="I42" s="504"/>
      <c r="J42" s="545"/>
      <c r="K42" s="80">
        <f t="shared" si="2"/>
        <v>10000</v>
      </c>
      <c r="L42" s="224"/>
      <c r="M42" s="504"/>
      <c r="N42" s="77">
        <f ca="1">N39+3*(N46-N39)/7</f>
        <v>308.10000000000002</v>
      </c>
      <c r="O42" s="77">
        <f ca="1">O39+3*(O46-O39)/7</f>
        <v>323.89999999999998</v>
      </c>
      <c r="P42" s="337"/>
      <c r="Q42" s="588"/>
      <c r="R42" s="224"/>
      <c r="S42" s="504"/>
      <c r="T42" s="568"/>
      <c r="U42" s="564"/>
      <c r="V42" s="334"/>
      <c r="W42" s="334"/>
      <c r="X42" s="561"/>
      <c r="Y42" s="574"/>
      <c r="Z42" s="574"/>
      <c r="AA42" s="571"/>
      <c r="AB42" s="224"/>
      <c r="AC42" s="504"/>
      <c r="AD42" s="225"/>
      <c r="AE42" s="579"/>
      <c r="AF42" s="595"/>
      <c r="AG42" s="596"/>
      <c r="AH42" s="596"/>
      <c r="AI42" s="597"/>
    </row>
    <row r="43" spans="1:35" ht="15.75" customHeight="1" x14ac:dyDescent="0.2">
      <c r="A43" s="444">
        <f t="shared" si="0"/>
        <v>31</v>
      </c>
      <c r="B43" s="500"/>
      <c r="C43" s="500"/>
      <c r="D43" s="75">
        <v>32</v>
      </c>
      <c r="E43" s="224"/>
      <c r="F43" s="504"/>
      <c r="G43" s="335">
        <f t="shared" si="1"/>
        <v>0</v>
      </c>
      <c r="H43" s="337"/>
      <c r="I43" s="504"/>
      <c r="J43" s="545"/>
      <c r="K43" s="80">
        <f t="shared" si="2"/>
        <v>10000</v>
      </c>
      <c r="L43" s="224"/>
      <c r="M43" s="504"/>
      <c r="N43" s="77">
        <f ca="1">N39+4*(N46-N39)/7</f>
        <v>321.26249999999999</v>
      </c>
      <c r="O43" s="77">
        <f ca="1">O39+4*(O46-O39)/7</f>
        <v>337.73749999999995</v>
      </c>
      <c r="P43" s="337"/>
      <c r="Q43" s="588"/>
      <c r="R43" s="224"/>
      <c r="S43" s="504"/>
      <c r="T43" s="568"/>
      <c r="U43" s="564"/>
      <c r="V43" s="334"/>
      <c r="W43" s="334"/>
      <c r="X43" s="561"/>
      <c r="Y43" s="574"/>
      <c r="Z43" s="574"/>
      <c r="AA43" s="571"/>
      <c r="AB43" s="224"/>
      <c r="AC43" s="504"/>
      <c r="AD43" s="225"/>
      <c r="AE43" s="579"/>
      <c r="AF43" s="595"/>
      <c r="AG43" s="596"/>
      <c r="AH43" s="596"/>
      <c r="AI43" s="597"/>
    </row>
    <row r="44" spans="1:35" ht="15.75" customHeight="1" x14ac:dyDescent="0.2">
      <c r="A44" s="444">
        <f t="shared" si="0"/>
        <v>32</v>
      </c>
      <c r="B44" s="500"/>
      <c r="C44" s="500"/>
      <c r="D44" s="75">
        <v>33</v>
      </c>
      <c r="E44" s="224"/>
      <c r="F44" s="504"/>
      <c r="G44" s="335">
        <f t="shared" si="1"/>
        <v>0</v>
      </c>
      <c r="H44" s="337"/>
      <c r="I44" s="504"/>
      <c r="J44" s="545"/>
      <c r="K44" s="80">
        <f t="shared" si="2"/>
        <v>10000</v>
      </c>
      <c r="L44" s="224"/>
      <c r="M44" s="504"/>
      <c r="N44" s="77">
        <f ca="1">N39+5*(N46-N39)/7</f>
        <v>334.42500000000001</v>
      </c>
      <c r="O44" s="77">
        <f ca="1">O39+5*(O46-O39)/7</f>
        <v>351.57499999999993</v>
      </c>
      <c r="P44" s="337"/>
      <c r="Q44" s="588"/>
      <c r="R44" s="224"/>
      <c r="S44" s="504"/>
      <c r="T44" s="568"/>
      <c r="U44" s="564"/>
      <c r="V44" s="334"/>
      <c r="W44" s="334"/>
      <c r="X44" s="561"/>
      <c r="Y44" s="574"/>
      <c r="Z44" s="574"/>
      <c r="AA44" s="571"/>
      <c r="AB44" s="224"/>
      <c r="AC44" s="504"/>
      <c r="AD44" s="225"/>
      <c r="AE44" s="579"/>
      <c r="AF44" s="595"/>
      <c r="AG44" s="596"/>
      <c r="AH44" s="596"/>
      <c r="AI44" s="597"/>
    </row>
    <row r="45" spans="1:35" ht="15.75" customHeight="1" x14ac:dyDescent="0.2">
      <c r="A45" s="444">
        <f t="shared" si="0"/>
        <v>33</v>
      </c>
      <c r="B45" s="500"/>
      <c r="C45" s="500"/>
      <c r="D45" s="75">
        <v>34</v>
      </c>
      <c r="E45" s="224"/>
      <c r="F45" s="504"/>
      <c r="G45" s="335">
        <f t="shared" si="1"/>
        <v>0</v>
      </c>
      <c r="H45" s="337"/>
      <c r="I45" s="504"/>
      <c r="J45" s="545"/>
      <c r="K45" s="80">
        <f t="shared" si="2"/>
        <v>10000</v>
      </c>
      <c r="L45" s="224"/>
      <c r="M45" s="504"/>
      <c r="N45" s="77">
        <f ca="1">N39+6*(N46-N39)/7</f>
        <v>347.58749999999998</v>
      </c>
      <c r="O45" s="77">
        <f ca="1">O39+6*(O46-O39)/7</f>
        <v>365.41249999999997</v>
      </c>
      <c r="P45" s="337"/>
      <c r="Q45" s="588"/>
      <c r="R45" s="224"/>
      <c r="S45" s="504"/>
      <c r="T45" s="568"/>
      <c r="U45" s="564"/>
      <c r="V45" s="334"/>
      <c r="W45" s="334"/>
      <c r="X45" s="561"/>
      <c r="Y45" s="574"/>
      <c r="Z45" s="574"/>
      <c r="AA45" s="571"/>
      <c r="AB45" s="224"/>
      <c r="AC45" s="504"/>
      <c r="AD45" s="225"/>
      <c r="AE45" s="579"/>
      <c r="AF45" s="595"/>
      <c r="AG45" s="596"/>
      <c r="AH45" s="596"/>
      <c r="AI45" s="597"/>
    </row>
    <row r="46" spans="1:35" ht="15.75" customHeight="1" thickBot="1" x14ac:dyDescent="0.25">
      <c r="A46" s="445">
        <f t="shared" si="0"/>
        <v>34</v>
      </c>
      <c r="B46" s="501"/>
      <c r="C46" s="501"/>
      <c r="D46" s="347">
        <v>35</v>
      </c>
      <c r="E46" s="358"/>
      <c r="F46" s="505"/>
      <c r="G46" s="348">
        <f t="shared" si="1"/>
        <v>0</v>
      </c>
      <c r="H46" s="349"/>
      <c r="I46" s="505"/>
      <c r="J46" s="546"/>
      <c r="K46" s="361">
        <f t="shared" si="2"/>
        <v>10000</v>
      </c>
      <c r="L46" s="358"/>
      <c r="M46" s="505"/>
      <c r="N46" s="351">
        <f ca="1">OFFSET(Std!$H$4,C33,0)</f>
        <v>360.75</v>
      </c>
      <c r="O46" s="351">
        <f ca="1">OFFSET(Std!$I$4,C33,0)</f>
        <v>379.24999999999994</v>
      </c>
      <c r="P46" s="349"/>
      <c r="Q46" s="589"/>
      <c r="R46" s="358"/>
      <c r="S46" s="505"/>
      <c r="T46" s="569"/>
      <c r="U46" s="565"/>
      <c r="V46" s="352"/>
      <c r="W46" s="352"/>
      <c r="X46" s="562"/>
      <c r="Y46" s="575"/>
      <c r="Z46" s="575"/>
      <c r="AA46" s="572"/>
      <c r="AB46" s="358"/>
      <c r="AC46" s="505"/>
      <c r="AD46" s="359"/>
      <c r="AE46" s="580"/>
      <c r="AF46" s="598"/>
      <c r="AG46" s="599"/>
      <c r="AH46" s="599"/>
      <c r="AI46" s="600"/>
    </row>
    <row r="47" spans="1:35" ht="15.75" customHeight="1" x14ac:dyDescent="0.2">
      <c r="A47" s="446">
        <f t="shared" si="0"/>
        <v>35</v>
      </c>
      <c r="B47" s="502">
        <f>WEEKNUM(A47,1)</f>
        <v>5</v>
      </c>
      <c r="C47" s="499">
        <v>6</v>
      </c>
      <c r="D47" s="362">
        <v>36</v>
      </c>
      <c r="E47" s="223"/>
      <c r="F47" s="503">
        <f>SUM(E47:E53)</f>
        <v>0</v>
      </c>
      <c r="G47" s="81">
        <f t="shared" si="1"/>
        <v>0</v>
      </c>
      <c r="H47" s="345"/>
      <c r="I47" s="503">
        <f>SUM(H47:H53)</f>
        <v>0</v>
      </c>
      <c r="J47" s="566">
        <f ca="1">OFFSET('Graph values'!$Y$96,C40,0)/'Graph values'!$Q$117</f>
        <v>0</v>
      </c>
      <c r="K47" s="82">
        <f t="shared" si="2"/>
        <v>10000</v>
      </c>
      <c r="L47" s="223"/>
      <c r="M47" s="503" t="str">
        <f>IF(L53="",IF(L52="",IF(L51="",IF(L50="",IF(L49="",IF(L48="",IF(L47="","",L47),L48),L49),L50),L51),L52),L53)</f>
        <v/>
      </c>
      <c r="N47" s="83">
        <f ca="1">N46+1*(N53-N46)/7</f>
        <v>374.81785714285712</v>
      </c>
      <c r="O47" s="83">
        <f ca="1">O46+1*(O53-O46)/7</f>
        <v>394.03928571428565</v>
      </c>
      <c r="P47" s="345"/>
      <c r="Q47" s="587" t="str">
        <f>IF(P53="",IF(P52="",IF(P51="",IF(P50="",IF(P49="",IF(P48="",IF(P47="","",P47),P48),P49),P50),P51),P52),P53)</f>
        <v/>
      </c>
      <c r="R47" s="223"/>
      <c r="S47" s="503">
        <f>SUM(R47:R53)</f>
        <v>0</v>
      </c>
      <c r="T47" s="583" t="e">
        <f>IF(S47="","",S47/AVERAGE(K47:K53)*1000/COUNTA(R47:R53))</f>
        <v>#DIV/0!</v>
      </c>
      <c r="U47" s="563" t="e">
        <f>IF(S47="","",IF(X47="","",S47/X47))</f>
        <v>#DIV/0!</v>
      </c>
      <c r="V47" s="357"/>
      <c r="W47" s="357"/>
      <c r="X47" s="560">
        <f>IF(SUM(W47:W53)=0,SUM(V47:V53),SUM(W47:W53)-SUM(V47:V53))</f>
        <v>0</v>
      </c>
      <c r="Y47" s="573">
        <f>IF(X47="","",X47/K47*1000)/7</f>
        <v>0</v>
      </c>
      <c r="Z47" s="573" t="str">
        <f>TEXT(VLOOKUP(C47,Std!$A$3:$K$103,10,FALSE),0)&amp;"-"&amp;TEXT(VLOOKUP(C47,Std!$A$3:$K$103,11,FALSE),0)</f>
        <v>41-43</v>
      </c>
      <c r="AA47" s="570">
        <f>IF(X47="","",X47/K53*1000)+AA40</f>
        <v>0</v>
      </c>
      <c r="AB47" s="223"/>
      <c r="AC47" s="503" t="str">
        <f>IF(OR(MIN(AB47:AB53)=0,MIN(AB47:AB53)&gt;24),"",MIN(AB47:AB53))</f>
        <v/>
      </c>
      <c r="AD47" s="226"/>
      <c r="AE47" s="578" t="str">
        <f>IF(MIN(AD47:AD53)=0,"",MIN(AD47:AD53))</f>
        <v/>
      </c>
      <c r="AF47" s="592"/>
      <c r="AG47" s="593"/>
      <c r="AH47" s="593"/>
      <c r="AI47" s="594"/>
    </row>
    <row r="48" spans="1:35" ht="15.75" customHeight="1" x14ac:dyDescent="0.2">
      <c r="A48" s="444">
        <f t="shared" si="0"/>
        <v>36</v>
      </c>
      <c r="B48" s="500"/>
      <c r="C48" s="500"/>
      <c r="D48" s="79">
        <v>37</v>
      </c>
      <c r="E48" s="224"/>
      <c r="F48" s="504"/>
      <c r="G48" s="335">
        <f t="shared" si="1"/>
        <v>0</v>
      </c>
      <c r="H48" s="337"/>
      <c r="I48" s="504"/>
      <c r="J48" s="545"/>
      <c r="K48" s="80">
        <f t="shared" si="2"/>
        <v>10000</v>
      </c>
      <c r="L48" s="224"/>
      <c r="M48" s="504"/>
      <c r="N48" s="77">
        <f ca="1">N46+2*(N53-N46)/7</f>
        <v>388.8857142857143</v>
      </c>
      <c r="O48" s="77">
        <f ca="1">O46+2*(O53-O46)/7</f>
        <v>408.82857142857137</v>
      </c>
      <c r="P48" s="337"/>
      <c r="Q48" s="588"/>
      <c r="R48" s="224"/>
      <c r="S48" s="504"/>
      <c r="T48" s="568"/>
      <c r="U48" s="564"/>
      <c r="V48" s="334"/>
      <c r="W48" s="334"/>
      <c r="X48" s="561"/>
      <c r="Y48" s="574"/>
      <c r="Z48" s="574"/>
      <c r="AA48" s="571"/>
      <c r="AB48" s="224"/>
      <c r="AC48" s="504"/>
      <c r="AD48" s="225"/>
      <c r="AE48" s="579"/>
      <c r="AF48" s="595"/>
      <c r="AG48" s="596"/>
      <c r="AH48" s="596"/>
      <c r="AI48" s="597"/>
    </row>
    <row r="49" spans="1:35" ht="15.75" customHeight="1" x14ac:dyDescent="0.2">
      <c r="A49" s="444">
        <f t="shared" si="0"/>
        <v>37</v>
      </c>
      <c r="B49" s="500"/>
      <c r="C49" s="500"/>
      <c r="D49" s="79">
        <v>38</v>
      </c>
      <c r="E49" s="224"/>
      <c r="F49" s="504"/>
      <c r="G49" s="335">
        <f t="shared" si="1"/>
        <v>0</v>
      </c>
      <c r="H49" s="337"/>
      <c r="I49" s="504"/>
      <c r="J49" s="545"/>
      <c r="K49" s="80">
        <f t="shared" si="2"/>
        <v>10000</v>
      </c>
      <c r="L49" s="224"/>
      <c r="M49" s="504"/>
      <c r="N49" s="77">
        <f ca="1">N46+3*(N53-N46)/7</f>
        <v>402.95357142857142</v>
      </c>
      <c r="O49" s="77">
        <f ca="1">O46+3*(O53-O46)/7</f>
        <v>423.61785714285708</v>
      </c>
      <c r="P49" s="337"/>
      <c r="Q49" s="588"/>
      <c r="R49" s="224"/>
      <c r="S49" s="504"/>
      <c r="T49" s="568"/>
      <c r="U49" s="564"/>
      <c r="V49" s="334"/>
      <c r="W49" s="334"/>
      <c r="X49" s="561"/>
      <c r="Y49" s="574"/>
      <c r="Z49" s="574"/>
      <c r="AA49" s="571"/>
      <c r="AB49" s="224"/>
      <c r="AC49" s="504"/>
      <c r="AD49" s="225"/>
      <c r="AE49" s="579"/>
      <c r="AF49" s="595"/>
      <c r="AG49" s="596"/>
      <c r="AH49" s="596"/>
      <c r="AI49" s="597"/>
    </row>
    <row r="50" spans="1:35" ht="15.75" customHeight="1" x14ac:dyDescent="0.2">
      <c r="A50" s="444">
        <f t="shared" si="0"/>
        <v>38</v>
      </c>
      <c r="B50" s="500"/>
      <c r="C50" s="500"/>
      <c r="D50" s="79">
        <v>39</v>
      </c>
      <c r="E50" s="224"/>
      <c r="F50" s="504"/>
      <c r="G50" s="335">
        <f t="shared" si="1"/>
        <v>0</v>
      </c>
      <c r="H50" s="337"/>
      <c r="I50" s="504"/>
      <c r="J50" s="545"/>
      <c r="K50" s="80">
        <f t="shared" si="2"/>
        <v>10000</v>
      </c>
      <c r="L50" s="224"/>
      <c r="M50" s="504"/>
      <c r="N50" s="77">
        <f ca="1">N46+4*(N53-N46)/7</f>
        <v>417.02142857142854</v>
      </c>
      <c r="O50" s="77">
        <f ca="1">O46+4*(O53-O46)/7</f>
        <v>438.40714285714284</v>
      </c>
      <c r="P50" s="337"/>
      <c r="Q50" s="588"/>
      <c r="R50" s="224"/>
      <c r="S50" s="504"/>
      <c r="T50" s="568"/>
      <c r="U50" s="564"/>
      <c r="V50" s="334"/>
      <c r="W50" s="334"/>
      <c r="X50" s="561"/>
      <c r="Y50" s="574"/>
      <c r="Z50" s="574"/>
      <c r="AA50" s="571"/>
      <c r="AB50" s="224"/>
      <c r="AC50" s="504"/>
      <c r="AD50" s="225"/>
      <c r="AE50" s="579"/>
      <c r="AF50" s="595"/>
      <c r="AG50" s="596"/>
      <c r="AH50" s="596"/>
      <c r="AI50" s="597"/>
    </row>
    <row r="51" spans="1:35" ht="15.75" customHeight="1" x14ac:dyDescent="0.2">
      <c r="A51" s="444">
        <f t="shared" si="0"/>
        <v>39</v>
      </c>
      <c r="B51" s="500"/>
      <c r="C51" s="500"/>
      <c r="D51" s="79">
        <v>40</v>
      </c>
      <c r="E51" s="224"/>
      <c r="F51" s="504"/>
      <c r="G51" s="335">
        <f t="shared" si="1"/>
        <v>0</v>
      </c>
      <c r="H51" s="337"/>
      <c r="I51" s="504"/>
      <c r="J51" s="545"/>
      <c r="K51" s="80">
        <f t="shared" si="2"/>
        <v>10000</v>
      </c>
      <c r="L51" s="224"/>
      <c r="M51" s="504"/>
      <c r="N51" s="77">
        <f ca="1">N46+5*(N53-N46)/7</f>
        <v>431.08928571428567</v>
      </c>
      <c r="O51" s="77">
        <f ca="1">O46+5*(O53-O46)/7</f>
        <v>453.19642857142856</v>
      </c>
      <c r="P51" s="337"/>
      <c r="Q51" s="588"/>
      <c r="R51" s="224"/>
      <c r="S51" s="504"/>
      <c r="T51" s="568"/>
      <c r="U51" s="564"/>
      <c r="V51" s="334"/>
      <c r="W51" s="334"/>
      <c r="X51" s="561"/>
      <c r="Y51" s="574"/>
      <c r="Z51" s="574"/>
      <c r="AA51" s="571"/>
      <c r="AB51" s="224"/>
      <c r="AC51" s="504"/>
      <c r="AD51" s="225"/>
      <c r="AE51" s="579"/>
      <c r="AF51" s="595"/>
      <c r="AG51" s="596"/>
      <c r="AH51" s="596"/>
      <c r="AI51" s="597"/>
    </row>
    <row r="52" spans="1:35" ht="15.75" customHeight="1" x14ac:dyDescent="0.2">
      <c r="A52" s="444">
        <f t="shared" si="0"/>
        <v>40</v>
      </c>
      <c r="B52" s="500"/>
      <c r="C52" s="500"/>
      <c r="D52" s="79">
        <v>41</v>
      </c>
      <c r="E52" s="224"/>
      <c r="F52" s="504"/>
      <c r="G52" s="335">
        <f t="shared" si="1"/>
        <v>0</v>
      </c>
      <c r="H52" s="337"/>
      <c r="I52" s="504"/>
      <c r="J52" s="545"/>
      <c r="K52" s="80">
        <f t="shared" si="2"/>
        <v>10000</v>
      </c>
      <c r="L52" s="224"/>
      <c r="M52" s="504"/>
      <c r="N52" s="77">
        <f ca="1">N46+6*(N53-N46)/7</f>
        <v>445.15714285714284</v>
      </c>
      <c r="O52" s="77">
        <f ca="1">O46+6*(O53-O46)/7</f>
        <v>467.98571428571427</v>
      </c>
      <c r="P52" s="337"/>
      <c r="Q52" s="588"/>
      <c r="R52" s="224"/>
      <c r="S52" s="504"/>
      <c r="T52" s="568"/>
      <c r="U52" s="564"/>
      <c r="V52" s="334"/>
      <c r="W52" s="334"/>
      <c r="X52" s="561"/>
      <c r="Y52" s="574"/>
      <c r="Z52" s="574"/>
      <c r="AA52" s="571"/>
      <c r="AB52" s="224"/>
      <c r="AC52" s="504"/>
      <c r="AD52" s="225"/>
      <c r="AE52" s="579"/>
      <c r="AF52" s="595"/>
      <c r="AG52" s="596"/>
      <c r="AH52" s="596"/>
      <c r="AI52" s="597"/>
    </row>
    <row r="53" spans="1:35" ht="15.75" customHeight="1" thickBot="1" x14ac:dyDescent="0.25">
      <c r="A53" s="445">
        <f t="shared" si="0"/>
        <v>41</v>
      </c>
      <c r="B53" s="501"/>
      <c r="C53" s="501"/>
      <c r="D53" s="363">
        <v>42</v>
      </c>
      <c r="E53" s="358"/>
      <c r="F53" s="505"/>
      <c r="G53" s="348">
        <f t="shared" si="1"/>
        <v>0</v>
      </c>
      <c r="H53" s="349"/>
      <c r="I53" s="505"/>
      <c r="J53" s="546"/>
      <c r="K53" s="361">
        <f t="shared" si="2"/>
        <v>10000</v>
      </c>
      <c r="L53" s="358"/>
      <c r="M53" s="505"/>
      <c r="N53" s="351">
        <f ca="1">OFFSET(Std!$H$4,C40,0)</f>
        <v>459.22499999999997</v>
      </c>
      <c r="O53" s="351">
        <f ca="1">OFFSET(Std!$I$4,C40,0)</f>
        <v>482.77499999999998</v>
      </c>
      <c r="P53" s="349"/>
      <c r="Q53" s="589"/>
      <c r="R53" s="358"/>
      <c r="S53" s="505"/>
      <c r="T53" s="569"/>
      <c r="U53" s="565"/>
      <c r="V53" s="352"/>
      <c r="W53" s="352"/>
      <c r="X53" s="562"/>
      <c r="Y53" s="575"/>
      <c r="Z53" s="575"/>
      <c r="AA53" s="572"/>
      <c r="AB53" s="358"/>
      <c r="AC53" s="505"/>
      <c r="AD53" s="359"/>
      <c r="AE53" s="580"/>
      <c r="AF53" s="598"/>
      <c r="AG53" s="599"/>
      <c r="AH53" s="599"/>
      <c r="AI53" s="600"/>
    </row>
    <row r="54" spans="1:35" ht="15.75" customHeight="1" x14ac:dyDescent="0.2">
      <c r="A54" s="447">
        <f t="shared" si="0"/>
        <v>42</v>
      </c>
      <c r="B54" s="502">
        <f>WEEKNUM(A54,1)</f>
        <v>6</v>
      </c>
      <c r="C54" s="499">
        <v>7</v>
      </c>
      <c r="D54" s="364">
        <v>43</v>
      </c>
      <c r="E54" s="223"/>
      <c r="F54" s="503">
        <f>SUM(E54:E60)</f>
        <v>0</v>
      </c>
      <c r="G54" s="81">
        <f t="shared" si="1"/>
        <v>0</v>
      </c>
      <c r="H54" s="345"/>
      <c r="I54" s="503">
        <f>SUM(H54:H60)</f>
        <v>0</v>
      </c>
      <c r="J54" s="566">
        <f ca="1">OFFSET('Graph values'!$Y$96,C47,0)/'Graph values'!$Q$117</f>
        <v>0</v>
      </c>
      <c r="K54" s="356">
        <f t="shared" si="2"/>
        <v>10000</v>
      </c>
      <c r="L54" s="223"/>
      <c r="M54" s="503" t="str">
        <f>IF(L60="",IF(L59="",IF(L58="",IF(L57="",IF(L56="",IF(L55="",IF(L54="","",L54),L55),L56),L57),L58),L59),L60)</f>
        <v/>
      </c>
      <c r="N54" s="83">
        <f ca="1">N53+1*(N60-N53)/7</f>
        <v>474.05892857142857</v>
      </c>
      <c r="O54" s="83">
        <f ca="1">O53+1*(O60-O53)/7</f>
        <v>498.36964285714282</v>
      </c>
      <c r="P54" s="345"/>
      <c r="Q54" s="587" t="str">
        <f>IF(P60="",IF(P59="",IF(P58="",IF(P57="",IF(P56="",IF(P55="",IF(P54="","",P54),P55),P56),P57),P58),P59),P60)</f>
        <v/>
      </c>
      <c r="R54" s="223"/>
      <c r="S54" s="503">
        <f>SUM(R54:R60)</f>
        <v>0</v>
      </c>
      <c r="T54" s="583" t="e">
        <f>IF(S54="","",S54/AVERAGE(K54:K60)*1000/COUNTA(R54:R60))</f>
        <v>#DIV/0!</v>
      </c>
      <c r="U54" s="563" t="e">
        <f>IF(S54="","",IF(X54="","",S54/X54))</f>
        <v>#DIV/0!</v>
      </c>
      <c r="V54" s="357"/>
      <c r="W54" s="357"/>
      <c r="X54" s="560">
        <f>IF(SUM(W54:W60)=0,SUM(V54:V60),SUM(W54:W60)-SUM(V54:V60))</f>
        <v>0</v>
      </c>
      <c r="Y54" s="573">
        <f>IF(X54="","",X54/K54*1000)/7</f>
        <v>0</v>
      </c>
      <c r="Z54" s="573" t="str">
        <f>TEXT(VLOOKUP(C54,Std!$A$3:$K$103,10,FALSE),0)&amp;"-"&amp;TEXT(VLOOKUP(C54,Std!$A$3:$K$103,11,FALSE),0)</f>
        <v>46-48</v>
      </c>
      <c r="AA54" s="570">
        <f>IF(X54="","",X54/K60*1000)+AA47</f>
        <v>0</v>
      </c>
      <c r="AB54" s="223"/>
      <c r="AC54" s="503" t="str">
        <f>IF(OR(MIN(AB54:AB60)=0,MIN(AB54:AB60)&gt;24),"",MIN(AB54:AB60))</f>
        <v/>
      </c>
      <c r="AD54" s="226"/>
      <c r="AE54" s="578" t="str">
        <f>IF(MIN(AD54:AD60)=0,"",MIN(AD54:AD60))</f>
        <v/>
      </c>
      <c r="AF54" s="592"/>
      <c r="AG54" s="593"/>
      <c r="AH54" s="593"/>
      <c r="AI54" s="594"/>
    </row>
    <row r="55" spans="1:35" ht="15.75" customHeight="1" x14ac:dyDescent="0.2">
      <c r="A55" s="448">
        <f t="shared" si="0"/>
        <v>43</v>
      </c>
      <c r="B55" s="500"/>
      <c r="C55" s="500"/>
      <c r="D55" s="336">
        <v>44</v>
      </c>
      <c r="E55" s="224"/>
      <c r="F55" s="504"/>
      <c r="G55" s="335">
        <f t="shared" si="1"/>
        <v>0</v>
      </c>
      <c r="H55" s="337"/>
      <c r="I55" s="504"/>
      <c r="J55" s="545"/>
      <c r="K55" s="76">
        <f t="shared" si="2"/>
        <v>10000</v>
      </c>
      <c r="L55" s="224"/>
      <c r="M55" s="504"/>
      <c r="N55" s="77">
        <f ca="1">N53+2*(N60-N53)/7</f>
        <v>488.89285714285711</v>
      </c>
      <c r="O55" s="77">
        <f ca="1">O53+2*(O60-O53)/7</f>
        <v>513.96428571428567</v>
      </c>
      <c r="P55" s="337"/>
      <c r="Q55" s="588"/>
      <c r="R55" s="224"/>
      <c r="S55" s="504"/>
      <c r="T55" s="568"/>
      <c r="U55" s="564"/>
      <c r="V55" s="334"/>
      <c r="W55" s="334"/>
      <c r="X55" s="561"/>
      <c r="Y55" s="574"/>
      <c r="Z55" s="574"/>
      <c r="AA55" s="571"/>
      <c r="AB55" s="224"/>
      <c r="AC55" s="504"/>
      <c r="AD55" s="225"/>
      <c r="AE55" s="579"/>
      <c r="AF55" s="595"/>
      <c r="AG55" s="596"/>
      <c r="AH55" s="596"/>
      <c r="AI55" s="597"/>
    </row>
    <row r="56" spans="1:35" ht="15.75" customHeight="1" x14ac:dyDescent="0.2">
      <c r="A56" s="448">
        <f t="shared" si="0"/>
        <v>44</v>
      </c>
      <c r="B56" s="500"/>
      <c r="C56" s="500"/>
      <c r="D56" s="336">
        <v>45</v>
      </c>
      <c r="E56" s="224"/>
      <c r="F56" s="504"/>
      <c r="G56" s="335">
        <f t="shared" si="1"/>
        <v>0</v>
      </c>
      <c r="H56" s="337"/>
      <c r="I56" s="504"/>
      <c r="J56" s="545"/>
      <c r="K56" s="76">
        <f t="shared" si="2"/>
        <v>10000</v>
      </c>
      <c r="L56" s="224"/>
      <c r="M56" s="504"/>
      <c r="N56" s="77">
        <f ca="1">N53+3*(N60-N53)/7</f>
        <v>503.72678571428571</v>
      </c>
      <c r="O56" s="77">
        <f ca="1">O53+3*(O60-O53)/7</f>
        <v>529.55892857142851</v>
      </c>
      <c r="P56" s="337"/>
      <c r="Q56" s="588"/>
      <c r="R56" s="224"/>
      <c r="S56" s="504"/>
      <c r="T56" s="568"/>
      <c r="U56" s="564"/>
      <c r="V56" s="334"/>
      <c r="W56" s="334"/>
      <c r="X56" s="561"/>
      <c r="Y56" s="574"/>
      <c r="Z56" s="574"/>
      <c r="AA56" s="571"/>
      <c r="AB56" s="224"/>
      <c r="AC56" s="504"/>
      <c r="AD56" s="225"/>
      <c r="AE56" s="579"/>
      <c r="AF56" s="595"/>
      <c r="AG56" s="596"/>
      <c r="AH56" s="596"/>
      <c r="AI56" s="597"/>
    </row>
    <row r="57" spans="1:35" ht="15.75" customHeight="1" x14ac:dyDescent="0.2">
      <c r="A57" s="448">
        <f t="shared" si="0"/>
        <v>45</v>
      </c>
      <c r="B57" s="500"/>
      <c r="C57" s="500"/>
      <c r="D57" s="336">
        <v>46</v>
      </c>
      <c r="E57" s="224"/>
      <c r="F57" s="504"/>
      <c r="G57" s="335">
        <f t="shared" si="1"/>
        <v>0</v>
      </c>
      <c r="H57" s="337"/>
      <c r="I57" s="504"/>
      <c r="J57" s="545"/>
      <c r="K57" s="76">
        <f t="shared" si="2"/>
        <v>10000</v>
      </c>
      <c r="L57" s="224"/>
      <c r="M57" s="504"/>
      <c r="N57" s="77">
        <f ca="1">N53+4*(N60-N53)/7</f>
        <v>518.56071428571431</v>
      </c>
      <c r="O57" s="77">
        <f ca="1">O53+4*(O60-O53)/7</f>
        <v>545.15357142857147</v>
      </c>
      <c r="P57" s="337"/>
      <c r="Q57" s="588"/>
      <c r="R57" s="224"/>
      <c r="S57" s="504"/>
      <c r="T57" s="568"/>
      <c r="U57" s="564"/>
      <c r="V57" s="334"/>
      <c r="W57" s="334"/>
      <c r="X57" s="561"/>
      <c r="Y57" s="574"/>
      <c r="Z57" s="574"/>
      <c r="AA57" s="571"/>
      <c r="AB57" s="224"/>
      <c r="AC57" s="504"/>
      <c r="AD57" s="225"/>
      <c r="AE57" s="579"/>
      <c r="AF57" s="595"/>
      <c r="AG57" s="596"/>
      <c r="AH57" s="596"/>
      <c r="AI57" s="597"/>
    </row>
    <row r="58" spans="1:35" ht="15.75" customHeight="1" x14ac:dyDescent="0.2">
      <c r="A58" s="448">
        <f t="shared" si="0"/>
        <v>46</v>
      </c>
      <c r="B58" s="500"/>
      <c r="C58" s="500"/>
      <c r="D58" s="336">
        <v>47</v>
      </c>
      <c r="E58" s="224"/>
      <c r="F58" s="504"/>
      <c r="G58" s="335">
        <f t="shared" si="1"/>
        <v>0</v>
      </c>
      <c r="H58" s="337"/>
      <c r="I58" s="504"/>
      <c r="J58" s="545"/>
      <c r="K58" s="76">
        <f t="shared" si="2"/>
        <v>10000</v>
      </c>
      <c r="L58" s="224"/>
      <c r="M58" s="504"/>
      <c r="N58" s="77">
        <f ca="1">N53+5*(N60-N53)/7</f>
        <v>533.3946428571428</v>
      </c>
      <c r="O58" s="77">
        <f ca="1">O53+5*(O60-O53)/7</f>
        <v>560.74821428571431</v>
      </c>
      <c r="P58" s="337"/>
      <c r="Q58" s="588"/>
      <c r="R58" s="224"/>
      <c r="S58" s="504"/>
      <c r="T58" s="568"/>
      <c r="U58" s="564"/>
      <c r="V58" s="334"/>
      <c r="W58" s="334"/>
      <c r="X58" s="561"/>
      <c r="Y58" s="574"/>
      <c r="Z58" s="574"/>
      <c r="AA58" s="571"/>
      <c r="AB58" s="224"/>
      <c r="AC58" s="504"/>
      <c r="AD58" s="225"/>
      <c r="AE58" s="579"/>
      <c r="AF58" s="595"/>
      <c r="AG58" s="596"/>
      <c r="AH58" s="596"/>
      <c r="AI58" s="597"/>
    </row>
    <row r="59" spans="1:35" ht="15.75" customHeight="1" x14ac:dyDescent="0.2">
      <c r="A59" s="448">
        <f t="shared" si="0"/>
        <v>47</v>
      </c>
      <c r="B59" s="500"/>
      <c r="C59" s="500"/>
      <c r="D59" s="336">
        <v>48</v>
      </c>
      <c r="E59" s="224"/>
      <c r="F59" s="504"/>
      <c r="G59" s="335">
        <f t="shared" si="1"/>
        <v>0</v>
      </c>
      <c r="H59" s="337"/>
      <c r="I59" s="504"/>
      <c r="J59" s="545"/>
      <c r="K59" s="76">
        <f t="shared" si="2"/>
        <v>10000</v>
      </c>
      <c r="L59" s="224"/>
      <c r="M59" s="504"/>
      <c r="N59" s="77">
        <f ca="1">N53+6*(N60-N53)/7</f>
        <v>548.2285714285714</v>
      </c>
      <c r="O59" s="77">
        <f ca="1">O53+6*(O60-O53)/7</f>
        <v>576.34285714285716</v>
      </c>
      <c r="P59" s="337"/>
      <c r="Q59" s="588"/>
      <c r="R59" s="224"/>
      <c r="S59" s="504"/>
      <c r="T59" s="568"/>
      <c r="U59" s="564"/>
      <c r="V59" s="334"/>
      <c r="W59" s="334"/>
      <c r="X59" s="561"/>
      <c r="Y59" s="574"/>
      <c r="Z59" s="574"/>
      <c r="AA59" s="571"/>
      <c r="AB59" s="224"/>
      <c r="AC59" s="504"/>
      <c r="AD59" s="225"/>
      <c r="AE59" s="579"/>
      <c r="AF59" s="595"/>
      <c r="AG59" s="596"/>
      <c r="AH59" s="596"/>
      <c r="AI59" s="597"/>
    </row>
    <row r="60" spans="1:35" ht="15.75" customHeight="1" thickBot="1" x14ac:dyDescent="0.25">
      <c r="A60" s="449">
        <f t="shared" si="0"/>
        <v>48</v>
      </c>
      <c r="B60" s="501"/>
      <c r="C60" s="501"/>
      <c r="D60" s="365">
        <v>49</v>
      </c>
      <c r="E60" s="358"/>
      <c r="F60" s="505"/>
      <c r="G60" s="348">
        <f t="shared" si="1"/>
        <v>0</v>
      </c>
      <c r="H60" s="349"/>
      <c r="I60" s="505"/>
      <c r="J60" s="546"/>
      <c r="K60" s="350">
        <f t="shared" si="2"/>
        <v>10000</v>
      </c>
      <c r="L60" s="358"/>
      <c r="M60" s="505"/>
      <c r="N60" s="351">
        <f ca="1">OFFSET(Std!$H$4,C47,0)</f>
        <v>563.0625</v>
      </c>
      <c r="O60" s="351">
        <f ca="1">OFFSET(Std!$I$4,C47,0)</f>
        <v>591.9375</v>
      </c>
      <c r="P60" s="349"/>
      <c r="Q60" s="589"/>
      <c r="R60" s="358"/>
      <c r="S60" s="505"/>
      <c r="T60" s="569"/>
      <c r="U60" s="565"/>
      <c r="V60" s="352"/>
      <c r="W60" s="352"/>
      <c r="X60" s="562"/>
      <c r="Y60" s="575"/>
      <c r="Z60" s="575"/>
      <c r="AA60" s="572"/>
      <c r="AB60" s="358"/>
      <c r="AC60" s="505"/>
      <c r="AD60" s="359"/>
      <c r="AE60" s="580"/>
      <c r="AF60" s="598"/>
      <c r="AG60" s="599"/>
      <c r="AH60" s="599"/>
      <c r="AI60" s="600"/>
    </row>
    <row r="61" spans="1:35" ht="15.75" customHeight="1" x14ac:dyDescent="0.2">
      <c r="A61" s="447">
        <f t="shared" si="0"/>
        <v>49</v>
      </c>
      <c r="B61" s="502">
        <f>WEEKNUM(A61,1)</f>
        <v>7</v>
      </c>
      <c r="C61" s="499">
        <v>8</v>
      </c>
      <c r="D61" s="364">
        <v>50</v>
      </c>
      <c r="E61" s="223"/>
      <c r="F61" s="503">
        <f>SUM(E61:E67)</f>
        <v>0</v>
      </c>
      <c r="G61" s="81">
        <f t="shared" si="1"/>
        <v>0</v>
      </c>
      <c r="H61" s="345"/>
      <c r="I61" s="503">
        <f>SUM(H61:H67)</f>
        <v>0</v>
      </c>
      <c r="J61" s="566">
        <f ca="1">OFFSET('Graph values'!$Y$96,C54,0)/'Graph values'!$Q$117</f>
        <v>0</v>
      </c>
      <c r="K61" s="356">
        <f t="shared" si="2"/>
        <v>10000</v>
      </c>
      <c r="L61" s="223"/>
      <c r="M61" s="503" t="str">
        <f>IF(L67="",IF(L66="",IF(L65="",IF(L64="",IF(L63="",IF(L62="",IF(L61="","",L61),L62),L63),L64),L65),L66),L67)</f>
        <v/>
      </c>
      <c r="N61" s="83">
        <f ca="1">N60+1*(N67-N60)/7</f>
        <v>578.24464285714282</v>
      </c>
      <c r="O61" s="83">
        <f ca="1">O60+1*(O67-O60)/7</f>
        <v>607.89821428571429</v>
      </c>
      <c r="P61" s="345"/>
      <c r="Q61" s="587" t="str">
        <f>IF(P67="",IF(P66="",IF(P65="",IF(P64="",IF(P63="",IF(P62="",IF(P61="","",P61),P62),P63),P64),P65),P66),P67)</f>
        <v/>
      </c>
      <c r="R61" s="223"/>
      <c r="S61" s="503">
        <f>SUM(R61:R67)</f>
        <v>0</v>
      </c>
      <c r="T61" s="583" t="e">
        <f>IF(S61="","",S61/AVERAGE(K61:K67)*1000/COUNTA(R61:R67))</f>
        <v>#DIV/0!</v>
      </c>
      <c r="U61" s="563" t="e">
        <f>IF(S61="","",IF(X61="","",S61/X61))</f>
        <v>#DIV/0!</v>
      </c>
      <c r="V61" s="357"/>
      <c r="W61" s="357"/>
      <c r="X61" s="560">
        <f>IF(SUM(W61:W67)=0,SUM(V61:V67),SUM(W61:W67)-SUM(V61:V67))</f>
        <v>0</v>
      </c>
      <c r="Y61" s="573">
        <f>IF(X61="","",X61/K61*1000)/7</f>
        <v>0</v>
      </c>
      <c r="Z61" s="573" t="str">
        <f>TEXT(VLOOKUP(C61,Std!$A$3:$K$103,10,FALSE),0)&amp;"-"&amp;TEXT(VLOOKUP(C61,Std!$A$3:$K$103,11,FALSE),0)</f>
        <v>50-52</v>
      </c>
      <c r="AA61" s="570">
        <f>IF(X61="","",X61/K67*1000)+AA54</f>
        <v>0</v>
      </c>
      <c r="AB61" s="223"/>
      <c r="AC61" s="503" t="str">
        <f>IF(OR(MIN(AB61:AB67)=0,MIN(AB61:AB67)&gt;24),"",MIN(AB61:AB67))</f>
        <v/>
      </c>
      <c r="AD61" s="226"/>
      <c r="AE61" s="578" t="str">
        <f>IF(MIN(AD61:AD67)=0,"",MIN(AD61:AD67))</f>
        <v/>
      </c>
      <c r="AF61" s="592"/>
      <c r="AG61" s="593"/>
      <c r="AH61" s="593"/>
      <c r="AI61" s="594"/>
    </row>
    <row r="62" spans="1:35" ht="15.75" customHeight="1" x14ac:dyDescent="0.2">
      <c r="A62" s="448">
        <f t="shared" si="0"/>
        <v>50</v>
      </c>
      <c r="B62" s="500"/>
      <c r="C62" s="500"/>
      <c r="D62" s="336">
        <v>51</v>
      </c>
      <c r="E62" s="224"/>
      <c r="F62" s="504"/>
      <c r="G62" s="335">
        <f t="shared" si="1"/>
        <v>0</v>
      </c>
      <c r="H62" s="337"/>
      <c r="I62" s="504"/>
      <c r="J62" s="545"/>
      <c r="K62" s="76">
        <f t="shared" si="2"/>
        <v>10000</v>
      </c>
      <c r="L62" s="224"/>
      <c r="M62" s="504"/>
      <c r="N62" s="77">
        <f ca="1">N60+2*(N67-N60)/7</f>
        <v>593.42678571428576</v>
      </c>
      <c r="O62" s="77">
        <f ca="1">O60+2*(O67-O60)/7</f>
        <v>623.85892857142858</v>
      </c>
      <c r="P62" s="337"/>
      <c r="Q62" s="588"/>
      <c r="R62" s="224"/>
      <c r="S62" s="504"/>
      <c r="T62" s="568"/>
      <c r="U62" s="564"/>
      <c r="V62" s="334"/>
      <c r="W62" s="334"/>
      <c r="X62" s="561"/>
      <c r="Y62" s="574"/>
      <c r="Z62" s="574"/>
      <c r="AA62" s="571"/>
      <c r="AB62" s="224"/>
      <c r="AC62" s="504"/>
      <c r="AD62" s="225"/>
      <c r="AE62" s="579"/>
      <c r="AF62" s="595"/>
      <c r="AG62" s="596"/>
      <c r="AH62" s="596"/>
      <c r="AI62" s="597"/>
    </row>
    <row r="63" spans="1:35" ht="15.75" customHeight="1" x14ac:dyDescent="0.2">
      <c r="A63" s="448">
        <f t="shared" si="0"/>
        <v>51</v>
      </c>
      <c r="B63" s="500"/>
      <c r="C63" s="500"/>
      <c r="D63" s="336">
        <v>52</v>
      </c>
      <c r="E63" s="224"/>
      <c r="F63" s="504"/>
      <c r="G63" s="335">
        <f t="shared" si="1"/>
        <v>0</v>
      </c>
      <c r="H63" s="337"/>
      <c r="I63" s="504"/>
      <c r="J63" s="545"/>
      <c r="K63" s="76">
        <f t="shared" si="2"/>
        <v>10000</v>
      </c>
      <c r="L63" s="224"/>
      <c r="M63" s="504"/>
      <c r="N63" s="77">
        <f ca="1">N60+3*(N67-N60)/7</f>
        <v>608.60892857142858</v>
      </c>
      <c r="O63" s="77">
        <f ca="1">O60+3*(O67-O60)/7</f>
        <v>639.81964285714287</v>
      </c>
      <c r="P63" s="337"/>
      <c r="Q63" s="588"/>
      <c r="R63" s="224"/>
      <c r="S63" s="504"/>
      <c r="T63" s="568"/>
      <c r="U63" s="564"/>
      <c r="V63" s="334"/>
      <c r="W63" s="334"/>
      <c r="X63" s="561"/>
      <c r="Y63" s="574"/>
      <c r="Z63" s="574"/>
      <c r="AA63" s="571"/>
      <c r="AB63" s="224"/>
      <c r="AC63" s="504"/>
      <c r="AD63" s="225"/>
      <c r="AE63" s="579"/>
      <c r="AF63" s="595"/>
      <c r="AG63" s="596"/>
      <c r="AH63" s="596"/>
      <c r="AI63" s="597"/>
    </row>
    <row r="64" spans="1:35" ht="15.75" customHeight="1" x14ac:dyDescent="0.2">
      <c r="A64" s="448">
        <f t="shared" si="0"/>
        <v>52</v>
      </c>
      <c r="B64" s="500"/>
      <c r="C64" s="500"/>
      <c r="D64" s="336">
        <v>53</v>
      </c>
      <c r="E64" s="224"/>
      <c r="F64" s="504"/>
      <c r="G64" s="335">
        <f t="shared" si="1"/>
        <v>0</v>
      </c>
      <c r="H64" s="337"/>
      <c r="I64" s="504"/>
      <c r="J64" s="545"/>
      <c r="K64" s="76">
        <f t="shared" si="2"/>
        <v>10000</v>
      </c>
      <c r="L64" s="224"/>
      <c r="M64" s="504"/>
      <c r="N64" s="77">
        <f ca="1">N60+4*(N67-N60)/7</f>
        <v>623.7910714285714</v>
      </c>
      <c r="O64" s="77">
        <f ca="1">O60+4*(O67-O60)/7</f>
        <v>655.78035714285704</v>
      </c>
      <c r="P64" s="337"/>
      <c r="Q64" s="588"/>
      <c r="R64" s="224"/>
      <c r="S64" s="504"/>
      <c r="T64" s="568"/>
      <c r="U64" s="564"/>
      <c r="V64" s="334"/>
      <c r="W64" s="334"/>
      <c r="X64" s="561"/>
      <c r="Y64" s="574"/>
      <c r="Z64" s="574"/>
      <c r="AA64" s="571"/>
      <c r="AB64" s="224"/>
      <c r="AC64" s="504"/>
      <c r="AD64" s="225"/>
      <c r="AE64" s="579"/>
      <c r="AF64" s="595"/>
      <c r="AG64" s="596"/>
      <c r="AH64" s="596"/>
      <c r="AI64" s="597"/>
    </row>
    <row r="65" spans="1:35" ht="15.75" customHeight="1" x14ac:dyDescent="0.2">
      <c r="A65" s="448">
        <f t="shared" si="0"/>
        <v>53</v>
      </c>
      <c r="B65" s="500"/>
      <c r="C65" s="500"/>
      <c r="D65" s="336">
        <v>54</v>
      </c>
      <c r="E65" s="224"/>
      <c r="F65" s="504"/>
      <c r="G65" s="335">
        <f t="shared" si="1"/>
        <v>0</v>
      </c>
      <c r="H65" s="337"/>
      <c r="I65" s="504"/>
      <c r="J65" s="545"/>
      <c r="K65" s="76">
        <f t="shared" si="2"/>
        <v>10000</v>
      </c>
      <c r="L65" s="224"/>
      <c r="M65" s="504"/>
      <c r="N65" s="77">
        <f ca="1">N60+5*(N67-N60)/7</f>
        <v>638.97321428571422</v>
      </c>
      <c r="O65" s="77">
        <f ca="1">O60+5*(O67-O60)/7</f>
        <v>671.74107142857133</v>
      </c>
      <c r="P65" s="337"/>
      <c r="Q65" s="588"/>
      <c r="R65" s="224"/>
      <c r="S65" s="504"/>
      <c r="T65" s="568"/>
      <c r="U65" s="564"/>
      <c r="V65" s="334"/>
      <c r="W65" s="334"/>
      <c r="X65" s="561"/>
      <c r="Y65" s="574"/>
      <c r="Z65" s="574"/>
      <c r="AA65" s="571"/>
      <c r="AB65" s="224"/>
      <c r="AC65" s="504"/>
      <c r="AD65" s="225"/>
      <c r="AE65" s="579"/>
      <c r="AF65" s="595"/>
      <c r="AG65" s="596"/>
      <c r="AH65" s="596"/>
      <c r="AI65" s="597"/>
    </row>
    <row r="66" spans="1:35" ht="15.75" customHeight="1" x14ac:dyDescent="0.2">
      <c r="A66" s="448">
        <f t="shared" si="0"/>
        <v>54</v>
      </c>
      <c r="B66" s="500"/>
      <c r="C66" s="500"/>
      <c r="D66" s="336">
        <v>55</v>
      </c>
      <c r="E66" s="224"/>
      <c r="F66" s="504"/>
      <c r="G66" s="335">
        <f t="shared" si="1"/>
        <v>0</v>
      </c>
      <c r="H66" s="337"/>
      <c r="I66" s="504"/>
      <c r="J66" s="545"/>
      <c r="K66" s="76">
        <f t="shared" si="2"/>
        <v>10000</v>
      </c>
      <c r="L66" s="224"/>
      <c r="M66" s="504"/>
      <c r="N66" s="77">
        <f ca="1">N60+6*(N67-N60)/7</f>
        <v>654.15535714285716</v>
      </c>
      <c r="O66" s="77">
        <f ca="1">O60+6*(O67-O60)/7</f>
        <v>687.70178571428562</v>
      </c>
      <c r="P66" s="337"/>
      <c r="Q66" s="588"/>
      <c r="R66" s="224"/>
      <c r="S66" s="504"/>
      <c r="T66" s="568"/>
      <c r="U66" s="564"/>
      <c r="V66" s="334"/>
      <c r="W66" s="334"/>
      <c r="X66" s="561"/>
      <c r="Y66" s="574"/>
      <c r="Z66" s="574"/>
      <c r="AA66" s="571"/>
      <c r="AB66" s="224"/>
      <c r="AC66" s="504"/>
      <c r="AD66" s="225"/>
      <c r="AE66" s="579"/>
      <c r="AF66" s="595"/>
      <c r="AG66" s="596"/>
      <c r="AH66" s="596"/>
      <c r="AI66" s="597"/>
    </row>
    <row r="67" spans="1:35" ht="15.75" customHeight="1" thickBot="1" x14ac:dyDescent="0.25">
      <c r="A67" s="449">
        <f t="shared" si="0"/>
        <v>55</v>
      </c>
      <c r="B67" s="501"/>
      <c r="C67" s="501"/>
      <c r="D67" s="365">
        <v>56</v>
      </c>
      <c r="E67" s="358"/>
      <c r="F67" s="505"/>
      <c r="G67" s="348">
        <f t="shared" si="1"/>
        <v>0</v>
      </c>
      <c r="H67" s="349"/>
      <c r="I67" s="505"/>
      <c r="J67" s="546"/>
      <c r="K67" s="350">
        <f t="shared" si="2"/>
        <v>10000</v>
      </c>
      <c r="L67" s="358"/>
      <c r="M67" s="505"/>
      <c r="N67" s="351">
        <f ca="1">OFFSET(Std!$H$4,C54,0)</f>
        <v>669.33749999999998</v>
      </c>
      <c r="O67" s="351">
        <f ca="1">OFFSET(Std!$I$4,C54,0)</f>
        <v>703.66249999999991</v>
      </c>
      <c r="P67" s="349"/>
      <c r="Q67" s="589"/>
      <c r="R67" s="358"/>
      <c r="S67" s="505"/>
      <c r="T67" s="569"/>
      <c r="U67" s="565"/>
      <c r="V67" s="352"/>
      <c r="W67" s="352"/>
      <c r="X67" s="562"/>
      <c r="Y67" s="575"/>
      <c r="Z67" s="575"/>
      <c r="AA67" s="572"/>
      <c r="AB67" s="358"/>
      <c r="AC67" s="505"/>
      <c r="AD67" s="359"/>
      <c r="AE67" s="580"/>
      <c r="AF67" s="598"/>
      <c r="AG67" s="599"/>
      <c r="AH67" s="599"/>
      <c r="AI67" s="600"/>
    </row>
    <row r="68" spans="1:35" ht="15.75" customHeight="1" x14ac:dyDescent="0.2">
      <c r="A68" s="447">
        <f t="shared" si="0"/>
        <v>56</v>
      </c>
      <c r="B68" s="502">
        <f>WEEKNUM(A68,1)</f>
        <v>8</v>
      </c>
      <c r="C68" s="499">
        <v>9</v>
      </c>
      <c r="D68" s="364">
        <v>57</v>
      </c>
      <c r="E68" s="223"/>
      <c r="F68" s="503">
        <f>SUM(E68:E74)</f>
        <v>0</v>
      </c>
      <c r="G68" s="81">
        <f t="shared" si="1"/>
        <v>0</v>
      </c>
      <c r="H68" s="345"/>
      <c r="I68" s="503">
        <f>SUM(H68:H74)</f>
        <v>0</v>
      </c>
      <c r="J68" s="566">
        <f ca="1">OFFSET('Graph values'!$Y$96,C61,0)/'Graph values'!$Q$117</f>
        <v>0</v>
      </c>
      <c r="K68" s="356">
        <f t="shared" si="2"/>
        <v>10000</v>
      </c>
      <c r="L68" s="223"/>
      <c r="M68" s="503" t="str">
        <f>IF(L74="",IF(L73="",IF(L72="",IF(L71="",IF(L70="",IF(L69="",IF(L68="","",L68),L69),L70),L71),L72),L73),L74)</f>
        <v/>
      </c>
      <c r="N68" s="83">
        <f ca="1">N67+1*(N74-N67)/7</f>
        <v>684.24107142857144</v>
      </c>
      <c r="O68" s="83">
        <f ca="1">O67+1*(O74-O67)/7</f>
        <v>719.33035714285711</v>
      </c>
      <c r="P68" s="345"/>
      <c r="Q68" s="587" t="str">
        <f>IF(P74="",IF(P73="",IF(P72="",IF(P71="",IF(P70="",IF(P69="",IF(P68="","",P68),P69),P70),P71),P72),P73),P74)</f>
        <v/>
      </c>
      <c r="R68" s="223"/>
      <c r="S68" s="503">
        <f>SUM(R68:R74)</f>
        <v>0</v>
      </c>
      <c r="T68" s="583" t="e">
        <f>IF(S68="","",S68/AVERAGE(K68:K74)*1000/COUNTA(R68:R74))</f>
        <v>#DIV/0!</v>
      </c>
      <c r="U68" s="563" t="e">
        <f>IF(S68="","",IF(X68="","",S68/X68))</f>
        <v>#DIV/0!</v>
      </c>
      <c r="V68" s="357"/>
      <c r="W68" s="357"/>
      <c r="X68" s="560">
        <f>IF(SUM(W68:W74)=0,SUM(V68:V74),SUM(W68:W74)-SUM(V68:V74))</f>
        <v>0</v>
      </c>
      <c r="Y68" s="573">
        <f>IF(X68="","",X68/K68*1000)/7</f>
        <v>0</v>
      </c>
      <c r="Z68" s="573" t="str">
        <f>TEXT(VLOOKUP(C68,Std!$A$3:$K$103,10,FALSE),0)&amp;"-"&amp;TEXT(VLOOKUP(C68,Std!$A$3:$K$103,11,FALSE),0)</f>
        <v>53-55</v>
      </c>
      <c r="AA68" s="570">
        <f>IF(X68="","",X68/K74*1000)+AA61</f>
        <v>0</v>
      </c>
      <c r="AB68" s="223"/>
      <c r="AC68" s="503" t="str">
        <f>IF(OR(MIN(AB68:AB74)=0,MIN(AB68:AB74)&gt;24),"",MIN(AB68:AB74))</f>
        <v/>
      </c>
      <c r="AD68" s="226"/>
      <c r="AE68" s="578" t="str">
        <f>IF(MIN(AD68:AD74)=0,"",MIN(AD68:AD74))</f>
        <v/>
      </c>
      <c r="AF68" s="592"/>
      <c r="AG68" s="593"/>
      <c r="AH68" s="593"/>
      <c r="AI68" s="594"/>
    </row>
    <row r="69" spans="1:35" ht="15.75" customHeight="1" x14ac:dyDescent="0.2">
      <c r="A69" s="448">
        <f t="shared" si="0"/>
        <v>57</v>
      </c>
      <c r="B69" s="500"/>
      <c r="C69" s="500"/>
      <c r="D69" s="336">
        <v>58</v>
      </c>
      <c r="E69" s="224"/>
      <c r="F69" s="504"/>
      <c r="G69" s="335">
        <f t="shared" si="1"/>
        <v>0</v>
      </c>
      <c r="H69" s="337"/>
      <c r="I69" s="504"/>
      <c r="J69" s="545"/>
      <c r="K69" s="76">
        <f t="shared" si="2"/>
        <v>10000</v>
      </c>
      <c r="L69" s="224"/>
      <c r="M69" s="504"/>
      <c r="N69" s="77">
        <f ca="1">N67+2*(N74-N67)/7</f>
        <v>699.1446428571428</v>
      </c>
      <c r="O69" s="77">
        <f ca="1">O67+2*(O74-O67)/7</f>
        <v>734.9982142857142</v>
      </c>
      <c r="P69" s="337"/>
      <c r="Q69" s="588"/>
      <c r="R69" s="224"/>
      <c r="S69" s="504"/>
      <c r="T69" s="568"/>
      <c r="U69" s="564"/>
      <c r="V69" s="334"/>
      <c r="W69" s="334"/>
      <c r="X69" s="561"/>
      <c r="Y69" s="574"/>
      <c r="Z69" s="574"/>
      <c r="AA69" s="571"/>
      <c r="AB69" s="224"/>
      <c r="AC69" s="504"/>
      <c r="AD69" s="225"/>
      <c r="AE69" s="579"/>
      <c r="AF69" s="595"/>
      <c r="AG69" s="596"/>
      <c r="AH69" s="596"/>
      <c r="AI69" s="597"/>
    </row>
    <row r="70" spans="1:35" ht="15.75" customHeight="1" x14ac:dyDescent="0.2">
      <c r="A70" s="448">
        <f t="shared" si="0"/>
        <v>58</v>
      </c>
      <c r="B70" s="500"/>
      <c r="C70" s="500"/>
      <c r="D70" s="336">
        <v>59</v>
      </c>
      <c r="E70" s="224"/>
      <c r="F70" s="504"/>
      <c r="G70" s="335">
        <f t="shared" si="1"/>
        <v>0</v>
      </c>
      <c r="H70" s="337"/>
      <c r="I70" s="504"/>
      <c r="J70" s="545"/>
      <c r="K70" s="76">
        <f t="shared" si="2"/>
        <v>10000</v>
      </c>
      <c r="L70" s="224"/>
      <c r="M70" s="504"/>
      <c r="N70" s="77">
        <f ca="1">N67+3*(N74-N67)/7</f>
        <v>714.04821428571427</v>
      </c>
      <c r="O70" s="77">
        <f ca="1">O67+3*(O74-O67)/7</f>
        <v>750.6660714285714</v>
      </c>
      <c r="P70" s="337"/>
      <c r="Q70" s="588"/>
      <c r="R70" s="224"/>
      <c r="S70" s="504"/>
      <c r="T70" s="568"/>
      <c r="U70" s="564"/>
      <c r="V70" s="334"/>
      <c r="W70" s="334"/>
      <c r="X70" s="561"/>
      <c r="Y70" s="574"/>
      <c r="Z70" s="574"/>
      <c r="AA70" s="571"/>
      <c r="AB70" s="224"/>
      <c r="AC70" s="504"/>
      <c r="AD70" s="225"/>
      <c r="AE70" s="579"/>
      <c r="AF70" s="595"/>
      <c r="AG70" s="596"/>
      <c r="AH70" s="596"/>
      <c r="AI70" s="597"/>
    </row>
    <row r="71" spans="1:35" ht="15.75" customHeight="1" x14ac:dyDescent="0.2">
      <c r="A71" s="448">
        <f t="shared" si="0"/>
        <v>59</v>
      </c>
      <c r="B71" s="500"/>
      <c r="C71" s="500"/>
      <c r="D71" s="336">
        <v>60</v>
      </c>
      <c r="E71" s="224"/>
      <c r="F71" s="504"/>
      <c r="G71" s="335">
        <f t="shared" si="1"/>
        <v>0</v>
      </c>
      <c r="H71" s="337"/>
      <c r="I71" s="504"/>
      <c r="J71" s="545"/>
      <c r="K71" s="76">
        <f t="shared" si="2"/>
        <v>10000</v>
      </c>
      <c r="L71" s="224"/>
      <c r="M71" s="504"/>
      <c r="N71" s="77">
        <f ca="1">N67+4*(N74-N67)/7</f>
        <v>728.95178571428573</v>
      </c>
      <c r="O71" s="77">
        <f ca="1">O67+4*(O74-O67)/7</f>
        <v>766.33392857142849</v>
      </c>
      <c r="P71" s="337"/>
      <c r="Q71" s="588"/>
      <c r="R71" s="224"/>
      <c r="S71" s="504"/>
      <c r="T71" s="568"/>
      <c r="U71" s="564"/>
      <c r="V71" s="334"/>
      <c r="W71" s="334"/>
      <c r="X71" s="561"/>
      <c r="Y71" s="574"/>
      <c r="Z71" s="574"/>
      <c r="AA71" s="571"/>
      <c r="AB71" s="224"/>
      <c r="AC71" s="504"/>
      <c r="AD71" s="225"/>
      <c r="AE71" s="579"/>
      <c r="AF71" s="595"/>
      <c r="AG71" s="596"/>
      <c r="AH71" s="596"/>
      <c r="AI71" s="597"/>
    </row>
    <row r="72" spans="1:35" ht="15.75" customHeight="1" x14ac:dyDescent="0.2">
      <c r="A72" s="448">
        <f t="shared" si="0"/>
        <v>60</v>
      </c>
      <c r="B72" s="500"/>
      <c r="C72" s="500"/>
      <c r="D72" s="336">
        <v>61</v>
      </c>
      <c r="E72" s="224"/>
      <c r="F72" s="504"/>
      <c r="G72" s="335">
        <f t="shared" si="1"/>
        <v>0</v>
      </c>
      <c r="H72" s="337"/>
      <c r="I72" s="504"/>
      <c r="J72" s="545"/>
      <c r="K72" s="76">
        <f t="shared" si="2"/>
        <v>10000</v>
      </c>
      <c r="L72" s="224"/>
      <c r="M72" s="504"/>
      <c r="N72" s="77">
        <f ca="1">N67+5*(N74-N67)/7</f>
        <v>743.8553571428572</v>
      </c>
      <c r="O72" s="77">
        <f ca="1">O67+5*(O74-O67)/7</f>
        <v>782.00178571428569</v>
      </c>
      <c r="P72" s="337"/>
      <c r="Q72" s="588"/>
      <c r="R72" s="224"/>
      <c r="S72" s="504"/>
      <c r="T72" s="568"/>
      <c r="U72" s="564"/>
      <c r="V72" s="334"/>
      <c r="W72" s="334"/>
      <c r="X72" s="561"/>
      <c r="Y72" s="574"/>
      <c r="Z72" s="574"/>
      <c r="AA72" s="571"/>
      <c r="AB72" s="224"/>
      <c r="AC72" s="504"/>
      <c r="AD72" s="225"/>
      <c r="AE72" s="579"/>
      <c r="AF72" s="595"/>
      <c r="AG72" s="596"/>
      <c r="AH72" s="596"/>
      <c r="AI72" s="597"/>
    </row>
    <row r="73" spans="1:35" ht="15.75" customHeight="1" x14ac:dyDescent="0.2">
      <c r="A73" s="448">
        <f t="shared" si="0"/>
        <v>61</v>
      </c>
      <c r="B73" s="500"/>
      <c r="C73" s="500"/>
      <c r="D73" s="336">
        <v>62</v>
      </c>
      <c r="E73" s="224"/>
      <c r="F73" s="504"/>
      <c r="G73" s="335">
        <f t="shared" si="1"/>
        <v>0</v>
      </c>
      <c r="H73" s="337"/>
      <c r="I73" s="504"/>
      <c r="J73" s="545"/>
      <c r="K73" s="76">
        <f t="shared" si="2"/>
        <v>10000</v>
      </c>
      <c r="L73" s="224"/>
      <c r="M73" s="504"/>
      <c r="N73" s="77">
        <f ca="1">N67+6*(N74-N67)/7</f>
        <v>758.75892857142856</v>
      </c>
      <c r="O73" s="77">
        <f ca="1">O67+6*(O74-O67)/7</f>
        <v>797.66964285714278</v>
      </c>
      <c r="P73" s="337"/>
      <c r="Q73" s="588"/>
      <c r="R73" s="224"/>
      <c r="S73" s="504"/>
      <c r="T73" s="568"/>
      <c r="U73" s="564"/>
      <c r="V73" s="334"/>
      <c r="W73" s="334"/>
      <c r="X73" s="561"/>
      <c r="Y73" s="574"/>
      <c r="Z73" s="574"/>
      <c r="AA73" s="571"/>
      <c r="AB73" s="224"/>
      <c r="AC73" s="504"/>
      <c r="AD73" s="225"/>
      <c r="AE73" s="579"/>
      <c r="AF73" s="595"/>
      <c r="AG73" s="596"/>
      <c r="AH73" s="596"/>
      <c r="AI73" s="597"/>
    </row>
    <row r="74" spans="1:35" ht="15.75" customHeight="1" thickBot="1" x14ac:dyDescent="0.25">
      <c r="A74" s="449">
        <f t="shared" si="0"/>
        <v>62</v>
      </c>
      <c r="B74" s="501"/>
      <c r="C74" s="501"/>
      <c r="D74" s="365">
        <v>63</v>
      </c>
      <c r="E74" s="358"/>
      <c r="F74" s="505"/>
      <c r="G74" s="348">
        <f t="shared" si="1"/>
        <v>0</v>
      </c>
      <c r="H74" s="349"/>
      <c r="I74" s="505"/>
      <c r="J74" s="546"/>
      <c r="K74" s="350">
        <f t="shared" si="2"/>
        <v>10000</v>
      </c>
      <c r="L74" s="358"/>
      <c r="M74" s="505"/>
      <c r="N74" s="351">
        <f ca="1">OFFSET(Std!$H$4,C61,0)</f>
        <v>773.66250000000002</v>
      </c>
      <c r="O74" s="351">
        <f ca="1">OFFSET(Std!$I$4,C61,0)</f>
        <v>813.33749999999998</v>
      </c>
      <c r="P74" s="349"/>
      <c r="Q74" s="589"/>
      <c r="R74" s="358"/>
      <c r="S74" s="505"/>
      <c r="T74" s="569"/>
      <c r="U74" s="565"/>
      <c r="V74" s="352"/>
      <c r="W74" s="352"/>
      <c r="X74" s="562"/>
      <c r="Y74" s="575"/>
      <c r="Z74" s="575"/>
      <c r="AA74" s="572"/>
      <c r="AB74" s="358"/>
      <c r="AC74" s="505"/>
      <c r="AD74" s="359"/>
      <c r="AE74" s="580"/>
      <c r="AF74" s="598"/>
      <c r="AG74" s="599"/>
      <c r="AH74" s="599"/>
      <c r="AI74" s="600"/>
    </row>
    <row r="75" spans="1:35" ht="15.75" customHeight="1" x14ac:dyDescent="0.2">
      <c r="A75" s="447">
        <f t="shared" si="0"/>
        <v>63</v>
      </c>
      <c r="B75" s="502">
        <f>WEEKNUM(A75,1)</f>
        <v>9</v>
      </c>
      <c r="C75" s="499">
        <v>10</v>
      </c>
      <c r="D75" s="364">
        <v>64</v>
      </c>
      <c r="E75" s="223"/>
      <c r="F75" s="503">
        <f>SUM(E75:E81)</f>
        <v>0</v>
      </c>
      <c r="G75" s="81">
        <f t="shared" si="1"/>
        <v>0</v>
      </c>
      <c r="H75" s="345"/>
      <c r="I75" s="503">
        <f>SUM(H75:H81)</f>
        <v>0</v>
      </c>
      <c r="J75" s="566">
        <f ca="1">OFFSET('Graph values'!$Y$96,C68,0)/'Graph values'!$Q$117</f>
        <v>0</v>
      </c>
      <c r="K75" s="356">
        <f t="shared" si="2"/>
        <v>10000</v>
      </c>
      <c r="L75" s="223"/>
      <c r="M75" s="503" t="str">
        <f>IF(L81="",IF(L80="",IF(L79="",IF(L78="",IF(L77="",IF(L76="",IF(L75="","",L75),L76),L77),L78),L79),L80),L81)</f>
        <v/>
      </c>
      <c r="N75" s="83">
        <f ca="1">N74+1*(N81-N74)/7</f>
        <v>787.7303571428572</v>
      </c>
      <c r="O75" s="83">
        <f ca="1">O74+1*(O81-O74)/7</f>
        <v>828.12678571428569</v>
      </c>
      <c r="P75" s="345"/>
      <c r="Q75" s="587" t="str">
        <f>IF(P81="",IF(P80="",IF(P79="",IF(P78="",IF(P77="",IF(P76="",IF(P75="","",P75),P76),P77),P78),P79),P80),P81)</f>
        <v/>
      </c>
      <c r="R75" s="223"/>
      <c r="S75" s="503">
        <f>SUM(R75:R81)</f>
        <v>0</v>
      </c>
      <c r="T75" s="583" t="e">
        <f>IF(S75="","",S75/AVERAGE(K75:K81)*1000/COUNTA(R75:R81))</f>
        <v>#DIV/0!</v>
      </c>
      <c r="U75" s="563" t="e">
        <f>IF(S75="","",IF(X75="","",S75/X75))</f>
        <v>#DIV/0!</v>
      </c>
      <c r="V75" s="357"/>
      <c r="W75" s="357"/>
      <c r="X75" s="560">
        <f>IF(SUM(W75:W81)=0,SUM(V75:V81),SUM(W75:W81)-SUM(V75:V81))</f>
        <v>0</v>
      </c>
      <c r="Y75" s="573">
        <f>IF(X75="","",X75/K75*1000)/7</f>
        <v>0</v>
      </c>
      <c r="Z75" s="573" t="str">
        <f>TEXT(VLOOKUP(C75,Std!$A$3:$K$103,10,FALSE),0)&amp;"-"&amp;TEXT(VLOOKUP(C75,Std!$A$3:$K$103,11,FALSE),0)</f>
        <v>57-59</v>
      </c>
      <c r="AA75" s="570">
        <f>IF(X75="","",X75/K81*1000)+AA68</f>
        <v>0</v>
      </c>
      <c r="AB75" s="223"/>
      <c r="AC75" s="503" t="str">
        <f>IF(OR(MIN(AB75:AB81)=0,MIN(AB75:AB81)&gt;24),"",MIN(AB75:AB81))</f>
        <v/>
      </c>
      <c r="AD75" s="226"/>
      <c r="AE75" s="578" t="str">
        <f>IF(MIN(AD75:AD81)=0,"",MIN(AD75:AD81))</f>
        <v/>
      </c>
      <c r="AF75" s="592"/>
      <c r="AG75" s="593"/>
      <c r="AH75" s="593"/>
      <c r="AI75" s="594"/>
    </row>
    <row r="76" spans="1:35" ht="15.75" customHeight="1" x14ac:dyDescent="0.2">
      <c r="A76" s="448">
        <f t="shared" si="0"/>
        <v>64</v>
      </c>
      <c r="B76" s="500"/>
      <c r="C76" s="500"/>
      <c r="D76" s="336">
        <v>65</v>
      </c>
      <c r="E76" s="224"/>
      <c r="F76" s="504"/>
      <c r="G76" s="335">
        <f t="shared" si="1"/>
        <v>0</v>
      </c>
      <c r="H76" s="337"/>
      <c r="I76" s="504"/>
      <c r="J76" s="545"/>
      <c r="K76" s="76">
        <f t="shared" si="2"/>
        <v>10000</v>
      </c>
      <c r="L76" s="224"/>
      <c r="M76" s="504"/>
      <c r="N76" s="77">
        <f ca="1">N74+2*(N81-N74)/7</f>
        <v>801.79821428571427</v>
      </c>
      <c r="O76" s="77">
        <f ca="1">O74+2*(O81-O74)/7</f>
        <v>842.9160714285714</v>
      </c>
      <c r="P76" s="337"/>
      <c r="Q76" s="588"/>
      <c r="R76" s="224"/>
      <c r="S76" s="504"/>
      <c r="T76" s="568"/>
      <c r="U76" s="564"/>
      <c r="V76" s="334"/>
      <c r="W76" s="334"/>
      <c r="X76" s="561"/>
      <c r="Y76" s="574"/>
      <c r="Z76" s="574"/>
      <c r="AA76" s="571"/>
      <c r="AB76" s="224"/>
      <c r="AC76" s="504"/>
      <c r="AD76" s="225"/>
      <c r="AE76" s="579"/>
      <c r="AF76" s="595"/>
      <c r="AG76" s="596"/>
      <c r="AH76" s="596"/>
      <c r="AI76" s="597"/>
    </row>
    <row r="77" spans="1:35" ht="15.75" customHeight="1" x14ac:dyDescent="0.2">
      <c r="A77" s="448">
        <f t="shared" ref="A77:A137" si="3">$G$2+D77-1</f>
        <v>65</v>
      </c>
      <c r="B77" s="500"/>
      <c r="C77" s="500"/>
      <c r="D77" s="336">
        <v>66</v>
      </c>
      <c r="E77" s="224"/>
      <c r="F77" s="504"/>
      <c r="G77" s="335">
        <f t="shared" si="1"/>
        <v>0</v>
      </c>
      <c r="H77" s="337"/>
      <c r="I77" s="504"/>
      <c r="J77" s="545"/>
      <c r="K77" s="76">
        <f t="shared" si="2"/>
        <v>10000</v>
      </c>
      <c r="L77" s="224"/>
      <c r="M77" s="504"/>
      <c r="N77" s="77">
        <f ca="1">N74+3*(N81-N74)/7</f>
        <v>815.86607142857144</v>
      </c>
      <c r="O77" s="77">
        <f ca="1">O74+3*(O81-O74)/7</f>
        <v>857.70535714285711</v>
      </c>
      <c r="P77" s="337"/>
      <c r="Q77" s="588"/>
      <c r="R77" s="224"/>
      <c r="S77" s="504"/>
      <c r="T77" s="568"/>
      <c r="U77" s="564"/>
      <c r="V77" s="334"/>
      <c r="W77" s="334"/>
      <c r="X77" s="561"/>
      <c r="Y77" s="574"/>
      <c r="Z77" s="574"/>
      <c r="AA77" s="571"/>
      <c r="AB77" s="224"/>
      <c r="AC77" s="504"/>
      <c r="AD77" s="225"/>
      <c r="AE77" s="579"/>
      <c r="AF77" s="595"/>
      <c r="AG77" s="596"/>
      <c r="AH77" s="596"/>
      <c r="AI77" s="597"/>
    </row>
    <row r="78" spans="1:35" ht="15.75" customHeight="1" x14ac:dyDescent="0.2">
      <c r="A78" s="448">
        <f t="shared" si="3"/>
        <v>66</v>
      </c>
      <c r="B78" s="500"/>
      <c r="C78" s="500"/>
      <c r="D78" s="336">
        <v>67</v>
      </c>
      <c r="E78" s="224"/>
      <c r="F78" s="504"/>
      <c r="G78" s="335">
        <f t="shared" ref="G78:G137" si="4">G77+E78</f>
        <v>0</v>
      </c>
      <c r="H78" s="337"/>
      <c r="I78" s="504"/>
      <c r="J78" s="545"/>
      <c r="K78" s="76">
        <f t="shared" ref="K78:K137" si="5">K77-H78-E78</f>
        <v>10000</v>
      </c>
      <c r="L78" s="224"/>
      <c r="M78" s="504"/>
      <c r="N78" s="77">
        <f ca="1">N74+4*(N81-N74)/7</f>
        <v>829.93392857142851</v>
      </c>
      <c r="O78" s="77">
        <f ca="1">O74+4*(O81-O74)/7</f>
        <v>872.49464285714282</v>
      </c>
      <c r="P78" s="337"/>
      <c r="Q78" s="588"/>
      <c r="R78" s="224"/>
      <c r="S78" s="504"/>
      <c r="T78" s="568"/>
      <c r="U78" s="564"/>
      <c r="V78" s="334"/>
      <c r="W78" s="334"/>
      <c r="X78" s="561"/>
      <c r="Y78" s="574"/>
      <c r="Z78" s="574"/>
      <c r="AA78" s="571"/>
      <c r="AB78" s="224"/>
      <c r="AC78" s="504"/>
      <c r="AD78" s="225"/>
      <c r="AE78" s="579"/>
      <c r="AF78" s="595"/>
      <c r="AG78" s="596"/>
      <c r="AH78" s="596"/>
      <c r="AI78" s="597"/>
    </row>
    <row r="79" spans="1:35" ht="15.75" customHeight="1" x14ac:dyDescent="0.2">
      <c r="A79" s="448">
        <f t="shared" si="3"/>
        <v>67</v>
      </c>
      <c r="B79" s="500"/>
      <c r="C79" s="500"/>
      <c r="D79" s="336">
        <v>68</v>
      </c>
      <c r="E79" s="224"/>
      <c r="F79" s="504"/>
      <c r="G79" s="335">
        <f t="shared" si="4"/>
        <v>0</v>
      </c>
      <c r="H79" s="337"/>
      <c r="I79" s="504"/>
      <c r="J79" s="545"/>
      <c r="K79" s="76">
        <f t="shared" si="5"/>
        <v>10000</v>
      </c>
      <c r="L79" s="224"/>
      <c r="M79" s="504"/>
      <c r="N79" s="77">
        <f ca="1">N74+5*(N81-N74)/7</f>
        <v>844.00178571428569</v>
      </c>
      <c r="O79" s="77">
        <f ca="1">O74+5*(O81-O74)/7</f>
        <v>887.28392857142853</v>
      </c>
      <c r="P79" s="337"/>
      <c r="Q79" s="588"/>
      <c r="R79" s="224"/>
      <c r="S79" s="504"/>
      <c r="T79" s="568"/>
      <c r="U79" s="564"/>
      <c r="V79" s="334"/>
      <c r="W79" s="334"/>
      <c r="X79" s="561"/>
      <c r="Y79" s="574"/>
      <c r="Z79" s="574"/>
      <c r="AA79" s="571"/>
      <c r="AB79" s="224"/>
      <c r="AC79" s="504"/>
      <c r="AD79" s="225"/>
      <c r="AE79" s="579"/>
      <c r="AF79" s="595"/>
      <c r="AG79" s="596"/>
      <c r="AH79" s="596"/>
      <c r="AI79" s="597"/>
    </row>
    <row r="80" spans="1:35" ht="15.75" customHeight="1" x14ac:dyDescent="0.2">
      <c r="A80" s="448">
        <f t="shared" si="3"/>
        <v>68</v>
      </c>
      <c r="B80" s="500"/>
      <c r="C80" s="500"/>
      <c r="D80" s="336">
        <v>69</v>
      </c>
      <c r="E80" s="224"/>
      <c r="F80" s="504"/>
      <c r="G80" s="335">
        <f t="shared" si="4"/>
        <v>0</v>
      </c>
      <c r="H80" s="337"/>
      <c r="I80" s="504"/>
      <c r="J80" s="545"/>
      <c r="K80" s="76">
        <f t="shared" si="5"/>
        <v>10000</v>
      </c>
      <c r="L80" s="224"/>
      <c r="M80" s="504"/>
      <c r="N80" s="77">
        <f ca="1">N74+6*(N81-N74)/7</f>
        <v>858.06964285714275</v>
      </c>
      <c r="O80" s="77">
        <f ca="1">O74+6*(O81-O74)/7</f>
        <v>902.07321428571424</v>
      </c>
      <c r="P80" s="337"/>
      <c r="Q80" s="588"/>
      <c r="R80" s="224"/>
      <c r="S80" s="504"/>
      <c r="T80" s="568"/>
      <c r="U80" s="564"/>
      <c r="V80" s="334"/>
      <c r="W80" s="334"/>
      <c r="X80" s="561"/>
      <c r="Y80" s="574"/>
      <c r="Z80" s="574"/>
      <c r="AA80" s="571"/>
      <c r="AB80" s="224"/>
      <c r="AC80" s="504"/>
      <c r="AD80" s="225"/>
      <c r="AE80" s="579"/>
      <c r="AF80" s="595"/>
      <c r="AG80" s="596"/>
      <c r="AH80" s="596"/>
      <c r="AI80" s="597"/>
    </row>
    <row r="81" spans="1:35" ht="15.75" customHeight="1" thickBot="1" x14ac:dyDescent="0.25">
      <c r="A81" s="449">
        <f t="shared" si="3"/>
        <v>69</v>
      </c>
      <c r="B81" s="501"/>
      <c r="C81" s="501"/>
      <c r="D81" s="365">
        <v>70</v>
      </c>
      <c r="E81" s="358"/>
      <c r="F81" s="505"/>
      <c r="G81" s="348">
        <f t="shared" si="4"/>
        <v>0</v>
      </c>
      <c r="H81" s="349"/>
      <c r="I81" s="505"/>
      <c r="J81" s="546"/>
      <c r="K81" s="350">
        <f t="shared" si="5"/>
        <v>10000</v>
      </c>
      <c r="L81" s="358"/>
      <c r="M81" s="505"/>
      <c r="N81" s="351">
        <f ca="1">OFFSET(Std!$H$4,C68,0)</f>
        <v>872.13749999999993</v>
      </c>
      <c r="O81" s="351">
        <f ca="1">OFFSET(Std!$I$4,C68,0)</f>
        <v>916.86249999999995</v>
      </c>
      <c r="P81" s="349"/>
      <c r="Q81" s="589"/>
      <c r="R81" s="358"/>
      <c r="S81" s="505"/>
      <c r="T81" s="569"/>
      <c r="U81" s="565"/>
      <c r="V81" s="352"/>
      <c r="W81" s="352"/>
      <c r="X81" s="562"/>
      <c r="Y81" s="575"/>
      <c r="Z81" s="575"/>
      <c r="AA81" s="572"/>
      <c r="AB81" s="358"/>
      <c r="AC81" s="505"/>
      <c r="AD81" s="359"/>
      <c r="AE81" s="580"/>
      <c r="AF81" s="598"/>
      <c r="AG81" s="599"/>
      <c r="AH81" s="599"/>
      <c r="AI81" s="600"/>
    </row>
    <row r="82" spans="1:35" ht="15.75" customHeight="1" x14ac:dyDescent="0.2">
      <c r="A82" s="443">
        <f t="shared" si="3"/>
        <v>70</v>
      </c>
      <c r="B82" s="502">
        <f>WEEKNUM(A82,1)</f>
        <v>10</v>
      </c>
      <c r="C82" s="499">
        <v>11</v>
      </c>
      <c r="D82" s="355">
        <v>71</v>
      </c>
      <c r="E82" s="223"/>
      <c r="F82" s="503">
        <f>SUM(E82:E88)</f>
        <v>0</v>
      </c>
      <c r="G82" s="81">
        <f t="shared" si="4"/>
        <v>0</v>
      </c>
      <c r="H82" s="345"/>
      <c r="I82" s="503">
        <f>SUM(H82:H88)</f>
        <v>0</v>
      </c>
      <c r="J82" s="566">
        <f ca="1">OFFSET('Graph values'!$Y$96,C75,0)/'Graph values'!$Q$117</f>
        <v>0</v>
      </c>
      <c r="K82" s="356">
        <f t="shared" si="5"/>
        <v>10000</v>
      </c>
      <c r="L82" s="223"/>
      <c r="M82" s="503" t="str">
        <f>IF(L88="",IF(L87="",IF(L86="",IF(L85="",IF(L84="",IF(L83="",IF(L82="","",L82),L83),L84),L85),L86),L87),L88)</f>
        <v/>
      </c>
      <c r="N82" s="83">
        <f ca="1">N81+1*(N88-N81)/7</f>
        <v>885.3</v>
      </c>
      <c r="O82" s="83">
        <f ca="1">O81+1*(O88-O81)/7</f>
        <v>930.69999999999993</v>
      </c>
      <c r="P82" s="345"/>
      <c r="Q82" s="587" t="str">
        <f>IF(P88="",IF(P87="",IF(P86="",IF(P85="",IF(P84="",IF(P83="",IF(P82="","",P82),P83),P84),P85),P86),P87),P88)</f>
        <v/>
      </c>
      <c r="R82" s="223"/>
      <c r="S82" s="503">
        <f>SUM(R82:R88)</f>
        <v>0</v>
      </c>
      <c r="T82" s="583" t="e">
        <f>IF(S82="","",S82/AVERAGE(K82:K88)*1000/COUNTA(R82:R88))</f>
        <v>#DIV/0!</v>
      </c>
      <c r="U82" s="563" t="e">
        <f>IF(S82="","",IF(X82="","",S82/X82))</f>
        <v>#DIV/0!</v>
      </c>
      <c r="V82" s="357"/>
      <c r="W82" s="357"/>
      <c r="X82" s="560">
        <f>IF(SUM(W82:W88)=0,SUM(V82:V88),SUM(W82:W88)-SUM(V82:V88))</f>
        <v>0</v>
      </c>
      <c r="Y82" s="573">
        <f>IF(X82="","",X82/K82*1000)/7</f>
        <v>0</v>
      </c>
      <c r="Z82" s="573" t="str">
        <f>TEXT(VLOOKUP(C82,Std!$A$3:$K$103,10,FALSE),0)&amp;"-"&amp;TEXT(VLOOKUP(C82,Std!$A$3:$K$103,11,FALSE),0)</f>
        <v>60-62</v>
      </c>
      <c r="AA82" s="570">
        <f>IF(X82="","",X82/K88*1000)+AA75</f>
        <v>0</v>
      </c>
      <c r="AB82" s="223"/>
      <c r="AC82" s="503" t="str">
        <f>IF(OR(MIN(AB82:AB88)=0,MIN(AB82:AB88)&gt;24),"",MIN(AB82:AB88))</f>
        <v/>
      </c>
      <c r="AD82" s="226"/>
      <c r="AE82" s="578" t="str">
        <f>IF(MIN(AD82:AD88)=0,"",MIN(AD82:AD88))</f>
        <v/>
      </c>
      <c r="AF82" s="592"/>
      <c r="AG82" s="593"/>
      <c r="AH82" s="593"/>
      <c r="AI82" s="594"/>
    </row>
    <row r="83" spans="1:35" ht="15.75" customHeight="1" x14ac:dyDescent="0.2">
      <c r="A83" s="444">
        <f t="shared" si="3"/>
        <v>71</v>
      </c>
      <c r="B83" s="500"/>
      <c r="C83" s="500"/>
      <c r="D83" s="75">
        <v>72</v>
      </c>
      <c r="E83" s="224"/>
      <c r="F83" s="504"/>
      <c r="G83" s="335">
        <f t="shared" si="4"/>
        <v>0</v>
      </c>
      <c r="H83" s="337"/>
      <c r="I83" s="504"/>
      <c r="J83" s="545"/>
      <c r="K83" s="76">
        <f t="shared" si="5"/>
        <v>10000</v>
      </c>
      <c r="L83" s="224"/>
      <c r="M83" s="504"/>
      <c r="N83" s="77">
        <f ca="1">N81+2*(N88-N81)/7</f>
        <v>898.46249999999998</v>
      </c>
      <c r="O83" s="77">
        <f ca="1">O81+2*(O88-O81)/7</f>
        <v>944.53749999999991</v>
      </c>
      <c r="P83" s="337"/>
      <c r="Q83" s="588"/>
      <c r="R83" s="224"/>
      <c r="S83" s="504"/>
      <c r="T83" s="568"/>
      <c r="U83" s="564"/>
      <c r="V83" s="334"/>
      <c r="W83" s="334"/>
      <c r="X83" s="561"/>
      <c r="Y83" s="574"/>
      <c r="Z83" s="574"/>
      <c r="AA83" s="571"/>
      <c r="AB83" s="224"/>
      <c r="AC83" s="504"/>
      <c r="AD83" s="225"/>
      <c r="AE83" s="579"/>
      <c r="AF83" s="595"/>
      <c r="AG83" s="596"/>
      <c r="AH83" s="596"/>
      <c r="AI83" s="597"/>
    </row>
    <row r="84" spans="1:35" ht="15.75" customHeight="1" x14ac:dyDescent="0.2">
      <c r="A84" s="444">
        <f t="shared" si="3"/>
        <v>72</v>
      </c>
      <c r="B84" s="500"/>
      <c r="C84" s="500"/>
      <c r="D84" s="75">
        <v>73</v>
      </c>
      <c r="E84" s="224"/>
      <c r="F84" s="504"/>
      <c r="G84" s="335">
        <f t="shared" si="4"/>
        <v>0</v>
      </c>
      <c r="H84" s="337"/>
      <c r="I84" s="504"/>
      <c r="J84" s="545"/>
      <c r="K84" s="76">
        <f t="shared" si="5"/>
        <v>10000</v>
      </c>
      <c r="L84" s="224"/>
      <c r="M84" s="504"/>
      <c r="N84" s="77">
        <f ca="1">N81+3*(N88-N81)/7</f>
        <v>911.625</v>
      </c>
      <c r="O84" s="77">
        <f ca="1">O81+3*(O88-O81)/7</f>
        <v>958.37499999999989</v>
      </c>
      <c r="P84" s="337"/>
      <c r="Q84" s="588"/>
      <c r="R84" s="224"/>
      <c r="S84" s="504"/>
      <c r="T84" s="568"/>
      <c r="U84" s="564"/>
      <c r="V84" s="334"/>
      <c r="W84" s="334"/>
      <c r="X84" s="561"/>
      <c r="Y84" s="574"/>
      <c r="Z84" s="574"/>
      <c r="AA84" s="571"/>
      <c r="AB84" s="224"/>
      <c r="AC84" s="504"/>
      <c r="AD84" s="225"/>
      <c r="AE84" s="579"/>
      <c r="AF84" s="595"/>
      <c r="AG84" s="596"/>
      <c r="AH84" s="596"/>
      <c r="AI84" s="597"/>
    </row>
    <row r="85" spans="1:35" ht="15.75" customHeight="1" x14ac:dyDescent="0.2">
      <c r="A85" s="444">
        <f t="shared" si="3"/>
        <v>73</v>
      </c>
      <c r="B85" s="500"/>
      <c r="C85" s="500"/>
      <c r="D85" s="75">
        <v>74</v>
      </c>
      <c r="E85" s="224"/>
      <c r="F85" s="504"/>
      <c r="G85" s="335">
        <f t="shared" si="4"/>
        <v>0</v>
      </c>
      <c r="H85" s="337"/>
      <c r="I85" s="504"/>
      <c r="J85" s="545"/>
      <c r="K85" s="76">
        <f t="shared" si="5"/>
        <v>10000</v>
      </c>
      <c r="L85" s="224"/>
      <c r="M85" s="504"/>
      <c r="N85" s="77">
        <f ca="1">N81+4*(N88-N81)/7</f>
        <v>924.78749999999991</v>
      </c>
      <c r="O85" s="77">
        <f ca="1">O81+4*(O88-O81)/7</f>
        <v>972.21249999999998</v>
      </c>
      <c r="P85" s="337"/>
      <c r="Q85" s="588"/>
      <c r="R85" s="224"/>
      <c r="S85" s="504"/>
      <c r="T85" s="568"/>
      <c r="U85" s="564"/>
      <c r="V85" s="334"/>
      <c r="W85" s="334"/>
      <c r="X85" s="561"/>
      <c r="Y85" s="574"/>
      <c r="Z85" s="574"/>
      <c r="AA85" s="571"/>
      <c r="AB85" s="224"/>
      <c r="AC85" s="504"/>
      <c r="AD85" s="225"/>
      <c r="AE85" s="579"/>
      <c r="AF85" s="595"/>
      <c r="AG85" s="596"/>
      <c r="AH85" s="596"/>
      <c r="AI85" s="597"/>
    </row>
    <row r="86" spans="1:35" ht="15.75" customHeight="1" x14ac:dyDescent="0.2">
      <c r="A86" s="444">
        <f t="shared" si="3"/>
        <v>74</v>
      </c>
      <c r="B86" s="500"/>
      <c r="C86" s="500"/>
      <c r="D86" s="75">
        <v>75</v>
      </c>
      <c r="E86" s="224"/>
      <c r="F86" s="504"/>
      <c r="G86" s="335">
        <f t="shared" si="4"/>
        <v>0</v>
      </c>
      <c r="H86" s="337"/>
      <c r="I86" s="504"/>
      <c r="J86" s="545"/>
      <c r="K86" s="76">
        <f t="shared" si="5"/>
        <v>10000</v>
      </c>
      <c r="L86" s="224"/>
      <c r="M86" s="504"/>
      <c r="N86" s="77">
        <f ca="1">N81+5*(N88-N81)/7</f>
        <v>937.94999999999993</v>
      </c>
      <c r="O86" s="77">
        <f ca="1">O81+5*(O88-O81)/7</f>
        <v>986.05</v>
      </c>
      <c r="P86" s="337"/>
      <c r="Q86" s="588"/>
      <c r="R86" s="224"/>
      <c r="S86" s="504"/>
      <c r="T86" s="568"/>
      <c r="U86" s="564"/>
      <c r="V86" s="334"/>
      <c r="W86" s="334"/>
      <c r="X86" s="561"/>
      <c r="Y86" s="574"/>
      <c r="Z86" s="574"/>
      <c r="AA86" s="571"/>
      <c r="AB86" s="224"/>
      <c r="AC86" s="504"/>
      <c r="AD86" s="225"/>
      <c r="AE86" s="579"/>
      <c r="AF86" s="595"/>
      <c r="AG86" s="596"/>
      <c r="AH86" s="596"/>
      <c r="AI86" s="597"/>
    </row>
    <row r="87" spans="1:35" ht="15.75" customHeight="1" x14ac:dyDescent="0.2">
      <c r="A87" s="444">
        <f t="shared" si="3"/>
        <v>75</v>
      </c>
      <c r="B87" s="500"/>
      <c r="C87" s="500"/>
      <c r="D87" s="75">
        <v>76</v>
      </c>
      <c r="E87" s="224"/>
      <c r="F87" s="504"/>
      <c r="G87" s="335">
        <f t="shared" si="4"/>
        <v>0</v>
      </c>
      <c r="H87" s="337"/>
      <c r="I87" s="504"/>
      <c r="J87" s="545"/>
      <c r="K87" s="76">
        <f t="shared" si="5"/>
        <v>10000</v>
      </c>
      <c r="L87" s="224"/>
      <c r="M87" s="504"/>
      <c r="N87" s="77">
        <f ca="1">N81+6*(N88-N81)/7</f>
        <v>951.11249999999995</v>
      </c>
      <c r="O87" s="77">
        <f ca="1">O81+6*(O88-O81)/7</f>
        <v>999.88749999999993</v>
      </c>
      <c r="P87" s="337"/>
      <c r="Q87" s="588"/>
      <c r="R87" s="224"/>
      <c r="S87" s="504"/>
      <c r="T87" s="568"/>
      <c r="U87" s="564"/>
      <c r="V87" s="334"/>
      <c r="W87" s="334"/>
      <c r="X87" s="561"/>
      <c r="Y87" s="574"/>
      <c r="Z87" s="574"/>
      <c r="AA87" s="571"/>
      <c r="AB87" s="224"/>
      <c r="AC87" s="504"/>
      <c r="AD87" s="225"/>
      <c r="AE87" s="579"/>
      <c r="AF87" s="595"/>
      <c r="AG87" s="596"/>
      <c r="AH87" s="596"/>
      <c r="AI87" s="597"/>
    </row>
    <row r="88" spans="1:35" ht="15.75" customHeight="1" thickBot="1" x14ac:dyDescent="0.25">
      <c r="A88" s="445">
        <f t="shared" si="3"/>
        <v>76</v>
      </c>
      <c r="B88" s="501"/>
      <c r="C88" s="501"/>
      <c r="D88" s="347">
        <v>77</v>
      </c>
      <c r="E88" s="358"/>
      <c r="F88" s="505"/>
      <c r="G88" s="348">
        <f t="shared" si="4"/>
        <v>0</v>
      </c>
      <c r="H88" s="349"/>
      <c r="I88" s="505"/>
      <c r="J88" s="546"/>
      <c r="K88" s="350">
        <f t="shared" si="5"/>
        <v>10000</v>
      </c>
      <c r="L88" s="358"/>
      <c r="M88" s="505"/>
      <c r="N88" s="351">
        <f ca="1">OFFSET(Std!$H$4,C75,0)</f>
        <v>964.27499999999998</v>
      </c>
      <c r="O88" s="351">
        <f ca="1">OFFSET(Std!$I$4,C75,0)</f>
        <v>1013.7249999999999</v>
      </c>
      <c r="P88" s="349"/>
      <c r="Q88" s="589"/>
      <c r="R88" s="358"/>
      <c r="S88" s="505"/>
      <c r="T88" s="569"/>
      <c r="U88" s="565"/>
      <c r="V88" s="352"/>
      <c r="W88" s="352"/>
      <c r="X88" s="562"/>
      <c r="Y88" s="575"/>
      <c r="Z88" s="575"/>
      <c r="AA88" s="572"/>
      <c r="AB88" s="358"/>
      <c r="AC88" s="505"/>
      <c r="AD88" s="359"/>
      <c r="AE88" s="580"/>
      <c r="AF88" s="598"/>
      <c r="AG88" s="599"/>
      <c r="AH88" s="599"/>
      <c r="AI88" s="600"/>
    </row>
    <row r="89" spans="1:35" ht="15.75" customHeight="1" x14ac:dyDescent="0.2">
      <c r="A89" s="443">
        <f t="shared" si="3"/>
        <v>77</v>
      </c>
      <c r="B89" s="502">
        <f>WEEKNUM(A89,1)</f>
        <v>11</v>
      </c>
      <c r="C89" s="499">
        <v>12</v>
      </c>
      <c r="D89" s="355">
        <v>78</v>
      </c>
      <c r="E89" s="223"/>
      <c r="F89" s="503">
        <f>SUM(E89:E95)</f>
        <v>0</v>
      </c>
      <c r="G89" s="81">
        <f t="shared" si="4"/>
        <v>0</v>
      </c>
      <c r="H89" s="345"/>
      <c r="I89" s="503">
        <f>SUM(H89:H95)</f>
        <v>0</v>
      </c>
      <c r="J89" s="566">
        <f ca="1">OFFSET('Graph values'!$Y$96,C82,0)/'Graph values'!$Q$117</f>
        <v>0</v>
      </c>
      <c r="K89" s="356">
        <f t="shared" si="5"/>
        <v>10000</v>
      </c>
      <c r="L89" s="223"/>
      <c r="M89" s="503" t="str">
        <f>IF(L95="",IF(L94="",IF(L93="",IF(L92="",IF(L91="",IF(L90="",IF(L89="","",L89),L90),L91),L92),L93),L94),L95)</f>
        <v/>
      </c>
      <c r="N89" s="83">
        <f ca="1">N88+1*(N95-N88)/7</f>
        <v>976.46249999999998</v>
      </c>
      <c r="O89" s="83">
        <f ca="1">O88+1*(O95-O88)/7</f>
        <v>1026.5374999999999</v>
      </c>
      <c r="P89" s="345"/>
      <c r="Q89" s="587" t="str">
        <f>IF(P95="",IF(P94="",IF(P93="",IF(P92="",IF(P91="",IF(P90="",IF(P89="","",P89),P90),P91),P92),P93),P94),P95)</f>
        <v/>
      </c>
      <c r="R89" s="223"/>
      <c r="S89" s="503">
        <f>SUM(R89:R95)</f>
        <v>0</v>
      </c>
      <c r="T89" s="583" t="e">
        <f>IF(S89="","",S89/AVERAGE(K89:K95)*1000/COUNTA(R89:R95))</f>
        <v>#DIV/0!</v>
      </c>
      <c r="U89" s="563" t="e">
        <f>IF(S89="","",IF(X89="","",S89/X89))</f>
        <v>#DIV/0!</v>
      </c>
      <c r="V89" s="357"/>
      <c r="W89" s="357"/>
      <c r="X89" s="560">
        <f>IF(SUM(W89:W95)=0,SUM(V89:V95),SUM(W89:W95)-SUM(V89:V95))</f>
        <v>0</v>
      </c>
      <c r="Y89" s="573">
        <f>IF(X89="","",X89/K89*1000)/7</f>
        <v>0</v>
      </c>
      <c r="Z89" s="573" t="str">
        <f>TEXT(VLOOKUP(C89,Std!$A$3:$K$103,10,FALSE),0)&amp;"-"&amp;TEXT(VLOOKUP(C89,Std!$A$3:$K$103,11,FALSE),0)</f>
        <v>63-65</v>
      </c>
      <c r="AA89" s="570">
        <f>IF(X89="","",X89/K95*1000)+AA82</f>
        <v>0</v>
      </c>
      <c r="AB89" s="223"/>
      <c r="AC89" s="503" t="str">
        <f>IF(OR(MIN(AB89:AB95)=0,MIN(AB89:AB95)&gt;24),"",MIN(AB89:AB95))</f>
        <v/>
      </c>
      <c r="AD89" s="226"/>
      <c r="AE89" s="578" t="str">
        <f>IF(MIN(AD89:AD95)=0,"",MIN(AD89:AD95))</f>
        <v/>
      </c>
      <c r="AF89" s="592"/>
      <c r="AG89" s="593"/>
      <c r="AH89" s="593"/>
      <c r="AI89" s="594"/>
    </row>
    <row r="90" spans="1:35" ht="15.75" customHeight="1" x14ac:dyDescent="0.2">
      <c r="A90" s="444">
        <f t="shared" si="3"/>
        <v>78</v>
      </c>
      <c r="B90" s="500"/>
      <c r="C90" s="500"/>
      <c r="D90" s="75">
        <v>79</v>
      </c>
      <c r="E90" s="224"/>
      <c r="F90" s="504"/>
      <c r="G90" s="335">
        <f t="shared" si="4"/>
        <v>0</v>
      </c>
      <c r="H90" s="337"/>
      <c r="I90" s="504"/>
      <c r="J90" s="545"/>
      <c r="K90" s="76">
        <f t="shared" si="5"/>
        <v>10000</v>
      </c>
      <c r="L90" s="224"/>
      <c r="M90" s="504"/>
      <c r="N90" s="77">
        <f ca="1">N88+2*(N95-N88)/7</f>
        <v>988.65</v>
      </c>
      <c r="O90" s="77">
        <f ca="1">O88+2*(O95-O88)/7</f>
        <v>1039.3499999999999</v>
      </c>
      <c r="P90" s="337"/>
      <c r="Q90" s="588"/>
      <c r="R90" s="224"/>
      <c r="S90" s="504"/>
      <c r="T90" s="568"/>
      <c r="U90" s="564"/>
      <c r="V90" s="334"/>
      <c r="W90" s="334"/>
      <c r="X90" s="561"/>
      <c r="Y90" s="574"/>
      <c r="Z90" s="574"/>
      <c r="AA90" s="571"/>
      <c r="AB90" s="224"/>
      <c r="AC90" s="504"/>
      <c r="AD90" s="225"/>
      <c r="AE90" s="579"/>
      <c r="AF90" s="595"/>
      <c r="AG90" s="596"/>
      <c r="AH90" s="596"/>
      <c r="AI90" s="597"/>
    </row>
    <row r="91" spans="1:35" ht="15.75" customHeight="1" x14ac:dyDescent="0.2">
      <c r="A91" s="444">
        <f t="shared" si="3"/>
        <v>79</v>
      </c>
      <c r="B91" s="500"/>
      <c r="C91" s="500"/>
      <c r="D91" s="75">
        <v>80</v>
      </c>
      <c r="E91" s="224"/>
      <c r="F91" s="504"/>
      <c r="G91" s="335">
        <f t="shared" si="4"/>
        <v>0</v>
      </c>
      <c r="H91" s="337"/>
      <c r="I91" s="504"/>
      <c r="J91" s="545"/>
      <c r="K91" s="76">
        <f t="shared" si="5"/>
        <v>10000</v>
      </c>
      <c r="L91" s="224"/>
      <c r="M91" s="504"/>
      <c r="N91" s="77">
        <f ca="1">N88+3*(N95-N88)/7</f>
        <v>1000.8375</v>
      </c>
      <c r="O91" s="77">
        <f ca="1">O88+3*(O95-O88)/7</f>
        <v>1052.1624999999999</v>
      </c>
      <c r="P91" s="337"/>
      <c r="Q91" s="588"/>
      <c r="R91" s="224"/>
      <c r="S91" s="504"/>
      <c r="T91" s="568"/>
      <c r="U91" s="564"/>
      <c r="V91" s="334"/>
      <c r="W91" s="334"/>
      <c r="X91" s="561"/>
      <c r="Y91" s="574"/>
      <c r="Z91" s="574"/>
      <c r="AA91" s="571"/>
      <c r="AB91" s="224"/>
      <c r="AC91" s="504"/>
      <c r="AD91" s="225"/>
      <c r="AE91" s="579"/>
      <c r="AF91" s="595"/>
      <c r="AG91" s="596"/>
      <c r="AH91" s="596"/>
      <c r="AI91" s="597"/>
    </row>
    <row r="92" spans="1:35" ht="15.75" customHeight="1" x14ac:dyDescent="0.2">
      <c r="A92" s="444">
        <f t="shared" si="3"/>
        <v>80</v>
      </c>
      <c r="B92" s="500"/>
      <c r="C92" s="500"/>
      <c r="D92" s="75">
        <v>81</v>
      </c>
      <c r="E92" s="224"/>
      <c r="F92" s="504"/>
      <c r="G92" s="335">
        <f t="shared" si="4"/>
        <v>0</v>
      </c>
      <c r="H92" s="337"/>
      <c r="I92" s="504"/>
      <c r="J92" s="545"/>
      <c r="K92" s="76">
        <f t="shared" si="5"/>
        <v>10000</v>
      </c>
      <c r="L92" s="224"/>
      <c r="M92" s="504"/>
      <c r="N92" s="77">
        <f ca="1">N88+4*(N95-N88)/7</f>
        <v>1013.0249999999999</v>
      </c>
      <c r="O92" s="77">
        <f ca="1">O88+4*(O95-O88)/7</f>
        <v>1064.9749999999999</v>
      </c>
      <c r="P92" s="337"/>
      <c r="Q92" s="588"/>
      <c r="R92" s="224"/>
      <c r="S92" s="504"/>
      <c r="T92" s="568"/>
      <c r="U92" s="564"/>
      <c r="V92" s="334"/>
      <c r="W92" s="334"/>
      <c r="X92" s="561"/>
      <c r="Y92" s="574"/>
      <c r="Z92" s="574"/>
      <c r="AA92" s="571"/>
      <c r="AB92" s="224"/>
      <c r="AC92" s="504"/>
      <c r="AD92" s="225"/>
      <c r="AE92" s="579"/>
      <c r="AF92" s="595"/>
      <c r="AG92" s="596"/>
      <c r="AH92" s="596"/>
      <c r="AI92" s="597"/>
    </row>
    <row r="93" spans="1:35" ht="15.75" customHeight="1" x14ac:dyDescent="0.2">
      <c r="A93" s="444">
        <f t="shared" si="3"/>
        <v>81</v>
      </c>
      <c r="B93" s="500"/>
      <c r="C93" s="500"/>
      <c r="D93" s="75">
        <v>82</v>
      </c>
      <c r="E93" s="224"/>
      <c r="F93" s="504"/>
      <c r="G93" s="335">
        <f t="shared" si="4"/>
        <v>0</v>
      </c>
      <c r="H93" s="337"/>
      <c r="I93" s="504"/>
      <c r="J93" s="545"/>
      <c r="K93" s="76">
        <f t="shared" si="5"/>
        <v>10000</v>
      </c>
      <c r="L93" s="224"/>
      <c r="M93" s="504"/>
      <c r="N93" s="77">
        <f ca="1">N88+5*(N95-N88)/7</f>
        <v>1025.2124999999999</v>
      </c>
      <c r="O93" s="77">
        <f ca="1">O88+5*(O95-O88)/7</f>
        <v>1077.7874999999999</v>
      </c>
      <c r="P93" s="337"/>
      <c r="Q93" s="588"/>
      <c r="R93" s="224"/>
      <c r="S93" s="504"/>
      <c r="T93" s="568"/>
      <c r="U93" s="564"/>
      <c r="V93" s="334"/>
      <c r="W93" s="334"/>
      <c r="X93" s="561"/>
      <c r="Y93" s="574"/>
      <c r="Z93" s="574"/>
      <c r="AA93" s="571"/>
      <c r="AB93" s="224"/>
      <c r="AC93" s="504"/>
      <c r="AD93" s="225"/>
      <c r="AE93" s="579"/>
      <c r="AF93" s="595"/>
      <c r="AG93" s="596"/>
      <c r="AH93" s="596"/>
      <c r="AI93" s="597"/>
    </row>
    <row r="94" spans="1:35" ht="15.75" customHeight="1" x14ac:dyDescent="0.2">
      <c r="A94" s="444">
        <f t="shared" si="3"/>
        <v>82</v>
      </c>
      <c r="B94" s="500"/>
      <c r="C94" s="500"/>
      <c r="D94" s="75">
        <v>83</v>
      </c>
      <c r="E94" s="224"/>
      <c r="F94" s="504"/>
      <c r="G94" s="335">
        <f t="shared" si="4"/>
        <v>0</v>
      </c>
      <c r="H94" s="337"/>
      <c r="I94" s="504"/>
      <c r="J94" s="545"/>
      <c r="K94" s="76">
        <f t="shared" si="5"/>
        <v>10000</v>
      </c>
      <c r="L94" s="224"/>
      <c r="M94" s="504"/>
      <c r="N94" s="77">
        <f ca="1">N88+6*(N95-N88)/7</f>
        <v>1037.3999999999999</v>
      </c>
      <c r="O94" s="77">
        <f ca="1">O88+6*(O95-O88)/7</f>
        <v>1090.5999999999999</v>
      </c>
      <c r="P94" s="337"/>
      <c r="Q94" s="588"/>
      <c r="R94" s="224"/>
      <c r="S94" s="504"/>
      <c r="T94" s="568"/>
      <c r="U94" s="564"/>
      <c r="V94" s="334"/>
      <c r="W94" s="334"/>
      <c r="X94" s="561"/>
      <c r="Y94" s="574"/>
      <c r="Z94" s="574"/>
      <c r="AA94" s="571"/>
      <c r="AB94" s="224"/>
      <c r="AC94" s="504"/>
      <c r="AD94" s="225"/>
      <c r="AE94" s="579"/>
      <c r="AF94" s="595"/>
      <c r="AG94" s="596"/>
      <c r="AH94" s="596"/>
      <c r="AI94" s="597"/>
    </row>
    <row r="95" spans="1:35" ht="15.75" customHeight="1" thickBot="1" x14ac:dyDescent="0.25">
      <c r="A95" s="445">
        <f t="shared" si="3"/>
        <v>83</v>
      </c>
      <c r="B95" s="501"/>
      <c r="C95" s="501"/>
      <c r="D95" s="347">
        <v>84</v>
      </c>
      <c r="E95" s="358"/>
      <c r="F95" s="505"/>
      <c r="G95" s="348">
        <f t="shared" si="4"/>
        <v>0</v>
      </c>
      <c r="H95" s="349"/>
      <c r="I95" s="505"/>
      <c r="J95" s="546"/>
      <c r="K95" s="350">
        <f t="shared" si="5"/>
        <v>10000</v>
      </c>
      <c r="L95" s="358"/>
      <c r="M95" s="505"/>
      <c r="N95" s="351">
        <f ca="1">OFFSET(Std!$H$4,C82,0)</f>
        <v>1049.5874999999999</v>
      </c>
      <c r="O95" s="351">
        <f ca="1">OFFSET(Std!$I$4,C82,0)</f>
        <v>1103.4124999999999</v>
      </c>
      <c r="P95" s="349"/>
      <c r="Q95" s="589"/>
      <c r="R95" s="358"/>
      <c r="S95" s="505"/>
      <c r="T95" s="569"/>
      <c r="U95" s="565"/>
      <c r="V95" s="352"/>
      <c r="W95" s="352"/>
      <c r="X95" s="562"/>
      <c r="Y95" s="575"/>
      <c r="Z95" s="575"/>
      <c r="AA95" s="572"/>
      <c r="AB95" s="358"/>
      <c r="AC95" s="505"/>
      <c r="AD95" s="359"/>
      <c r="AE95" s="580"/>
      <c r="AF95" s="598"/>
      <c r="AG95" s="599"/>
      <c r="AH95" s="599"/>
      <c r="AI95" s="600"/>
    </row>
    <row r="96" spans="1:35" ht="15.75" customHeight="1" x14ac:dyDescent="0.2">
      <c r="A96" s="443">
        <f t="shared" si="3"/>
        <v>84</v>
      </c>
      <c r="B96" s="502">
        <f>WEEKNUM(A96,1)</f>
        <v>12</v>
      </c>
      <c r="C96" s="499">
        <v>13</v>
      </c>
      <c r="D96" s="355">
        <v>85</v>
      </c>
      <c r="E96" s="223"/>
      <c r="F96" s="503">
        <f>SUM(E96:E102)</f>
        <v>0</v>
      </c>
      <c r="G96" s="81">
        <f t="shared" si="4"/>
        <v>0</v>
      </c>
      <c r="H96" s="345"/>
      <c r="I96" s="503">
        <f>SUM(H96:H102)</f>
        <v>0</v>
      </c>
      <c r="J96" s="566">
        <f ca="1">OFFSET('Graph values'!$Y$96,C89,0)/'Graph values'!$Q$117</f>
        <v>0</v>
      </c>
      <c r="K96" s="356">
        <f t="shared" si="5"/>
        <v>10000</v>
      </c>
      <c r="L96" s="223"/>
      <c r="M96" s="503" t="str">
        <f>IF(L102="",IF(L101="",IF(L100="",IF(L99="",IF(L98="",IF(L97="",IF(L96="","",L96),L97),L98),L99),L100),L101),L102)</f>
        <v/>
      </c>
      <c r="N96" s="83">
        <f ca="1">N95+1*(N102-N95)/7</f>
        <v>1061.3571428571427</v>
      </c>
      <c r="O96" s="83">
        <f ca="1">O95+1*(O102-O95)/7</f>
        <v>1115.7857142857142</v>
      </c>
      <c r="P96" s="345"/>
      <c r="Q96" s="587" t="str">
        <f>IF(P102="",IF(P101="",IF(P100="",IF(P99="",IF(P98="",IF(P97="",IF(P96="","",P96),P97),P98),P99),P100),P101),P102)</f>
        <v/>
      </c>
      <c r="R96" s="223"/>
      <c r="S96" s="503">
        <f>SUM(R96:R102)</f>
        <v>0</v>
      </c>
      <c r="T96" s="583" t="e">
        <f>IF(S96="","",S96/AVERAGE(K96:K102)*1000/COUNTA(R96:R102))</f>
        <v>#DIV/0!</v>
      </c>
      <c r="U96" s="563" t="e">
        <f>IF(S96="","",IF(X96="","",S96/X96))</f>
        <v>#DIV/0!</v>
      </c>
      <c r="V96" s="357"/>
      <c r="W96" s="357"/>
      <c r="X96" s="560">
        <f>IF(SUM(W96:W102)=0,SUM(V96:V102),SUM(W96:W102)-SUM(V96:V102))</f>
        <v>0</v>
      </c>
      <c r="Y96" s="573">
        <f>IF(X96="","",X96/K96*1000)/7</f>
        <v>0</v>
      </c>
      <c r="Z96" s="573" t="str">
        <f>TEXT(VLOOKUP(C96,Std!$A$3:$K$103,10,FALSE),0)&amp;"-"&amp;TEXT(VLOOKUP(C96,Std!$A$3:$K$103,11,FALSE),0)</f>
        <v>66-68</v>
      </c>
      <c r="AA96" s="570">
        <f>IF(X96="","",X96/K102*1000)+AA89</f>
        <v>0</v>
      </c>
      <c r="AB96" s="223"/>
      <c r="AC96" s="503" t="str">
        <f>IF(OR(MIN(AB96:AB102)=0,MIN(AB96:AB102)&gt;24),"",MIN(AB96:AB102))</f>
        <v/>
      </c>
      <c r="AD96" s="226"/>
      <c r="AE96" s="578" t="str">
        <f>IF(MIN(AD96:AD102)=0,"",MIN(AD96:AD102))</f>
        <v/>
      </c>
      <c r="AF96" s="592"/>
      <c r="AG96" s="593"/>
      <c r="AH96" s="593"/>
      <c r="AI96" s="594"/>
    </row>
    <row r="97" spans="1:35" ht="15.75" customHeight="1" x14ac:dyDescent="0.2">
      <c r="A97" s="444">
        <f t="shared" si="3"/>
        <v>85</v>
      </c>
      <c r="B97" s="500"/>
      <c r="C97" s="500"/>
      <c r="D97" s="75">
        <v>86</v>
      </c>
      <c r="E97" s="224"/>
      <c r="F97" s="504"/>
      <c r="G97" s="335">
        <f t="shared" si="4"/>
        <v>0</v>
      </c>
      <c r="H97" s="337"/>
      <c r="I97" s="504"/>
      <c r="J97" s="545"/>
      <c r="K97" s="76">
        <f t="shared" si="5"/>
        <v>10000</v>
      </c>
      <c r="L97" s="224"/>
      <c r="M97" s="504"/>
      <c r="N97" s="77">
        <f ca="1">N95+2*(N102-N95)/7</f>
        <v>1073.1267857142857</v>
      </c>
      <c r="O97" s="77">
        <f ca="1">O95+2*(O102-O95)/7</f>
        <v>1128.1589285714285</v>
      </c>
      <c r="P97" s="337"/>
      <c r="Q97" s="588"/>
      <c r="R97" s="224"/>
      <c r="S97" s="504"/>
      <c r="T97" s="568"/>
      <c r="U97" s="564"/>
      <c r="V97" s="334"/>
      <c r="W97" s="334"/>
      <c r="X97" s="561"/>
      <c r="Y97" s="574"/>
      <c r="Z97" s="574"/>
      <c r="AA97" s="571"/>
      <c r="AB97" s="224"/>
      <c r="AC97" s="504"/>
      <c r="AD97" s="225"/>
      <c r="AE97" s="579"/>
      <c r="AF97" s="595"/>
      <c r="AG97" s="596"/>
      <c r="AH97" s="596"/>
      <c r="AI97" s="597"/>
    </row>
    <row r="98" spans="1:35" ht="15.75" customHeight="1" x14ac:dyDescent="0.2">
      <c r="A98" s="444">
        <f t="shared" si="3"/>
        <v>86</v>
      </c>
      <c r="B98" s="500"/>
      <c r="C98" s="500"/>
      <c r="D98" s="75">
        <v>87</v>
      </c>
      <c r="E98" s="224"/>
      <c r="F98" s="504"/>
      <c r="G98" s="335">
        <f t="shared" si="4"/>
        <v>0</v>
      </c>
      <c r="H98" s="337"/>
      <c r="I98" s="504"/>
      <c r="J98" s="545"/>
      <c r="K98" s="76">
        <f t="shared" si="5"/>
        <v>10000</v>
      </c>
      <c r="L98" s="224"/>
      <c r="M98" s="504"/>
      <c r="N98" s="77">
        <f ca="1">N95+3*(N102-N95)/7</f>
        <v>1084.8964285714285</v>
      </c>
      <c r="O98" s="77">
        <f ca="1">O95+3*(O102-O95)/7</f>
        <v>1140.5321428571428</v>
      </c>
      <c r="P98" s="337"/>
      <c r="Q98" s="588"/>
      <c r="R98" s="224"/>
      <c r="S98" s="504"/>
      <c r="T98" s="568"/>
      <c r="U98" s="564"/>
      <c r="V98" s="334"/>
      <c r="W98" s="334"/>
      <c r="X98" s="561"/>
      <c r="Y98" s="574"/>
      <c r="Z98" s="574"/>
      <c r="AA98" s="571"/>
      <c r="AB98" s="224"/>
      <c r="AC98" s="504"/>
      <c r="AD98" s="225"/>
      <c r="AE98" s="579"/>
      <c r="AF98" s="595"/>
      <c r="AG98" s="596"/>
      <c r="AH98" s="596"/>
      <c r="AI98" s="597"/>
    </row>
    <row r="99" spans="1:35" ht="15.75" customHeight="1" x14ac:dyDescent="0.2">
      <c r="A99" s="444">
        <f t="shared" si="3"/>
        <v>87</v>
      </c>
      <c r="B99" s="500"/>
      <c r="C99" s="500"/>
      <c r="D99" s="75">
        <v>88</v>
      </c>
      <c r="E99" s="224"/>
      <c r="F99" s="504"/>
      <c r="G99" s="335">
        <f t="shared" si="4"/>
        <v>0</v>
      </c>
      <c r="H99" s="337"/>
      <c r="I99" s="504"/>
      <c r="J99" s="545"/>
      <c r="K99" s="76">
        <f t="shared" si="5"/>
        <v>10000</v>
      </c>
      <c r="L99" s="224"/>
      <c r="M99" s="504"/>
      <c r="N99" s="77">
        <f ca="1">N95+4*(N102-N95)/7</f>
        <v>1096.6660714285713</v>
      </c>
      <c r="O99" s="77">
        <f ca="1">O95+4*(O102-O95)/7</f>
        <v>1152.9053571428569</v>
      </c>
      <c r="P99" s="337"/>
      <c r="Q99" s="588"/>
      <c r="R99" s="224"/>
      <c r="S99" s="504"/>
      <c r="T99" s="568"/>
      <c r="U99" s="564"/>
      <c r="V99" s="334"/>
      <c r="W99" s="334"/>
      <c r="X99" s="561"/>
      <c r="Y99" s="574"/>
      <c r="Z99" s="574"/>
      <c r="AA99" s="571"/>
      <c r="AB99" s="224"/>
      <c r="AC99" s="504"/>
      <c r="AD99" s="225"/>
      <c r="AE99" s="579"/>
      <c r="AF99" s="595"/>
      <c r="AG99" s="596"/>
      <c r="AH99" s="596"/>
      <c r="AI99" s="597"/>
    </row>
    <row r="100" spans="1:35" ht="15.75" customHeight="1" x14ac:dyDescent="0.2">
      <c r="A100" s="444">
        <f t="shared" si="3"/>
        <v>88</v>
      </c>
      <c r="B100" s="500"/>
      <c r="C100" s="500"/>
      <c r="D100" s="75">
        <v>89</v>
      </c>
      <c r="E100" s="224"/>
      <c r="F100" s="504"/>
      <c r="G100" s="335">
        <f t="shared" si="4"/>
        <v>0</v>
      </c>
      <c r="H100" s="337"/>
      <c r="I100" s="504"/>
      <c r="J100" s="545"/>
      <c r="K100" s="76">
        <f t="shared" si="5"/>
        <v>10000</v>
      </c>
      <c r="L100" s="224"/>
      <c r="M100" s="504"/>
      <c r="N100" s="77">
        <f ca="1">N95+5*(N102-N95)/7</f>
        <v>1108.4357142857141</v>
      </c>
      <c r="O100" s="77">
        <f ca="1">O95+5*(O102-O95)/7</f>
        <v>1165.2785714285712</v>
      </c>
      <c r="P100" s="337"/>
      <c r="Q100" s="588"/>
      <c r="R100" s="224"/>
      <c r="S100" s="504"/>
      <c r="T100" s="568"/>
      <c r="U100" s="564"/>
      <c r="V100" s="334"/>
      <c r="W100" s="334"/>
      <c r="X100" s="561"/>
      <c r="Y100" s="574"/>
      <c r="Z100" s="574"/>
      <c r="AA100" s="571"/>
      <c r="AB100" s="224"/>
      <c r="AC100" s="504"/>
      <c r="AD100" s="225"/>
      <c r="AE100" s="579"/>
      <c r="AF100" s="595"/>
      <c r="AG100" s="596"/>
      <c r="AH100" s="596"/>
      <c r="AI100" s="597"/>
    </row>
    <row r="101" spans="1:35" ht="15.75" customHeight="1" x14ac:dyDescent="0.2">
      <c r="A101" s="444">
        <f t="shared" si="3"/>
        <v>89</v>
      </c>
      <c r="B101" s="500"/>
      <c r="C101" s="500"/>
      <c r="D101" s="75">
        <v>90</v>
      </c>
      <c r="E101" s="224"/>
      <c r="F101" s="504"/>
      <c r="G101" s="335">
        <f t="shared" si="4"/>
        <v>0</v>
      </c>
      <c r="H101" s="337"/>
      <c r="I101" s="504"/>
      <c r="J101" s="545"/>
      <c r="K101" s="76">
        <f t="shared" si="5"/>
        <v>10000</v>
      </c>
      <c r="L101" s="224"/>
      <c r="M101" s="504"/>
      <c r="N101" s="77">
        <f ca="1">N95+6*(N102-N95)/7</f>
        <v>1120.2053571428571</v>
      </c>
      <c r="O101" s="77">
        <f ca="1">O95+6*(O102-O95)/7</f>
        <v>1177.6517857142856</v>
      </c>
      <c r="P101" s="337"/>
      <c r="Q101" s="588"/>
      <c r="R101" s="224"/>
      <c r="S101" s="504"/>
      <c r="T101" s="568"/>
      <c r="U101" s="564"/>
      <c r="V101" s="334"/>
      <c r="W101" s="334"/>
      <c r="X101" s="561"/>
      <c r="Y101" s="574"/>
      <c r="Z101" s="574"/>
      <c r="AA101" s="571"/>
      <c r="AB101" s="224"/>
      <c r="AC101" s="504"/>
      <c r="AD101" s="225"/>
      <c r="AE101" s="579"/>
      <c r="AF101" s="595"/>
      <c r="AG101" s="596"/>
      <c r="AH101" s="596"/>
      <c r="AI101" s="597"/>
    </row>
    <row r="102" spans="1:35" ht="15.75" customHeight="1" thickBot="1" x14ac:dyDescent="0.25">
      <c r="A102" s="445">
        <f t="shared" si="3"/>
        <v>90</v>
      </c>
      <c r="B102" s="501"/>
      <c r="C102" s="501"/>
      <c r="D102" s="347">
        <v>91</v>
      </c>
      <c r="E102" s="358"/>
      <c r="F102" s="505"/>
      <c r="G102" s="348">
        <f t="shared" si="4"/>
        <v>0</v>
      </c>
      <c r="H102" s="349"/>
      <c r="I102" s="505"/>
      <c r="J102" s="546"/>
      <c r="K102" s="350">
        <f t="shared" si="5"/>
        <v>10000</v>
      </c>
      <c r="L102" s="358"/>
      <c r="M102" s="505"/>
      <c r="N102" s="351">
        <f ca="1">OFFSET(Std!$H$4,C89,0)</f>
        <v>1131.9749999999999</v>
      </c>
      <c r="O102" s="351">
        <f ca="1">OFFSET(Std!$I$4,C89,0)</f>
        <v>1190.0249999999999</v>
      </c>
      <c r="P102" s="349"/>
      <c r="Q102" s="589"/>
      <c r="R102" s="358"/>
      <c r="S102" s="505"/>
      <c r="T102" s="569"/>
      <c r="U102" s="565"/>
      <c r="V102" s="352"/>
      <c r="W102" s="352"/>
      <c r="X102" s="562"/>
      <c r="Y102" s="575"/>
      <c r="Z102" s="575"/>
      <c r="AA102" s="572"/>
      <c r="AB102" s="358"/>
      <c r="AC102" s="505"/>
      <c r="AD102" s="359"/>
      <c r="AE102" s="580"/>
      <c r="AF102" s="598"/>
      <c r="AG102" s="599"/>
      <c r="AH102" s="599"/>
      <c r="AI102" s="600"/>
    </row>
    <row r="103" spans="1:35" ht="15.75" customHeight="1" thickBot="1" x14ac:dyDescent="0.25">
      <c r="A103" s="443">
        <f t="shared" si="3"/>
        <v>91</v>
      </c>
      <c r="B103" s="502">
        <f>WEEKNUM(A103,1)</f>
        <v>13</v>
      </c>
      <c r="C103" s="499">
        <v>14</v>
      </c>
      <c r="D103" s="355">
        <v>92</v>
      </c>
      <c r="E103" s="223"/>
      <c r="F103" s="503">
        <f>SUM(E103:E109)</f>
        <v>0</v>
      </c>
      <c r="G103" s="81">
        <f t="shared" si="4"/>
        <v>0</v>
      </c>
      <c r="H103" s="345"/>
      <c r="I103" s="503">
        <f>SUM(H103:H109)</f>
        <v>0</v>
      </c>
      <c r="J103" s="566">
        <f ca="1">OFFSET('Graph values'!$Y$96,C96,0)/'Graph values'!$Q$117</f>
        <v>0</v>
      </c>
      <c r="K103" s="356">
        <f t="shared" si="5"/>
        <v>10000</v>
      </c>
      <c r="L103" s="366"/>
      <c r="M103" s="503" t="str">
        <f>IF(L109="",IF(L108="",IF(L107="",IF(L106="",IF(L105="",IF(L104="",IF(L103="","",L103),L104),L105),L106),L107),L108),L109)</f>
        <v/>
      </c>
      <c r="N103" s="83">
        <f ca="1">N102+1*(N109-N102)/7</f>
        <v>1142.6303571428571</v>
      </c>
      <c r="O103" s="83">
        <f ca="1">O102+1*(O109-O102)/7</f>
        <v>1201.2267857142856</v>
      </c>
      <c r="P103" s="345"/>
      <c r="Q103" s="587" t="str">
        <f>IF(P109="",IF(P108="",IF(P107="",IF(P106="",IF(P105="",IF(P104="",IF(P103="","",P103),P104),P105),P106),P107),P108),P109)</f>
        <v/>
      </c>
      <c r="R103" s="223"/>
      <c r="S103" s="503">
        <f>SUM(R103:R109)</f>
        <v>0</v>
      </c>
      <c r="T103" s="583" t="e">
        <f>IF(S103="","",S103/AVERAGE(K103:K109)*1000/COUNTA(R103:R109))</f>
        <v>#DIV/0!</v>
      </c>
      <c r="U103" s="563" t="e">
        <f>IF(S103="","",IF(X103="","",S103/X103))</f>
        <v>#DIV/0!</v>
      </c>
      <c r="V103" s="357"/>
      <c r="W103" s="357"/>
      <c r="X103" s="560">
        <f>IF(SUM(W103:W109)=0,SUM(V103:V109),SUM(W103:W109)-SUM(V103:V109))</f>
        <v>0</v>
      </c>
      <c r="Y103" s="573">
        <f>IF(X103="","",X103/K103*1000)/7</f>
        <v>0</v>
      </c>
      <c r="Z103" s="573" t="str">
        <f>TEXT(VLOOKUP(C103,Std!$A$3:$K$103,10,FALSE),0)&amp;"-"&amp;TEXT(VLOOKUP(C103,Std!$A$3:$K$103,11,FALSE),0)</f>
        <v>69-71</v>
      </c>
      <c r="AA103" s="570">
        <f>IF(X103="","",X103/K109*1000)+AA96</f>
        <v>0</v>
      </c>
      <c r="AB103" s="223"/>
      <c r="AC103" s="503" t="str">
        <f>IF(OR(MIN(AB103:AB109)=0,MIN(AB103:AB109)&gt;24),"",MIN(AB103:AB109))</f>
        <v/>
      </c>
      <c r="AD103" s="226"/>
      <c r="AE103" s="578" t="str">
        <f>IF(MIN(AD103:AD109)=0,"",MIN(AD103:AD109))</f>
        <v/>
      </c>
      <c r="AF103" s="592"/>
      <c r="AG103" s="593"/>
      <c r="AH103" s="593"/>
      <c r="AI103" s="594"/>
    </row>
    <row r="104" spans="1:35" ht="15.75" customHeight="1" x14ac:dyDescent="0.2">
      <c r="A104" s="444">
        <f t="shared" si="3"/>
        <v>92</v>
      </c>
      <c r="B104" s="500"/>
      <c r="C104" s="500"/>
      <c r="D104" s="75">
        <v>93</v>
      </c>
      <c r="E104" s="224"/>
      <c r="F104" s="504"/>
      <c r="G104" s="335">
        <f t="shared" si="4"/>
        <v>0</v>
      </c>
      <c r="H104" s="337"/>
      <c r="I104" s="504"/>
      <c r="J104" s="545"/>
      <c r="K104" s="76">
        <f t="shared" si="5"/>
        <v>10000</v>
      </c>
      <c r="L104" s="223"/>
      <c r="M104" s="504"/>
      <c r="N104" s="77">
        <f ca="1">N102+2*(N109-N102)/7</f>
        <v>1153.2857142857142</v>
      </c>
      <c r="O104" s="77">
        <f ca="1">O102+2*(O109-O102)/7</f>
        <v>1212.4285714285713</v>
      </c>
      <c r="P104" s="337"/>
      <c r="Q104" s="588"/>
      <c r="R104" s="224"/>
      <c r="S104" s="504"/>
      <c r="T104" s="568"/>
      <c r="U104" s="564"/>
      <c r="V104" s="334"/>
      <c r="W104" s="334"/>
      <c r="X104" s="561"/>
      <c r="Y104" s="574"/>
      <c r="Z104" s="574"/>
      <c r="AA104" s="571"/>
      <c r="AB104" s="224"/>
      <c r="AC104" s="504"/>
      <c r="AD104" s="225"/>
      <c r="AE104" s="579"/>
      <c r="AF104" s="595"/>
      <c r="AG104" s="596"/>
      <c r="AH104" s="596"/>
      <c r="AI104" s="597"/>
    </row>
    <row r="105" spans="1:35" ht="15.75" customHeight="1" x14ac:dyDescent="0.2">
      <c r="A105" s="444">
        <f t="shared" si="3"/>
        <v>93</v>
      </c>
      <c r="B105" s="500"/>
      <c r="C105" s="500"/>
      <c r="D105" s="75">
        <v>94</v>
      </c>
      <c r="E105" s="224"/>
      <c r="F105" s="504"/>
      <c r="G105" s="335">
        <f t="shared" si="4"/>
        <v>0</v>
      </c>
      <c r="H105" s="337"/>
      <c r="I105" s="504"/>
      <c r="J105" s="545"/>
      <c r="K105" s="76">
        <f t="shared" si="5"/>
        <v>10000</v>
      </c>
      <c r="L105" s="224"/>
      <c r="M105" s="504"/>
      <c r="N105" s="77">
        <f ca="1">N102+3*(N109-N102)/7</f>
        <v>1163.9410714285714</v>
      </c>
      <c r="O105" s="77">
        <f ca="1">O102+3*(O109-O102)/7</f>
        <v>1223.6303571428571</v>
      </c>
      <c r="P105" s="337"/>
      <c r="Q105" s="588"/>
      <c r="R105" s="224"/>
      <c r="S105" s="504"/>
      <c r="T105" s="568"/>
      <c r="U105" s="564"/>
      <c r="V105" s="334"/>
      <c r="W105" s="334"/>
      <c r="X105" s="561"/>
      <c r="Y105" s="574"/>
      <c r="Z105" s="574"/>
      <c r="AA105" s="571"/>
      <c r="AB105" s="224"/>
      <c r="AC105" s="504"/>
      <c r="AD105" s="225"/>
      <c r="AE105" s="579"/>
      <c r="AF105" s="595"/>
      <c r="AG105" s="596"/>
      <c r="AH105" s="596"/>
      <c r="AI105" s="597"/>
    </row>
    <row r="106" spans="1:35" ht="15.75" customHeight="1" x14ac:dyDescent="0.2">
      <c r="A106" s="444">
        <f t="shared" si="3"/>
        <v>94</v>
      </c>
      <c r="B106" s="500"/>
      <c r="C106" s="500"/>
      <c r="D106" s="75">
        <v>95</v>
      </c>
      <c r="E106" s="224"/>
      <c r="F106" s="504"/>
      <c r="G106" s="335">
        <f t="shared" si="4"/>
        <v>0</v>
      </c>
      <c r="H106" s="337"/>
      <c r="I106" s="504"/>
      <c r="J106" s="545"/>
      <c r="K106" s="76">
        <f t="shared" si="5"/>
        <v>10000</v>
      </c>
      <c r="L106" s="224"/>
      <c r="M106" s="504"/>
      <c r="N106" s="77">
        <f ca="1">N102+4*(N109-N102)/7</f>
        <v>1174.5964285714285</v>
      </c>
      <c r="O106" s="77">
        <f ca="1">O102+4*(O109-O102)/7</f>
        <v>1234.8321428571428</v>
      </c>
      <c r="P106" s="337"/>
      <c r="Q106" s="588"/>
      <c r="R106" s="224"/>
      <c r="S106" s="504"/>
      <c r="T106" s="568"/>
      <c r="U106" s="564"/>
      <c r="V106" s="334"/>
      <c r="W106" s="334"/>
      <c r="X106" s="561"/>
      <c r="Y106" s="574"/>
      <c r="Z106" s="574"/>
      <c r="AA106" s="571"/>
      <c r="AB106" s="224"/>
      <c r="AC106" s="504"/>
      <c r="AD106" s="225"/>
      <c r="AE106" s="579"/>
      <c r="AF106" s="595"/>
      <c r="AG106" s="596"/>
      <c r="AH106" s="596"/>
      <c r="AI106" s="597"/>
    </row>
    <row r="107" spans="1:35" ht="15.75" customHeight="1" x14ac:dyDescent="0.2">
      <c r="A107" s="444">
        <f t="shared" si="3"/>
        <v>95</v>
      </c>
      <c r="B107" s="500"/>
      <c r="C107" s="500"/>
      <c r="D107" s="75">
        <v>96</v>
      </c>
      <c r="E107" s="224"/>
      <c r="F107" s="504"/>
      <c r="G107" s="335">
        <f t="shared" si="4"/>
        <v>0</v>
      </c>
      <c r="H107" s="337"/>
      <c r="I107" s="504"/>
      <c r="J107" s="545"/>
      <c r="K107" s="76">
        <f t="shared" si="5"/>
        <v>10000</v>
      </c>
      <c r="L107" s="224"/>
      <c r="M107" s="504"/>
      <c r="N107" s="77">
        <f ca="1">N102+5*(N109-N102)/7</f>
        <v>1185.2517857142857</v>
      </c>
      <c r="O107" s="77">
        <f ca="1">O102+5*(O109-O102)/7</f>
        <v>1246.0339285714285</v>
      </c>
      <c r="P107" s="337"/>
      <c r="Q107" s="588"/>
      <c r="R107" s="224"/>
      <c r="S107" s="504"/>
      <c r="T107" s="568"/>
      <c r="U107" s="564"/>
      <c r="V107" s="334"/>
      <c r="W107" s="334"/>
      <c r="X107" s="561"/>
      <c r="Y107" s="574"/>
      <c r="Z107" s="574"/>
      <c r="AA107" s="571"/>
      <c r="AB107" s="224"/>
      <c r="AC107" s="504"/>
      <c r="AD107" s="225"/>
      <c r="AE107" s="579"/>
      <c r="AF107" s="595"/>
      <c r="AG107" s="596"/>
      <c r="AH107" s="596"/>
      <c r="AI107" s="597"/>
    </row>
    <row r="108" spans="1:35" ht="15.75" customHeight="1" x14ac:dyDescent="0.2">
      <c r="A108" s="444">
        <f t="shared" si="3"/>
        <v>96</v>
      </c>
      <c r="B108" s="500"/>
      <c r="C108" s="500"/>
      <c r="D108" s="75">
        <v>97</v>
      </c>
      <c r="E108" s="224"/>
      <c r="F108" s="504"/>
      <c r="G108" s="335">
        <f t="shared" si="4"/>
        <v>0</v>
      </c>
      <c r="H108" s="337"/>
      <c r="I108" s="504"/>
      <c r="J108" s="545"/>
      <c r="K108" s="76">
        <f t="shared" si="5"/>
        <v>10000</v>
      </c>
      <c r="L108" s="224"/>
      <c r="M108" s="504"/>
      <c r="N108" s="77">
        <f ca="1">N102+6*(N109-N102)/7</f>
        <v>1195.9071428571428</v>
      </c>
      <c r="O108" s="77">
        <f ca="1">O102+6*(O109-O102)/7</f>
        <v>1257.2357142857143</v>
      </c>
      <c r="P108" s="337"/>
      <c r="Q108" s="588"/>
      <c r="R108" s="224"/>
      <c r="S108" s="504"/>
      <c r="T108" s="568"/>
      <c r="U108" s="564"/>
      <c r="V108" s="334"/>
      <c r="W108" s="334"/>
      <c r="X108" s="561"/>
      <c r="Y108" s="574"/>
      <c r="Z108" s="574"/>
      <c r="AA108" s="571"/>
      <c r="AB108" s="224"/>
      <c r="AC108" s="504"/>
      <c r="AD108" s="225"/>
      <c r="AE108" s="579"/>
      <c r="AF108" s="595"/>
      <c r="AG108" s="596"/>
      <c r="AH108" s="596"/>
      <c r="AI108" s="597"/>
    </row>
    <row r="109" spans="1:35" ht="15.75" customHeight="1" thickBot="1" x14ac:dyDescent="0.25">
      <c r="A109" s="445">
        <f t="shared" si="3"/>
        <v>97</v>
      </c>
      <c r="B109" s="501"/>
      <c r="C109" s="501"/>
      <c r="D109" s="347">
        <v>98</v>
      </c>
      <c r="E109" s="358"/>
      <c r="F109" s="505"/>
      <c r="G109" s="348">
        <f t="shared" si="4"/>
        <v>0</v>
      </c>
      <c r="H109" s="349"/>
      <c r="I109" s="505"/>
      <c r="J109" s="546"/>
      <c r="K109" s="350">
        <f t="shared" si="5"/>
        <v>10000</v>
      </c>
      <c r="L109" s="358"/>
      <c r="M109" s="505"/>
      <c r="N109" s="351">
        <f ca="1">OFFSET(Std!$H$4,C96,0)</f>
        <v>1206.5625</v>
      </c>
      <c r="O109" s="351">
        <f ca="1">OFFSET(Std!$I$4,C96,0)</f>
        <v>1268.4375</v>
      </c>
      <c r="P109" s="349"/>
      <c r="Q109" s="589"/>
      <c r="R109" s="358"/>
      <c r="S109" s="505"/>
      <c r="T109" s="569"/>
      <c r="U109" s="565"/>
      <c r="V109" s="352"/>
      <c r="W109" s="352"/>
      <c r="X109" s="562"/>
      <c r="Y109" s="575"/>
      <c r="Z109" s="575"/>
      <c r="AA109" s="572"/>
      <c r="AB109" s="358"/>
      <c r="AC109" s="505"/>
      <c r="AD109" s="359"/>
      <c r="AE109" s="580"/>
      <c r="AF109" s="598"/>
      <c r="AG109" s="599"/>
      <c r="AH109" s="599"/>
      <c r="AI109" s="600"/>
    </row>
    <row r="110" spans="1:35" ht="15.75" customHeight="1" x14ac:dyDescent="0.2">
      <c r="A110" s="443">
        <f t="shared" si="3"/>
        <v>98</v>
      </c>
      <c r="B110" s="502">
        <f>WEEKNUM(A110,1)</f>
        <v>14</v>
      </c>
      <c r="C110" s="499">
        <v>15</v>
      </c>
      <c r="D110" s="355">
        <v>99</v>
      </c>
      <c r="E110" s="223"/>
      <c r="F110" s="503">
        <f>SUM(E110:E116)</f>
        <v>0</v>
      </c>
      <c r="G110" s="81">
        <f t="shared" si="4"/>
        <v>0</v>
      </c>
      <c r="H110" s="345"/>
      <c r="I110" s="503">
        <f>SUM(H110:H116)</f>
        <v>0</v>
      </c>
      <c r="J110" s="566">
        <f ca="1">OFFSET('Graph values'!$Y$96,C103,0)/'Graph values'!$Q$117</f>
        <v>0</v>
      </c>
      <c r="K110" s="356">
        <f t="shared" si="5"/>
        <v>10000</v>
      </c>
      <c r="L110" s="223"/>
      <c r="M110" s="503" t="str">
        <f>IF(L116="",IF(L115="",IF(L114="",IF(L113="",IF(L112="",IF(L111="",IF(L110="","",L110),L111),L112),L113),L114),L115),L116)</f>
        <v/>
      </c>
      <c r="N110" s="83">
        <f ca="1">N109+1*(N116-N109)/7</f>
        <v>1216.3125</v>
      </c>
      <c r="O110" s="83">
        <f ca="1">O109+1*(O116-O109)/7</f>
        <v>1278.6875</v>
      </c>
      <c r="P110" s="345"/>
      <c r="Q110" s="587" t="str">
        <f>IF(P116="",IF(P115="",IF(P114="",IF(P113="",IF(P112="",IF(P111="",IF(P110="","",P110),P111),P112),P113),P114),P115),P116)</f>
        <v/>
      </c>
      <c r="R110" s="223"/>
      <c r="S110" s="503">
        <f>SUM(R110:R116)</f>
        <v>0</v>
      </c>
      <c r="T110" s="583" t="e">
        <f>IF(S110="","",S110/AVERAGE(K110:K116)*1000/COUNTA(R110:R116))</f>
        <v>#DIV/0!</v>
      </c>
      <c r="U110" s="563" t="e">
        <f>IF(S110="","",IF(X110="","",S110/X110))</f>
        <v>#DIV/0!</v>
      </c>
      <c r="V110" s="357"/>
      <c r="W110" s="357"/>
      <c r="X110" s="560">
        <f>IF(SUM(W110:W116)=0,SUM(V110:V116),SUM(W110:W116)-SUM(V110:V116))</f>
        <v>0</v>
      </c>
      <c r="Y110" s="573">
        <f>IF(X110="","",X110/K110*1000)/7</f>
        <v>0</v>
      </c>
      <c r="Z110" s="573" t="str">
        <f>TEXT(VLOOKUP(C110,Std!$A$3:$K$103,10,FALSE),0)&amp;"-"&amp;TEXT(VLOOKUP(C110,Std!$A$3:$K$103,11,FALSE),0)</f>
        <v>72-74</v>
      </c>
      <c r="AA110" s="570">
        <f>IF(X110="","",X110/K116*1000)+AA103</f>
        <v>0</v>
      </c>
      <c r="AB110" s="223"/>
      <c r="AC110" s="503" t="str">
        <f>IF(OR(MIN(AB110:AB116)=0,MIN(AB110:AB116)&gt;24),"",MIN(AB110:AB116))</f>
        <v/>
      </c>
      <c r="AD110" s="226"/>
      <c r="AE110" s="578" t="str">
        <f>IF(MIN(AD110:AD116)=0,"",MIN(AD110:AD116))</f>
        <v/>
      </c>
      <c r="AF110" s="592"/>
      <c r="AG110" s="593"/>
      <c r="AH110" s="593"/>
      <c r="AI110" s="594"/>
    </row>
    <row r="111" spans="1:35" ht="15.75" customHeight="1" x14ac:dyDescent="0.2">
      <c r="A111" s="444">
        <f t="shared" si="3"/>
        <v>99</v>
      </c>
      <c r="B111" s="500"/>
      <c r="C111" s="500"/>
      <c r="D111" s="75">
        <v>100</v>
      </c>
      <c r="E111" s="224"/>
      <c r="F111" s="504"/>
      <c r="G111" s="335">
        <f t="shared" si="4"/>
        <v>0</v>
      </c>
      <c r="H111" s="337"/>
      <c r="I111" s="504"/>
      <c r="J111" s="545"/>
      <c r="K111" s="76">
        <f t="shared" si="5"/>
        <v>10000</v>
      </c>
      <c r="L111" s="224"/>
      <c r="M111" s="504"/>
      <c r="N111" s="77">
        <f ca="1">N109+2*(N116-N109)/7</f>
        <v>1226.0625</v>
      </c>
      <c r="O111" s="77">
        <f ca="1">O109+2*(O116-O109)/7</f>
        <v>1288.9375</v>
      </c>
      <c r="P111" s="337"/>
      <c r="Q111" s="588"/>
      <c r="R111" s="224"/>
      <c r="S111" s="504"/>
      <c r="T111" s="568"/>
      <c r="U111" s="564"/>
      <c r="V111" s="334"/>
      <c r="W111" s="334"/>
      <c r="X111" s="561"/>
      <c r="Y111" s="574"/>
      <c r="Z111" s="574"/>
      <c r="AA111" s="571"/>
      <c r="AB111" s="224"/>
      <c r="AC111" s="504"/>
      <c r="AD111" s="225"/>
      <c r="AE111" s="579"/>
      <c r="AF111" s="595"/>
      <c r="AG111" s="596"/>
      <c r="AH111" s="596"/>
      <c r="AI111" s="597"/>
    </row>
    <row r="112" spans="1:35" ht="15.75" customHeight="1" x14ac:dyDescent="0.2">
      <c r="A112" s="444">
        <f t="shared" si="3"/>
        <v>100</v>
      </c>
      <c r="B112" s="500"/>
      <c r="C112" s="500"/>
      <c r="D112" s="75">
        <v>101</v>
      </c>
      <c r="E112" s="224"/>
      <c r="F112" s="504"/>
      <c r="G112" s="335">
        <f t="shared" si="4"/>
        <v>0</v>
      </c>
      <c r="H112" s="337"/>
      <c r="I112" s="504"/>
      <c r="J112" s="545"/>
      <c r="K112" s="76">
        <f t="shared" si="5"/>
        <v>10000</v>
      </c>
      <c r="L112" s="224"/>
      <c r="M112" s="504"/>
      <c r="N112" s="77">
        <f ca="1">N109+3*(N116-N109)/7</f>
        <v>1235.8125</v>
      </c>
      <c r="O112" s="77">
        <f ca="1">O109+3*(O116-O109)/7</f>
        <v>1299.1875</v>
      </c>
      <c r="P112" s="337"/>
      <c r="Q112" s="588"/>
      <c r="R112" s="224"/>
      <c r="S112" s="504"/>
      <c r="T112" s="568"/>
      <c r="U112" s="564"/>
      <c r="V112" s="334"/>
      <c r="W112" s="334"/>
      <c r="X112" s="561"/>
      <c r="Y112" s="574"/>
      <c r="Z112" s="574"/>
      <c r="AA112" s="571"/>
      <c r="AB112" s="224"/>
      <c r="AC112" s="504"/>
      <c r="AD112" s="225"/>
      <c r="AE112" s="579"/>
      <c r="AF112" s="595"/>
      <c r="AG112" s="596"/>
      <c r="AH112" s="596"/>
      <c r="AI112" s="597"/>
    </row>
    <row r="113" spans="1:35" ht="15.75" customHeight="1" x14ac:dyDescent="0.2">
      <c r="A113" s="444">
        <f t="shared" si="3"/>
        <v>101</v>
      </c>
      <c r="B113" s="500"/>
      <c r="C113" s="500"/>
      <c r="D113" s="75">
        <v>102</v>
      </c>
      <c r="E113" s="224"/>
      <c r="F113" s="504"/>
      <c r="G113" s="335">
        <f t="shared" si="4"/>
        <v>0</v>
      </c>
      <c r="H113" s="337"/>
      <c r="I113" s="504"/>
      <c r="J113" s="545"/>
      <c r="K113" s="76">
        <f t="shared" si="5"/>
        <v>10000</v>
      </c>
      <c r="L113" s="224"/>
      <c r="M113" s="504"/>
      <c r="N113" s="77">
        <f ca="1">N109+4*(N116-N109)/7</f>
        <v>1245.5625</v>
      </c>
      <c r="O113" s="77">
        <f ca="1">O109+4*(O116-O109)/7</f>
        <v>1309.4374999999998</v>
      </c>
      <c r="P113" s="337"/>
      <c r="Q113" s="588"/>
      <c r="R113" s="224"/>
      <c r="S113" s="504"/>
      <c r="T113" s="568"/>
      <c r="U113" s="564"/>
      <c r="V113" s="334"/>
      <c r="W113" s="334"/>
      <c r="X113" s="561"/>
      <c r="Y113" s="574"/>
      <c r="Z113" s="574"/>
      <c r="AA113" s="571"/>
      <c r="AB113" s="224"/>
      <c r="AC113" s="504"/>
      <c r="AD113" s="225"/>
      <c r="AE113" s="579"/>
      <c r="AF113" s="595"/>
      <c r="AG113" s="596"/>
      <c r="AH113" s="596"/>
      <c r="AI113" s="597"/>
    </row>
    <row r="114" spans="1:35" ht="15.75" customHeight="1" x14ac:dyDescent="0.2">
      <c r="A114" s="444">
        <f t="shared" si="3"/>
        <v>102</v>
      </c>
      <c r="B114" s="500"/>
      <c r="C114" s="500"/>
      <c r="D114" s="75">
        <v>103</v>
      </c>
      <c r="E114" s="224"/>
      <c r="F114" s="504"/>
      <c r="G114" s="335">
        <f t="shared" si="4"/>
        <v>0</v>
      </c>
      <c r="H114" s="337"/>
      <c r="I114" s="504"/>
      <c r="J114" s="545"/>
      <c r="K114" s="76">
        <f t="shared" si="5"/>
        <v>10000</v>
      </c>
      <c r="L114" s="224"/>
      <c r="M114" s="504"/>
      <c r="N114" s="77">
        <f ca="1">N109+5*(N116-N109)/7</f>
        <v>1255.3125</v>
      </c>
      <c r="O114" s="77">
        <f ca="1">O109+5*(O116-O109)/7</f>
        <v>1319.6874999999998</v>
      </c>
      <c r="P114" s="337"/>
      <c r="Q114" s="588"/>
      <c r="R114" s="224"/>
      <c r="S114" s="504"/>
      <c r="T114" s="568"/>
      <c r="U114" s="564"/>
      <c r="V114" s="334"/>
      <c r="W114" s="334"/>
      <c r="X114" s="561"/>
      <c r="Y114" s="574"/>
      <c r="Z114" s="574"/>
      <c r="AA114" s="571"/>
      <c r="AB114" s="224"/>
      <c r="AC114" s="504"/>
      <c r="AD114" s="225"/>
      <c r="AE114" s="579"/>
      <c r="AF114" s="595"/>
      <c r="AG114" s="596"/>
      <c r="AH114" s="596"/>
      <c r="AI114" s="597"/>
    </row>
    <row r="115" spans="1:35" ht="15.75" customHeight="1" x14ac:dyDescent="0.2">
      <c r="A115" s="444">
        <f t="shared" si="3"/>
        <v>103</v>
      </c>
      <c r="B115" s="500"/>
      <c r="C115" s="500"/>
      <c r="D115" s="75">
        <v>104</v>
      </c>
      <c r="E115" s="224"/>
      <c r="F115" s="504"/>
      <c r="G115" s="335">
        <f t="shared" si="4"/>
        <v>0</v>
      </c>
      <c r="H115" s="337"/>
      <c r="I115" s="504"/>
      <c r="J115" s="545"/>
      <c r="K115" s="76">
        <f t="shared" si="5"/>
        <v>10000</v>
      </c>
      <c r="L115" s="224"/>
      <c r="M115" s="504"/>
      <c r="N115" s="77">
        <f ca="1">N109+6*(N116-N109)/7</f>
        <v>1265.0625</v>
      </c>
      <c r="O115" s="77">
        <f ca="1">O109+6*(O116-O109)/7</f>
        <v>1329.9374999999998</v>
      </c>
      <c r="P115" s="337"/>
      <c r="Q115" s="588"/>
      <c r="R115" s="224"/>
      <c r="S115" s="504"/>
      <c r="T115" s="568"/>
      <c r="U115" s="564"/>
      <c r="V115" s="334"/>
      <c r="W115" s="334"/>
      <c r="X115" s="561"/>
      <c r="Y115" s="574"/>
      <c r="Z115" s="574"/>
      <c r="AA115" s="571"/>
      <c r="AB115" s="224"/>
      <c r="AC115" s="504"/>
      <c r="AD115" s="225"/>
      <c r="AE115" s="579"/>
      <c r="AF115" s="595"/>
      <c r="AG115" s="596"/>
      <c r="AH115" s="596"/>
      <c r="AI115" s="597"/>
    </row>
    <row r="116" spans="1:35" ht="15.75" customHeight="1" thickBot="1" x14ac:dyDescent="0.25">
      <c r="A116" s="445">
        <f t="shared" si="3"/>
        <v>104</v>
      </c>
      <c r="B116" s="501"/>
      <c r="C116" s="501"/>
      <c r="D116" s="347">
        <v>105</v>
      </c>
      <c r="E116" s="358"/>
      <c r="F116" s="505"/>
      <c r="G116" s="348">
        <f t="shared" si="4"/>
        <v>0</v>
      </c>
      <c r="H116" s="349"/>
      <c r="I116" s="505"/>
      <c r="J116" s="546"/>
      <c r="K116" s="350">
        <f t="shared" si="5"/>
        <v>10000</v>
      </c>
      <c r="L116" s="358"/>
      <c r="M116" s="505"/>
      <c r="N116" s="351">
        <f ca="1">OFFSET(Std!$H$4,C103,0)</f>
        <v>1274.8125</v>
      </c>
      <c r="O116" s="351">
        <f ca="1">OFFSET(Std!$I$4,C103,0)</f>
        <v>1340.1874999999998</v>
      </c>
      <c r="P116" s="349"/>
      <c r="Q116" s="589"/>
      <c r="R116" s="358"/>
      <c r="S116" s="505"/>
      <c r="T116" s="569"/>
      <c r="U116" s="565"/>
      <c r="V116" s="352"/>
      <c r="W116" s="352"/>
      <c r="X116" s="562"/>
      <c r="Y116" s="575"/>
      <c r="Z116" s="575"/>
      <c r="AA116" s="572"/>
      <c r="AB116" s="358"/>
      <c r="AC116" s="505"/>
      <c r="AD116" s="359"/>
      <c r="AE116" s="580"/>
      <c r="AF116" s="598"/>
      <c r="AG116" s="599"/>
      <c r="AH116" s="599"/>
      <c r="AI116" s="600"/>
    </row>
    <row r="117" spans="1:35" ht="15.75" customHeight="1" x14ac:dyDescent="0.2">
      <c r="A117" s="443">
        <f t="shared" si="3"/>
        <v>105</v>
      </c>
      <c r="B117" s="502">
        <f>WEEKNUM(A117,1)</f>
        <v>15</v>
      </c>
      <c r="C117" s="499">
        <v>16</v>
      </c>
      <c r="D117" s="355">
        <v>106</v>
      </c>
      <c r="E117" s="223"/>
      <c r="F117" s="503">
        <f>SUM(E117:E123)</f>
        <v>0</v>
      </c>
      <c r="G117" s="81">
        <f t="shared" si="4"/>
        <v>0</v>
      </c>
      <c r="H117" s="345"/>
      <c r="I117" s="503">
        <f>SUM(H117:H123)</f>
        <v>0</v>
      </c>
      <c r="J117" s="566">
        <f ca="1">OFFSET('Graph values'!$Y$96,C110,0)/'Graph values'!$Q$117</f>
        <v>0</v>
      </c>
      <c r="K117" s="356">
        <f t="shared" si="5"/>
        <v>10000</v>
      </c>
      <c r="L117" s="223"/>
      <c r="M117" s="503" t="str">
        <f>IF(L123="",IF(L122="",IF(L121="",IF(L120="",IF(L119="",IF(L118="",IF(L117="","",L117),L118),L119),L120),L121),L122),L123)</f>
        <v/>
      </c>
      <c r="N117" s="83">
        <f ca="1">N116+1*(N123-N116)/7</f>
        <v>1284.5625</v>
      </c>
      <c r="O117" s="83">
        <f ca="1">O116+1*(O123-O116)/7</f>
        <v>1350.4374999999998</v>
      </c>
      <c r="P117" s="345"/>
      <c r="Q117" s="587" t="str">
        <f>IF(P123="",IF(P122="",IF(P121="",IF(P120="",IF(P119="",IF(P118="",IF(P117="","",P117),P118),P119),P120),P121),P122),P123)</f>
        <v/>
      </c>
      <c r="R117" s="223"/>
      <c r="S117" s="503">
        <f>SUM(R117:R123)</f>
        <v>0</v>
      </c>
      <c r="T117" s="583" t="e">
        <f>IF(S117="","",S117/AVERAGE(K117:K123)*1000/COUNTA(R117:R123))</f>
        <v>#DIV/0!</v>
      </c>
      <c r="U117" s="563" t="e">
        <f>IF(S117="","",IF(X117="","",S117/X117))</f>
        <v>#DIV/0!</v>
      </c>
      <c r="V117" s="357"/>
      <c r="W117" s="357"/>
      <c r="X117" s="560">
        <f>IF(SUM(W117:W123)=0,SUM(V117:V123),SUM(W117:W123)-SUM(V117:V123))</f>
        <v>0</v>
      </c>
      <c r="Y117" s="573">
        <f>IF(X117="","",X117/K117*1000)/7</f>
        <v>0</v>
      </c>
      <c r="Z117" s="573" t="str">
        <f>TEXT(VLOOKUP(C117,Std!$A$3:$K$103,10,FALSE),0)&amp;"-"&amp;TEXT(VLOOKUP(C117,Std!$A$3:$K$103,11,FALSE),0)</f>
        <v>75-77</v>
      </c>
      <c r="AA117" s="570">
        <f>IF(X117="","",X117/K123*1000)+AA110</f>
        <v>0</v>
      </c>
      <c r="AB117" s="223"/>
      <c r="AC117" s="503" t="str">
        <f>IF(OR(MIN(AB117:AB123)=0,MIN(AB117:AB123)&gt;24),"",MIN(AB117:AB123))</f>
        <v/>
      </c>
      <c r="AD117" s="226"/>
      <c r="AE117" s="578" t="str">
        <f>IF(MIN(AD117:AD123)=0,"",MIN(AD117:AD123))</f>
        <v/>
      </c>
      <c r="AF117" s="592"/>
      <c r="AG117" s="593"/>
      <c r="AH117" s="593"/>
      <c r="AI117" s="594"/>
    </row>
    <row r="118" spans="1:35" ht="15.75" customHeight="1" x14ac:dyDescent="0.2">
      <c r="A118" s="444">
        <f t="shared" si="3"/>
        <v>106</v>
      </c>
      <c r="B118" s="500"/>
      <c r="C118" s="500"/>
      <c r="D118" s="75">
        <v>107</v>
      </c>
      <c r="E118" s="224"/>
      <c r="F118" s="504"/>
      <c r="G118" s="335">
        <f t="shared" si="4"/>
        <v>0</v>
      </c>
      <c r="H118" s="337"/>
      <c r="I118" s="504"/>
      <c r="J118" s="545"/>
      <c r="K118" s="76">
        <f t="shared" si="5"/>
        <v>10000</v>
      </c>
      <c r="L118" s="224"/>
      <c r="M118" s="504"/>
      <c r="N118" s="77">
        <f ca="1">N116+2*(N123-N116)/7</f>
        <v>1294.3125</v>
      </c>
      <c r="O118" s="77">
        <f ca="1">O116+2*(O123-O116)/7</f>
        <v>1360.6874999999998</v>
      </c>
      <c r="P118" s="337"/>
      <c r="Q118" s="588"/>
      <c r="R118" s="224"/>
      <c r="S118" s="504"/>
      <c r="T118" s="568"/>
      <c r="U118" s="564"/>
      <c r="V118" s="334"/>
      <c r="W118" s="334"/>
      <c r="X118" s="561"/>
      <c r="Y118" s="574"/>
      <c r="Z118" s="574"/>
      <c r="AA118" s="571"/>
      <c r="AB118" s="224"/>
      <c r="AC118" s="504"/>
      <c r="AD118" s="225"/>
      <c r="AE118" s="579"/>
      <c r="AF118" s="595"/>
      <c r="AG118" s="596"/>
      <c r="AH118" s="596"/>
      <c r="AI118" s="597"/>
    </row>
    <row r="119" spans="1:35" ht="15.75" customHeight="1" x14ac:dyDescent="0.2">
      <c r="A119" s="444">
        <f t="shared" si="3"/>
        <v>107</v>
      </c>
      <c r="B119" s="500"/>
      <c r="C119" s="500"/>
      <c r="D119" s="75">
        <v>108</v>
      </c>
      <c r="E119" s="224"/>
      <c r="F119" s="504"/>
      <c r="G119" s="335">
        <f t="shared" si="4"/>
        <v>0</v>
      </c>
      <c r="H119" s="337"/>
      <c r="I119" s="504"/>
      <c r="J119" s="545"/>
      <c r="K119" s="76">
        <f t="shared" si="5"/>
        <v>10000</v>
      </c>
      <c r="L119" s="224"/>
      <c r="M119" s="504"/>
      <c r="N119" s="77">
        <f ca="1">N116+3*(N123-N116)/7</f>
        <v>1304.0625</v>
      </c>
      <c r="O119" s="77">
        <f ca="1">O116+3*(O123-O116)/7</f>
        <v>1370.9374999999998</v>
      </c>
      <c r="P119" s="337"/>
      <c r="Q119" s="588"/>
      <c r="R119" s="224"/>
      <c r="S119" s="504"/>
      <c r="T119" s="568"/>
      <c r="U119" s="564"/>
      <c r="V119" s="334"/>
      <c r="W119" s="334"/>
      <c r="X119" s="561"/>
      <c r="Y119" s="574"/>
      <c r="Z119" s="574"/>
      <c r="AA119" s="571"/>
      <c r="AB119" s="224"/>
      <c r="AC119" s="504"/>
      <c r="AD119" s="225"/>
      <c r="AE119" s="579"/>
      <c r="AF119" s="595"/>
      <c r="AG119" s="596"/>
      <c r="AH119" s="596"/>
      <c r="AI119" s="597"/>
    </row>
    <row r="120" spans="1:35" ht="15.75" customHeight="1" x14ac:dyDescent="0.2">
      <c r="A120" s="444">
        <f t="shared" si="3"/>
        <v>108</v>
      </c>
      <c r="B120" s="500"/>
      <c r="C120" s="500"/>
      <c r="D120" s="75">
        <v>109</v>
      </c>
      <c r="E120" s="224"/>
      <c r="F120" s="504"/>
      <c r="G120" s="335">
        <f t="shared" si="4"/>
        <v>0</v>
      </c>
      <c r="H120" s="337"/>
      <c r="I120" s="504"/>
      <c r="J120" s="545"/>
      <c r="K120" s="76">
        <f t="shared" si="5"/>
        <v>10000</v>
      </c>
      <c r="L120" s="224"/>
      <c r="M120" s="504"/>
      <c r="N120" s="77">
        <f ca="1">N116+4*(N123-N116)/7</f>
        <v>1313.8125</v>
      </c>
      <c r="O120" s="77">
        <f ca="1">O116+4*(O123-O116)/7</f>
        <v>1381.1874999999998</v>
      </c>
      <c r="P120" s="337"/>
      <c r="Q120" s="588"/>
      <c r="R120" s="224"/>
      <c r="S120" s="504"/>
      <c r="T120" s="568"/>
      <c r="U120" s="564"/>
      <c r="V120" s="334"/>
      <c r="W120" s="334"/>
      <c r="X120" s="561"/>
      <c r="Y120" s="574"/>
      <c r="Z120" s="574"/>
      <c r="AA120" s="571"/>
      <c r="AB120" s="224"/>
      <c r="AC120" s="504"/>
      <c r="AD120" s="225"/>
      <c r="AE120" s="579"/>
      <c r="AF120" s="595"/>
      <c r="AG120" s="596"/>
      <c r="AH120" s="596"/>
      <c r="AI120" s="597"/>
    </row>
    <row r="121" spans="1:35" ht="15.75" customHeight="1" x14ac:dyDescent="0.2">
      <c r="A121" s="444">
        <f t="shared" si="3"/>
        <v>109</v>
      </c>
      <c r="B121" s="500"/>
      <c r="C121" s="500"/>
      <c r="D121" s="75">
        <v>110</v>
      </c>
      <c r="E121" s="224"/>
      <c r="F121" s="504"/>
      <c r="G121" s="335">
        <f t="shared" si="4"/>
        <v>0</v>
      </c>
      <c r="H121" s="337"/>
      <c r="I121" s="504"/>
      <c r="J121" s="545"/>
      <c r="K121" s="76">
        <f t="shared" si="5"/>
        <v>10000</v>
      </c>
      <c r="L121" s="224"/>
      <c r="M121" s="504"/>
      <c r="N121" s="77">
        <f ca="1">N116+5*(N123-N116)/7</f>
        <v>1323.5625</v>
      </c>
      <c r="O121" s="77">
        <f ca="1">O116+5*(O123-O116)/7</f>
        <v>1391.4374999999998</v>
      </c>
      <c r="P121" s="337"/>
      <c r="Q121" s="588"/>
      <c r="R121" s="224"/>
      <c r="S121" s="504"/>
      <c r="T121" s="568"/>
      <c r="U121" s="564"/>
      <c r="V121" s="334"/>
      <c r="W121" s="334"/>
      <c r="X121" s="561"/>
      <c r="Y121" s="574"/>
      <c r="Z121" s="574"/>
      <c r="AA121" s="571"/>
      <c r="AB121" s="224"/>
      <c r="AC121" s="504"/>
      <c r="AD121" s="225"/>
      <c r="AE121" s="579"/>
      <c r="AF121" s="595"/>
      <c r="AG121" s="596"/>
      <c r="AH121" s="596"/>
      <c r="AI121" s="597"/>
    </row>
    <row r="122" spans="1:35" ht="15.75" customHeight="1" x14ac:dyDescent="0.2">
      <c r="A122" s="444">
        <f t="shared" si="3"/>
        <v>110</v>
      </c>
      <c r="B122" s="500"/>
      <c r="C122" s="500"/>
      <c r="D122" s="75">
        <v>111</v>
      </c>
      <c r="E122" s="224"/>
      <c r="F122" s="504"/>
      <c r="G122" s="335">
        <f t="shared" si="4"/>
        <v>0</v>
      </c>
      <c r="H122" s="337"/>
      <c r="I122" s="504"/>
      <c r="J122" s="545"/>
      <c r="K122" s="76">
        <f t="shared" si="5"/>
        <v>10000</v>
      </c>
      <c r="L122" s="224"/>
      <c r="M122" s="504"/>
      <c r="N122" s="77">
        <f ca="1">N116+6*(N123-N116)/7</f>
        <v>1333.3125</v>
      </c>
      <c r="O122" s="77">
        <f ca="1">O116+6*(O123-O116)/7</f>
        <v>1401.6874999999998</v>
      </c>
      <c r="P122" s="337"/>
      <c r="Q122" s="588"/>
      <c r="R122" s="224"/>
      <c r="S122" s="504"/>
      <c r="T122" s="568"/>
      <c r="U122" s="564"/>
      <c r="V122" s="334"/>
      <c r="W122" s="334"/>
      <c r="X122" s="561"/>
      <c r="Y122" s="574"/>
      <c r="Z122" s="574"/>
      <c r="AA122" s="571"/>
      <c r="AB122" s="224"/>
      <c r="AC122" s="504"/>
      <c r="AD122" s="225"/>
      <c r="AE122" s="579"/>
      <c r="AF122" s="595"/>
      <c r="AG122" s="596"/>
      <c r="AH122" s="596"/>
      <c r="AI122" s="597"/>
    </row>
    <row r="123" spans="1:35" ht="15.75" customHeight="1" thickBot="1" x14ac:dyDescent="0.25">
      <c r="A123" s="445">
        <f t="shared" si="3"/>
        <v>111</v>
      </c>
      <c r="B123" s="501"/>
      <c r="C123" s="501"/>
      <c r="D123" s="347">
        <v>112</v>
      </c>
      <c r="E123" s="358"/>
      <c r="F123" s="505"/>
      <c r="G123" s="348">
        <f t="shared" si="4"/>
        <v>0</v>
      </c>
      <c r="H123" s="349"/>
      <c r="I123" s="505"/>
      <c r="J123" s="546"/>
      <c r="K123" s="350">
        <f t="shared" si="5"/>
        <v>10000</v>
      </c>
      <c r="L123" s="358"/>
      <c r="M123" s="505"/>
      <c r="N123" s="351">
        <f ca="1">OFFSET(Std!$H$4,C110,0)</f>
        <v>1343.0625</v>
      </c>
      <c r="O123" s="351">
        <f ca="1">OFFSET(Std!$I$4,C110,0)</f>
        <v>1411.9374999999998</v>
      </c>
      <c r="P123" s="349"/>
      <c r="Q123" s="589"/>
      <c r="R123" s="358"/>
      <c r="S123" s="505"/>
      <c r="T123" s="569"/>
      <c r="U123" s="565"/>
      <c r="V123" s="352"/>
      <c r="W123" s="352"/>
      <c r="X123" s="562"/>
      <c r="Y123" s="575"/>
      <c r="Z123" s="575"/>
      <c r="AA123" s="572"/>
      <c r="AB123" s="358"/>
      <c r="AC123" s="505"/>
      <c r="AD123" s="359"/>
      <c r="AE123" s="580"/>
      <c r="AF123" s="598"/>
      <c r="AG123" s="599"/>
      <c r="AH123" s="599"/>
      <c r="AI123" s="600"/>
    </row>
    <row r="124" spans="1:35" ht="15.75" customHeight="1" x14ac:dyDescent="0.2">
      <c r="A124" s="443">
        <f t="shared" si="3"/>
        <v>112</v>
      </c>
      <c r="B124" s="502">
        <f>WEEKNUM(A124,1)</f>
        <v>16</v>
      </c>
      <c r="C124" s="499">
        <v>17</v>
      </c>
      <c r="D124" s="355">
        <v>113</v>
      </c>
      <c r="E124" s="223"/>
      <c r="F124" s="503">
        <f>SUM(E124:E130)</f>
        <v>0</v>
      </c>
      <c r="G124" s="81">
        <f t="shared" si="4"/>
        <v>0</v>
      </c>
      <c r="H124" s="345"/>
      <c r="I124" s="503">
        <f>SUM(H124:H130)</f>
        <v>0</v>
      </c>
      <c r="J124" s="566">
        <f ca="1">OFFSET('Graph values'!$Y$96,C117,0)/'Graph values'!$Q$117</f>
        <v>0</v>
      </c>
      <c r="K124" s="356">
        <f t="shared" si="5"/>
        <v>10000</v>
      </c>
      <c r="L124" s="223"/>
      <c r="M124" s="503" t="str">
        <f>IF(L130="",IF(L129="",IF(L128="",IF(L127="",IF(L126="",IF(L125="",IF(L124="","",L124),L125),L126),L127),L128),L129),L130)</f>
        <v/>
      </c>
      <c r="N124" s="83">
        <f ca="1">N123+1*(N130-N123)/7</f>
        <v>1351.6982142857144</v>
      </c>
      <c r="O124" s="83">
        <f ca="1">O123+1*(O130-O123)/7</f>
        <v>1421.0160714285712</v>
      </c>
      <c r="P124" s="345"/>
      <c r="Q124" s="587" t="str">
        <f>IF(P130="",IF(P129="",IF(P128="",IF(P127="",IF(P126="",IF(P125="",IF(P124="","",P124),P125),P126),P127),P128),P129),P130)</f>
        <v/>
      </c>
      <c r="R124" s="223"/>
      <c r="S124" s="503">
        <f>SUM(R124:R130)</f>
        <v>0</v>
      </c>
      <c r="T124" s="583" t="e">
        <f>IF(S124="","",S124/AVERAGE(K124:K130)*1000/COUNTA(R124:R130))</f>
        <v>#DIV/0!</v>
      </c>
      <c r="U124" s="563" t="e">
        <f>IF(S124="","",IF(X124="","",S124/X124))</f>
        <v>#DIV/0!</v>
      </c>
      <c r="V124" s="357"/>
      <c r="W124" s="357"/>
      <c r="X124" s="560">
        <f>IF(SUM(W124:W130)=0,SUM(V124:V130),SUM(W124:W130)-SUM(V124:V130))</f>
        <v>0</v>
      </c>
      <c r="Y124" s="573">
        <f>IF(X124="","",X124/K124*1000)/7</f>
        <v>0</v>
      </c>
      <c r="Z124" s="573" t="str">
        <f>TEXT(VLOOKUP(C124,Std!$A$3:$K$103,10,FALSE),0)&amp;"-"&amp;TEXT(VLOOKUP(C124,Std!$A$3:$K$103,11,FALSE),0)</f>
        <v>81-83</v>
      </c>
      <c r="AA124" s="570">
        <f>IF(X124="","",X124/K130*1000)+AA117</f>
        <v>0</v>
      </c>
      <c r="AB124" s="223"/>
      <c r="AC124" s="503" t="str">
        <f>IF(OR(MIN(AB124:AB130)=0,MIN(AB124:AB130)&gt;24),"",MIN(AB124:AB130))</f>
        <v/>
      </c>
      <c r="AD124" s="226"/>
      <c r="AE124" s="578" t="str">
        <f>IF(MIN(AD124:AD130)=0,"",MIN(AD124:AD130))</f>
        <v/>
      </c>
      <c r="AF124" s="592"/>
      <c r="AG124" s="593"/>
      <c r="AH124" s="593"/>
      <c r="AI124" s="594"/>
    </row>
    <row r="125" spans="1:35" ht="15.75" customHeight="1" x14ac:dyDescent="0.2">
      <c r="A125" s="444">
        <f t="shared" si="3"/>
        <v>113</v>
      </c>
      <c r="B125" s="500"/>
      <c r="C125" s="500"/>
      <c r="D125" s="75">
        <v>114</v>
      </c>
      <c r="E125" s="224"/>
      <c r="F125" s="504"/>
      <c r="G125" s="335">
        <f t="shared" si="4"/>
        <v>0</v>
      </c>
      <c r="H125" s="337"/>
      <c r="I125" s="504"/>
      <c r="J125" s="545"/>
      <c r="K125" s="76">
        <f t="shared" si="5"/>
        <v>10000</v>
      </c>
      <c r="L125" s="224"/>
      <c r="M125" s="504"/>
      <c r="N125" s="77">
        <f ca="1">N123+2*(N130-N123)/7</f>
        <v>1360.3339285714285</v>
      </c>
      <c r="O125" s="77">
        <f ca="1">O123+2*(O130-O123)/7</f>
        <v>1430.0946428571426</v>
      </c>
      <c r="P125" s="337"/>
      <c r="Q125" s="588"/>
      <c r="R125" s="224"/>
      <c r="S125" s="504"/>
      <c r="T125" s="568"/>
      <c r="U125" s="564"/>
      <c r="V125" s="334"/>
      <c r="W125" s="334"/>
      <c r="X125" s="561"/>
      <c r="Y125" s="574"/>
      <c r="Z125" s="574"/>
      <c r="AA125" s="571"/>
      <c r="AB125" s="224"/>
      <c r="AC125" s="504"/>
      <c r="AD125" s="225"/>
      <c r="AE125" s="579"/>
      <c r="AF125" s="595"/>
      <c r="AG125" s="596"/>
      <c r="AH125" s="596"/>
      <c r="AI125" s="597"/>
    </row>
    <row r="126" spans="1:35" ht="15.75" customHeight="1" x14ac:dyDescent="0.2">
      <c r="A126" s="444">
        <f t="shared" si="3"/>
        <v>114</v>
      </c>
      <c r="B126" s="500"/>
      <c r="C126" s="500"/>
      <c r="D126" s="75">
        <v>115</v>
      </c>
      <c r="E126" s="224"/>
      <c r="F126" s="504"/>
      <c r="G126" s="335">
        <f t="shared" si="4"/>
        <v>0</v>
      </c>
      <c r="H126" s="337"/>
      <c r="I126" s="504"/>
      <c r="J126" s="545"/>
      <c r="K126" s="76">
        <f t="shared" si="5"/>
        <v>10000</v>
      </c>
      <c r="L126" s="224"/>
      <c r="M126" s="504"/>
      <c r="N126" s="77">
        <f ca="1">N123+3*(N130-N123)/7</f>
        <v>1368.9696428571428</v>
      </c>
      <c r="O126" s="77">
        <f ca="1">O123+3*(O130-O123)/7</f>
        <v>1439.173214285714</v>
      </c>
      <c r="P126" s="337"/>
      <c r="Q126" s="588"/>
      <c r="R126" s="224"/>
      <c r="S126" s="504"/>
      <c r="T126" s="568"/>
      <c r="U126" s="564"/>
      <c r="V126" s="334"/>
      <c r="W126" s="334"/>
      <c r="X126" s="561"/>
      <c r="Y126" s="574"/>
      <c r="Z126" s="574"/>
      <c r="AA126" s="571"/>
      <c r="AB126" s="224"/>
      <c r="AC126" s="504"/>
      <c r="AD126" s="225"/>
      <c r="AE126" s="579"/>
      <c r="AF126" s="595"/>
      <c r="AG126" s="596"/>
      <c r="AH126" s="596"/>
      <c r="AI126" s="597"/>
    </row>
    <row r="127" spans="1:35" ht="15.75" customHeight="1" x14ac:dyDescent="0.2">
      <c r="A127" s="444">
        <f t="shared" si="3"/>
        <v>115</v>
      </c>
      <c r="B127" s="500"/>
      <c r="C127" s="500"/>
      <c r="D127" s="75">
        <v>116</v>
      </c>
      <c r="E127" s="224"/>
      <c r="F127" s="504"/>
      <c r="G127" s="335">
        <f t="shared" si="4"/>
        <v>0</v>
      </c>
      <c r="H127" s="337"/>
      <c r="I127" s="504"/>
      <c r="J127" s="545"/>
      <c r="K127" s="76">
        <f t="shared" si="5"/>
        <v>10000</v>
      </c>
      <c r="L127" s="224"/>
      <c r="M127" s="504"/>
      <c r="N127" s="77">
        <f ca="1">N123+4*(N130-N123)/7</f>
        <v>1377.6053571428572</v>
      </c>
      <c r="O127" s="77">
        <f ca="1">O123+4*(O130-O123)/7</f>
        <v>1448.2517857142857</v>
      </c>
      <c r="P127" s="337"/>
      <c r="Q127" s="588"/>
      <c r="R127" s="224"/>
      <c r="S127" s="504"/>
      <c r="T127" s="568"/>
      <c r="U127" s="564"/>
      <c r="V127" s="334"/>
      <c r="W127" s="334"/>
      <c r="X127" s="561"/>
      <c r="Y127" s="574"/>
      <c r="Z127" s="574"/>
      <c r="AA127" s="571"/>
      <c r="AB127" s="224"/>
      <c r="AC127" s="504"/>
      <c r="AD127" s="225"/>
      <c r="AE127" s="579"/>
      <c r="AF127" s="595"/>
      <c r="AG127" s="596"/>
      <c r="AH127" s="596"/>
      <c r="AI127" s="597"/>
    </row>
    <row r="128" spans="1:35" ht="15.75" customHeight="1" x14ac:dyDescent="0.2">
      <c r="A128" s="444">
        <f t="shared" si="3"/>
        <v>116</v>
      </c>
      <c r="B128" s="500"/>
      <c r="C128" s="500"/>
      <c r="D128" s="75">
        <v>117</v>
      </c>
      <c r="E128" s="224"/>
      <c r="F128" s="504"/>
      <c r="G128" s="335">
        <f t="shared" si="4"/>
        <v>0</v>
      </c>
      <c r="H128" s="337"/>
      <c r="I128" s="504"/>
      <c r="J128" s="545"/>
      <c r="K128" s="76">
        <f t="shared" si="5"/>
        <v>10000</v>
      </c>
      <c r="L128" s="224"/>
      <c r="M128" s="504"/>
      <c r="N128" s="77">
        <f ca="1">N123+5*(N130-N123)/7</f>
        <v>1386.2410714285716</v>
      </c>
      <c r="O128" s="77">
        <f ca="1">O123+5*(O130-O123)/7</f>
        <v>1457.3303571428571</v>
      </c>
      <c r="P128" s="337"/>
      <c r="Q128" s="588"/>
      <c r="R128" s="224"/>
      <c r="S128" s="504"/>
      <c r="T128" s="568"/>
      <c r="U128" s="564"/>
      <c r="V128" s="334"/>
      <c r="W128" s="334"/>
      <c r="X128" s="561"/>
      <c r="Y128" s="574"/>
      <c r="Z128" s="574"/>
      <c r="AA128" s="571"/>
      <c r="AB128" s="224"/>
      <c r="AC128" s="504"/>
      <c r="AD128" s="225"/>
      <c r="AE128" s="579"/>
      <c r="AF128" s="595"/>
      <c r="AG128" s="596"/>
      <c r="AH128" s="596"/>
      <c r="AI128" s="597"/>
    </row>
    <row r="129" spans="1:35" ht="15.75" customHeight="1" x14ac:dyDescent="0.2">
      <c r="A129" s="444">
        <f t="shared" si="3"/>
        <v>117</v>
      </c>
      <c r="B129" s="500"/>
      <c r="C129" s="500"/>
      <c r="D129" s="75">
        <v>118</v>
      </c>
      <c r="E129" s="224"/>
      <c r="F129" s="504"/>
      <c r="G129" s="335">
        <f t="shared" si="4"/>
        <v>0</v>
      </c>
      <c r="H129" s="337"/>
      <c r="I129" s="504"/>
      <c r="J129" s="545"/>
      <c r="K129" s="76">
        <f t="shared" si="5"/>
        <v>10000</v>
      </c>
      <c r="L129" s="224"/>
      <c r="M129" s="504"/>
      <c r="N129" s="77">
        <f ca="1">N123+6*(N130-N123)/7</f>
        <v>1394.8767857142857</v>
      </c>
      <c r="O129" s="77">
        <f ca="1">O123+6*(O130-O123)/7</f>
        <v>1466.4089285714285</v>
      </c>
      <c r="P129" s="337"/>
      <c r="Q129" s="588"/>
      <c r="R129" s="224"/>
      <c r="S129" s="504"/>
      <c r="T129" s="568"/>
      <c r="U129" s="564"/>
      <c r="V129" s="334"/>
      <c r="W129" s="334"/>
      <c r="X129" s="561"/>
      <c r="Y129" s="574"/>
      <c r="Z129" s="574"/>
      <c r="AA129" s="571"/>
      <c r="AB129" s="224"/>
      <c r="AC129" s="504"/>
      <c r="AD129" s="225"/>
      <c r="AE129" s="579"/>
      <c r="AF129" s="595"/>
      <c r="AG129" s="596"/>
      <c r="AH129" s="596"/>
      <c r="AI129" s="597"/>
    </row>
    <row r="130" spans="1:35" ht="15.75" customHeight="1" thickBot="1" x14ac:dyDescent="0.25">
      <c r="A130" s="445">
        <f t="shared" si="3"/>
        <v>118</v>
      </c>
      <c r="B130" s="501"/>
      <c r="C130" s="501"/>
      <c r="D130" s="347">
        <v>119</v>
      </c>
      <c r="E130" s="358"/>
      <c r="F130" s="505"/>
      <c r="G130" s="348">
        <f t="shared" si="4"/>
        <v>0</v>
      </c>
      <c r="H130" s="349"/>
      <c r="I130" s="505"/>
      <c r="J130" s="546"/>
      <c r="K130" s="350">
        <f t="shared" si="5"/>
        <v>10000</v>
      </c>
      <c r="L130" s="358"/>
      <c r="M130" s="505"/>
      <c r="N130" s="351">
        <f ca="1">OFFSET(Std!$H$4,C117,0)</f>
        <v>1403.5125</v>
      </c>
      <c r="O130" s="351">
        <f ca="1">OFFSET(Std!$I$4,C117,0)</f>
        <v>1475.4875</v>
      </c>
      <c r="P130" s="349"/>
      <c r="Q130" s="589"/>
      <c r="R130" s="358"/>
      <c r="S130" s="505"/>
      <c r="T130" s="569"/>
      <c r="U130" s="565"/>
      <c r="V130" s="352"/>
      <c r="W130" s="352"/>
      <c r="X130" s="562"/>
      <c r="Y130" s="575"/>
      <c r="Z130" s="575"/>
      <c r="AA130" s="572"/>
      <c r="AB130" s="358"/>
      <c r="AC130" s="505"/>
      <c r="AD130" s="359"/>
      <c r="AE130" s="580"/>
      <c r="AF130" s="598"/>
      <c r="AG130" s="599"/>
      <c r="AH130" s="599"/>
      <c r="AI130" s="600"/>
    </row>
    <row r="131" spans="1:35" ht="15.75" customHeight="1" x14ac:dyDescent="0.2">
      <c r="A131" s="450">
        <f t="shared" si="3"/>
        <v>119</v>
      </c>
      <c r="B131" s="502">
        <f>WEEKNUM(A131,1)</f>
        <v>17</v>
      </c>
      <c r="C131" s="502">
        <v>18</v>
      </c>
      <c r="D131" s="86">
        <v>120</v>
      </c>
      <c r="E131" s="223"/>
      <c r="F131" s="559">
        <f>SUM(E131:E137)</f>
        <v>0</v>
      </c>
      <c r="G131" s="341">
        <f t="shared" si="4"/>
        <v>0</v>
      </c>
      <c r="H131" s="345"/>
      <c r="I131" s="559">
        <f>SUM(H131:H137)</f>
        <v>0</v>
      </c>
      <c r="J131" s="544">
        <f ca="1">OFFSET('Graph values'!$Y$96,C124,0)/'Graph values'!$Q$117</f>
        <v>0</v>
      </c>
      <c r="K131" s="85">
        <f t="shared" si="5"/>
        <v>10000</v>
      </c>
      <c r="L131" s="223"/>
      <c r="M131" s="559" t="str">
        <f>IF(L137="",IF(L136="",IF(L135="",IF(L134="",IF(L133="",IF(L132="",IF(L131="","",L131),L132),L133),L134),L135),L136),L137)</f>
        <v/>
      </c>
      <c r="N131" s="84">
        <f ca="1">N130+1*(N137-N130)/7</f>
        <v>1411.9392857142857</v>
      </c>
      <c r="O131" s="84">
        <f ca="1">O130+1*(O137-O130)/7</f>
        <v>1484.3464285714285</v>
      </c>
      <c r="P131" s="345"/>
      <c r="Q131" s="591" t="str">
        <f>IF(P137="",IF(P136="",IF(P135="",IF(P134="",IF(P133="",IF(P132="",IF(P131="","",P131),P132),P133),P134),P135),P136),P137)</f>
        <v/>
      </c>
      <c r="R131" s="223"/>
      <c r="S131" s="559">
        <f>SUM(R131:R137)</f>
        <v>0</v>
      </c>
      <c r="T131" s="567" t="e">
        <f>IF(S131="","",S131/AVERAGE(K131:K137)*1000/COUNTA(R131:R137))</f>
        <v>#DIV/0!</v>
      </c>
      <c r="U131" s="563" t="e">
        <f>IF(S131="","",IF(X131="","",S131/X131))</f>
        <v>#DIV/0!</v>
      </c>
      <c r="V131" s="357"/>
      <c r="W131" s="357"/>
      <c r="X131" s="560">
        <f>IF(SUM(W131:W137)=0,SUM(V131:V137),SUM(W131:W137)-SUM(V131:V137))</f>
        <v>0</v>
      </c>
      <c r="Y131" s="590">
        <f>IF(X131="","",X131/K131*1000)/7</f>
        <v>0</v>
      </c>
      <c r="Z131" s="573" t="str">
        <f>TEXT(VLOOKUP(C131,Std!$A$3:$K$103,10,FALSE),0)&amp;"-"&amp;TEXT(VLOOKUP(C131,Std!$A$3:$K$103,11,FALSE),0)</f>
        <v>90-92</v>
      </c>
      <c r="AA131" s="586">
        <f>IF(X131="","",X131/K137*1000)+AA124</f>
        <v>0</v>
      </c>
      <c r="AB131" s="223"/>
      <c r="AC131" s="559" t="str">
        <f>IF(OR(MIN(AB131:AB137)=0,MIN(AB131:AB137)&gt;24),"",MIN(AB131:AB137))</f>
        <v/>
      </c>
      <c r="AD131" s="226"/>
      <c r="AE131" s="578" t="str">
        <f>IF(MIN(AD131:AD137)=0,"",MIN(AD131:AD137))</f>
        <v/>
      </c>
      <c r="AF131" s="592"/>
      <c r="AG131" s="593"/>
      <c r="AH131" s="593"/>
      <c r="AI131" s="594"/>
    </row>
    <row r="132" spans="1:35" ht="15.75" customHeight="1" x14ac:dyDescent="0.2">
      <c r="A132" s="444">
        <f t="shared" si="3"/>
        <v>120</v>
      </c>
      <c r="B132" s="500"/>
      <c r="C132" s="500"/>
      <c r="D132" s="75">
        <v>121</v>
      </c>
      <c r="E132" s="224"/>
      <c r="F132" s="504"/>
      <c r="G132" s="335">
        <f t="shared" si="4"/>
        <v>0</v>
      </c>
      <c r="H132" s="337"/>
      <c r="I132" s="504"/>
      <c r="J132" s="545"/>
      <c r="K132" s="76">
        <f t="shared" si="5"/>
        <v>10000</v>
      </c>
      <c r="L132" s="224"/>
      <c r="M132" s="504"/>
      <c r="N132" s="77">
        <f ca="1">N130+2*(N137-N130)/7</f>
        <v>1420.3660714285716</v>
      </c>
      <c r="O132" s="77">
        <f ca="1">O130+2*(O137-O130)/7</f>
        <v>1493.2053571428571</v>
      </c>
      <c r="P132" s="337"/>
      <c r="Q132" s="588"/>
      <c r="R132" s="224"/>
      <c r="S132" s="504"/>
      <c r="T132" s="568"/>
      <c r="U132" s="564"/>
      <c r="V132" s="334"/>
      <c r="W132" s="334"/>
      <c r="X132" s="561"/>
      <c r="Y132" s="574"/>
      <c r="Z132" s="574"/>
      <c r="AA132" s="571"/>
      <c r="AB132" s="224"/>
      <c r="AC132" s="504"/>
      <c r="AD132" s="225"/>
      <c r="AE132" s="579"/>
      <c r="AF132" s="595"/>
      <c r="AG132" s="596"/>
      <c r="AH132" s="596"/>
      <c r="AI132" s="597"/>
    </row>
    <row r="133" spans="1:35" ht="15.75" customHeight="1" x14ac:dyDescent="0.2">
      <c r="A133" s="444">
        <f t="shared" si="3"/>
        <v>121</v>
      </c>
      <c r="B133" s="500"/>
      <c r="C133" s="500"/>
      <c r="D133" s="75">
        <v>122</v>
      </c>
      <c r="E133" s="224"/>
      <c r="F133" s="504"/>
      <c r="G133" s="335">
        <f t="shared" si="4"/>
        <v>0</v>
      </c>
      <c r="H133" s="337"/>
      <c r="I133" s="504"/>
      <c r="J133" s="545"/>
      <c r="K133" s="76">
        <f t="shared" si="5"/>
        <v>10000</v>
      </c>
      <c r="L133" s="224"/>
      <c r="M133" s="504"/>
      <c r="N133" s="77">
        <f ca="1">N130+3*(N137-N130)/7</f>
        <v>1428.7928571428572</v>
      </c>
      <c r="O133" s="77">
        <f ca="1">O130+3*(O137-O130)/7</f>
        <v>1502.0642857142857</v>
      </c>
      <c r="P133" s="337"/>
      <c r="Q133" s="588"/>
      <c r="R133" s="224"/>
      <c r="S133" s="504"/>
      <c r="T133" s="568"/>
      <c r="U133" s="564"/>
      <c r="V133" s="334"/>
      <c r="W133" s="334"/>
      <c r="X133" s="561"/>
      <c r="Y133" s="574"/>
      <c r="Z133" s="574"/>
      <c r="AA133" s="571"/>
      <c r="AB133" s="224"/>
      <c r="AC133" s="504"/>
      <c r="AD133" s="225"/>
      <c r="AE133" s="579"/>
      <c r="AF133" s="595"/>
      <c r="AG133" s="596"/>
      <c r="AH133" s="596"/>
      <c r="AI133" s="597"/>
    </row>
    <row r="134" spans="1:35" ht="15.75" customHeight="1" x14ac:dyDescent="0.2">
      <c r="A134" s="444">
        <f t="shared" si="3"/>
        <v>122</v>
      </c>
      <c r="B134" s="500"/>
      <c r="C134" s="500"/>
      <c r="D134" s="75">
        <v>123</v>
      </c>
      <c r="E134" s="224"/>
      <c r="F134" s="504"/>
      <c r="G134" s="335">
        <f t="shared" si="4"/>
        <v>0</v>
      </c>
      <c r="H134" s="337"/>
      <c r="I134" s="504"/>
      <c r="J134" s="545"/>
      <c r="K134" s="76">
        <f t="shared" si="5"/>
        <v>10000</v>
      </c>
      <c r="L134" s="224"/>
      <c r="M134" s="504"/>
      <c r="N134" s="77">
        <f ca="1">N130+4*(N137-N130)/7</f>
        <v>1437.2196428571428</v>
      </c>
      <c r="O134" s="77">
        <f ca="1">O130+4*(O137-O130)/7</f>
        <v>1510.923214285714</v>
      </c>
      <c r="P134" s="337"/>
      <c r="Q134" s="588"/>
      <c r="R134" s="224"/>
      <c r="S134" s="504"/>
      <c r="T134" s="568"/>
      <c r="U134" s="564"/>
      <c r="V134" s="334"/>
      <c r="W134" s="334"/>
      <c r="X134" s="561"/>
      <c r="Y134" s="574"/>
      <c r="Z134" s="574"/>
      <c r="AA134" s="571"/>
      <c r="AB134" s="224"/>
      <c r="AC134" s="504"/>
      <c r="AD134" s="225"/>
      <c r="AE134" s="579"/>
      <c r="AF134" s="595"/>
      <c r="AG134" s="596"/>
      <c r="AH134" s="596"/>
      <c r="AI134" s="597"/>
    </row>
    <row r="135" spans="1:35" ht="15.75" customHeight="1" x14ac:dyDescent="0.2">
      <c r="A135" s="444">
        <f t="shared" si="3"/>
        <v>123</v>
      </c>
      <c r="B135" s="500"/>
      <c r="C135" s="500"/>
      <c r="D135" s="75">
        <v>124</v>
      </c>
      <c r="E135" s="224"/>
      <c r="F135" s="504"/>
      <c r="G135" s="335">
        <f t="shared" si="4"/>
        <v>0</v>
      </c>
      <c r="H135" s="337"/>
      <c r="I135" s="504"/>
      <c r="J135" s="545"/>
      <c r="K135" s="76">
        <f t="shared" si="5"/>
        <v>10000</v>
      </c>
      <c r="L135" s="224"/>
      <c r="M135" s="504"/>
      <c r="N135" s="77">
        <f ca="1">N130+5*(N137-N130)/7</f>
        <v>1445.6464285714285</v>
      </c>
      <c r="O135" s="77">
        <f ca="1">O130+5*(O137-O130)/7</f>
        <v>1519.7821428571426</v>
      </c>
      <c r="P135" s="337"/>
      <c r="Q135" s="588"/>
      <c r="R135" s="224"/>
      <c r="S135" s="504"/>
      <c r="T135" s="568"/>
      <c r="U135" s="564"/>
      <c r="V135" s="334"/>
      <c r="W135" s="334"/>
      <c r="X135" s="561"/>
      <c r="Y135" s="574"/>
      <c r="Z135" s="574"/>
      <c r="AA135" s="571"/>
      <c r="AB135" s="224"/>
      <c r="AC135" s="504"/>
      <c r="AD135" s="225"/>
      <c r="AE135" s="579"/>
      <c r="AF135" s="595"/>
      <c r="AG135" s="596"/>
      <c r="AH135" s="596"/>
      <c r="AI135" s="597"/>
    </row>
    <row r="136" spans="1:35" ht="15.75" customHeight="1" x14ac:dyDescent="0.2">
      <c r="A136" s="444">
        <f t="shared" si="3"/>
        <v>124</v>
      </c>
      <c r="B136" s="500"/>
      <c r="C136" s="500"/>
      <c r="D136" s="75">
        <v>125</v>
      </c>
      <c r="E136" s="224"/>
      <c r="F136" s="504"/>
      <c r="G136" s="335">
        <f t="shared" si="4"/>
        <v>0</v>
      </c>
      <c r="H136" s="337"/>
      <c r="I136" s="504"/>
      <c r="J136" s="545"/>
      <c r="K136" s="76">
        <f t="shared" si="5"/>
        <v>10000</v>
      </c>
      <c r="L136" s="224"/>
      <c r="M136" s="504"/>
      <c r="N136" s="77">
        <f ca="1">N130+6*(N137-N130)/7</f>
        <v>1454.0732142857144</v>
      </c>
      <c r="O136" s="77">
        <f ca="1">O130+6*(O137-O130)/7</f>
        <v>1528.6410714285712</v>
      </c>
      <c r="P136" s="337"/>
      <c r="Q136" s="588"/>
      <c r="R136" s="224"/>
      <c r="S136" s="504"/>
      <c r="T136" s="568"/>
      <c r="U136" s="564"/>
      <c r="V136" s="334"/>
      <c r="W136" s="334"/>
      <c r="X136" s="561"/>
      <c r="Y136" s="574"/>
      <c r="Z136" s="574"/>
      <c r="AA136" s="571"/>
      <c r="AB136" s="224"/>
      <c r="AC136" s="504"/>
      <c r="AD136" s="225"/>
      <c r="AE136" s="579"/>
      <c r="AF136" s="595"/>
      <c r="AG136" s="596"/>
      <c r="AH136" s="596"/>
      <c r="AI136" s="597"/>
    </row>
    <row r="137" spans="1:35" ht="15.75" customHeight="1" thickBot="1" x14ac:dyDescent="0.25">
      <c r="A137" s="445">
        <f t="shared" si="3"/>
        <v>125</v>
      </c>
      <c r="B137" s="501"/>
      <c r="C137" s="501"/>
      <c r="D137" s="347">
        <v>126</v>
      </c>
      <c r="E137" s="358"/>
      <c r="F137" s="505"/>
      <c r="G137" s="348">
        <f t="shared" si="4"/>
        <v>0</v>
      </c>
      <c r="H137" s="349"/>
      <c r="I137" s="505"/>
      <c r="J137" s="546"/>
      <c r="K137" s="350">
        <f t="shared" si="5"/>
        <v>10000</v>
      </c>
      <c r="L137" s="358"/>
      <c r="M137" s="505"/>
      <c r="N137" s="351">
        <f ca="1">OFFSET(Std!$H$4,C124,0)</f>
        <v>1462.5</v>
      </c>
      <c r="O137" s="351">
        <f ca="1">OFFSET(Std!$I$4,C124,0)</f>
        <v>1537.4999999999998</v>
      </c>
      <c r="P137" s="349"/>
      <c r="Q137" s="589"/>
      <c r="R137" s="358"/>
      <c r="S137" s="505"/>
      <c r="T137" s="569"/>
      <c r="U137" s="565"/>
      <c r="V137" s="352"/>
      <c r="W137" s="352"/>
      <c r="X137" s="562"/>
      <c r="Y137" s="575"/>
      <c r="Z137" s="575"/>
      <c r="AA137" s="572"/>
      <c r="AB137" s="358"/>
      <c r="AC137" s="505"/>
      <c r="AD137" s="359"/>
      <c r="AE137" s="580"/>
      <c r="AF137" s="598"/>
      <c r="AG137" s="599"/>
      <c r="AH137" s="599"/>
      <c r="AI137" s="600"/>
    </row>
    <row r="138" spans="1:35" ht="15.75" customHeight="1" x14ac:dyDescent="0.2">
      <c r="A138" s="87" t="str">
        <f>IF(GHOST_SHEET!B26=0,"",GHOST_SHEET!B26)</f>
        <v/>
      </c>
      <c r="B138" s="87"/>
      <c r="C138" s="88"/>
      <c r="D138" s="89"/>
      <c r="E138" s="89"/>
      <c r="F138" s="89"/>
      <c r="G138" s="89"/>
      <c r="H138" s="354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354"/>
      <c r="V138" s="354"/>
      <c r="W138" s="354"/>
      <c r="X138" s="89"/>
      <c r="Y138" s="89"/>
      <c r="Z138" s="89"/>
      <c r="AA138" s="89"/>
      <c r="AB138" s="89"/>
    </row>
    <row r="139" spans="1:35" ht="15.75" customHeight="1" x14ac:dyDescent="0.2">
      <c r="A139" s="49"/>
      <c r="B139" s="49"/>
    </row>
    <row r="140" spans="1:35" ht="15.75" customHeight="1" x14ac:dyDescent="0.2">
      <c r="A140" s="49"/>
      <c r="B140" s="49"/>
    </row>
    <row r="141" spans="1:35" ht="15.75" customHeight="1" x14ac:dyDescent="0.2">
      <c r="A141" s="49"/>
      <c r="B141" s="49"/>
    </row>
    <row r="142" spans="1:35" ht="15.75" customHeight="1" x14ac:dyDescent="0.2">
      <c r="A142" s="49"/>
      <c r="B142" s="49"/>
    </row>
    <row r="143" spans="1:35" ht="15.75" customHeight="1" x14ac:dyDescent="0.2">
      <c r="A143" s="49"/>
      <c r="B143" s="49"/>
    </row>
    <row r="144" spans="1:35" ht="15.75" customHeight="1" x14ac:dyDescent="0.2">
      <c r="A144" s="49"/>
      <c r="B144" s="49"/>
    </row>
    <row r="145" spans="1:2" ht="15.75" customHeight="1" x14ac:dyDescent="0.2">
      <c r="A145" s="49"/>
      <c r="B145" s="49"/>
    </row>
    <row r="146" spans="1:2" ht="15.75" customHeight="1" x14ac:dyDescent="0.2">
      <c r="A146" s="49"/>
      <c r="B146" s="49"/>
    </row>
    <row r="147" spans="1:2" ht="15.75" customHeight="1" x14ac:dyDescent="0.2">
      <c r="A147" s="49"/>
      <c r="B147" s="49"/>
    </row>
    <row r="148" spans="1:2" ht="15.75" customHeight="1" x14ac:dyDescent="0.2">
      <c r="A148" s="49"/>
      <c r="B148" s="49"/>
    </row>
    <row r="149" spans="1:2" ht="15.75" customHeight="1" x14ac:dyDescent="0.2">
      <c r="A149" s="49"/>
      <c r="B149" s="49"/>
    </row>
    <row r="150" spans="1:2" ht="15.75" customHeight="1" x14ac:dyDescent="0.2">
      <c r="A150" s="49"/>
      <c r="B150" s="49"/>
    </row>
  </sheetData>
  <sheetProtection selectLockedCells="1"/>
  <dataConsolidate link="1"/>
  <mergeCells count="457">
    <mergeCell ref="Z96:Z102"/>
    <mergeCell ref="Z103:Z109"/>
    <mergeCell ref="Z110:Z116"/>
    <mergeCell ref="Z117:Z123"/>
    <mergeCell ref="Z124:Z130"/>
    <mergeCell ref="Z131:Z137"/>
    <mergeCell ref="Z26:Z32"/>
    <mergeCell ref="Z33:Z39"/>
    <mergeCell ref="Z40:Z46"/>
    <mergeCell ref="Z47:Z53"/>
    <mergeCell ref="Z54:Z60"/>
    <mergeCell ref="Z61:Z67"/>
    <mergeCell ref="Z68:Z74"/>
    <mergeCell ref="Z75:Z81"/>
    <mergeCell ref="Z82:Z88"/>
    <mergeCell ref="AF137:AI137"/>
    <mergeCell ref="C10:C11"/>
    <mergeCell ref="D10:D11"/>
    <mergeCell ref="AF102:AI102"/>
    <mergeCell ref="AF109:AI109"/>
    <mergeCell ref="AF116:AI116"/>
    <mergeCell ref="AF123:AI123"/>
    <mergeCell ref="AF130:AI130"/>
    <mergeCell ref="AF67:AI67"/>
    <mergeCell ref="AF74:AI74"/>
    <mergeCell ref="AF81:AI81"/>
    <mergeCell ref="AF88:AI88"/>
    <mergeCell ref="AF95:AI95"/>
    <mergeCell ref="AF25:AI25"/>
    <mergeCell ref="AF32:AI32"/>
    <mergeCell ref="AF39:AI39"/>
    <mergeCell ref="AF46:AI46"/>
    <mergeCell ref="AF53:AI53"/>
    <mergeCell ref="AF132:AI132"/>
    <mergeCell ref="AF133:AI133"/>
    <mergeCell ref="AF134:AI134"/>
    <mergeCell ref="AF135:AI135"/>
    <mergeCell ref="AF136:AI136"/>
    <mergeCell ref="Z89:Z95"/>
    <mergeCell ref="AF126:AI126"/>
    <mergeCell ref="AF127:AI127"/>
    <mergeCell ref="AF128:AI128"/>
    <mergeCell ref="AF129:AI129"/>
    <mergeCell ref="AF131:AI131"/>
    <mergeCell ref="AF120:AI120"/>
    <mergeCell ref="AF121:AI121"/>
    <mergeCell ref="AF122:AI122"/>
    <mergeCell ref="AF124:AI124"/>
    <mergeCell ref="AF125:AI125"/>
    <mergeCell ref="AF114:AI114"/>
    <mergeCell ref="AF115:AI115"/>
    <mergeCell ref="AF117:AI117"/>
    <mergeCell ref="AF118:AI118"/>
    <mergeCell ref="AF119:AI119"/>
    <mergeCell ref="AF108:AI108"/>
    <mergeCell ref="AF110:AI110"/>
    <mergeCell ref="AF111:AI111"/>
    <mergeCell ref="AF112:AI112"/>
    <mergeCell ref="AF113:AI113"/>
    <mergeCell ref="AF103:AI103"/>
    <mergeCell ref="AF104:AI104"/>
    <mergeCell ref="AF105:AI105"/>
    <mergeCell ref="AF106:AI106"/>
    <mergeCell ref="AF107:AI107"/>
    <mergeCell ref="AF97:AI97"/>
    <mergeCell ref="AF98:AI98"/>
    <mergeCell ref="AF99:AI99"/>
    <mergeCell ref="AF100:AI100"/>
    <mergeCell ref="AF101:AI101"/>
    <mergeCell ref="AF91:AI91"/>
    <mergeCell ref="AF92:AI92"/>
    <mergeCell ref="AF93:AI93"/>
    <mergeCell ref="AF94:AI94"/>
    <mergeCell ref="AF96:AI96"/>
    <mergeCell ref="AF85:AI85"/>
    <mergeCell ref="AF86:AI86"/>
    <mergeCell ref="AF87:AI87"/>
    <mergeCell ref="AF89:AI89"/>
    <mergeCell ref="AF90:AI90"/>
    <mergeCell ref="AF79:AI79"/>
    <mergeCell ref="AF80:AI80"/>
    <mergeCell ref="AF82:AI82"/>
    <mergeCell ref="AF83:AI83"/>
    <mergeCell ref="AF84:AI84"/>
    <mergeCell ref="AF73:AI73"/>
    <mergeCell ref="AF75:AI75"/>
    <mergeCell ref="AF76:AI76"/>
    <mergeCell ref="AF77:AI77"/>
    <mergeCell ref="AF78:AI78"/>
    <mergeCell ref="AF68:AI68"/>
    <mergeCell ref="AF69:AI69"/>
    <mergeCell ref="AF70:AI70"/>
    <mergeCell ref="AF71:AI71"/>
    <mergeCell ref="AF72:AI72"/>
    <mergeCell ref="AF62:AI62"/>
    <mergeCell ref="AF63:AI63"/>
    <mergeCell ref="AF64:AI64"/>
    <mergeCell ref="AF65:AI65"/>
    <mergeCell ref="AF66:AI66"/>
    <mergeCell ref="AF56:AI56"/>
    <mergeCell ref="AF57:AI57"/>
    <mergeCell ref="AF58:AI58"/>
    <mergeCell ref="AF59:AI59"/>
    <mergeCell ref="AF61:AI61"/>
    <mergeCell ref="AF60:AI60"/>
    <mergeCell ref="AF50:AI50"/>
    <mergeCell ref="AF51:AI51"/>
    <mergeCell ref="AF52:AI52"/>
    <mergeCell ref="AF54:AI54"/>
    <mergeCell ref="AF55:AI55"/>
    <mergeCell ref="AF44:AI44"/>
    <mergeCell ref="AF45:AI45"/>
    <mergeCell ref="AF47:AI47"/>
    <mergeCell ref="AF48:AI48"/>
    <mergeCell ref="AF49:AI49"/>
    <mergeCell ref="AF38:AI38"/>
    <mergeCell ref="AF40:AI40"/>
    <mergeCell ref="AF41:AI41"/>
    <mergeCell ref="AF42:AI42"/>
    <mergeCell ref="AF43:AI43"/>
    <mergeCell ref="AF33:AI33"/>
    <mergeCell ref="AF34:AI34"/>
    <mergeCell ref="AF35:AI35"/>
    <mergeCell ref="AF36:AI36"/>
    <mergeCell ref="AF37:AI37"/>
    <mergeCell ref="AF27:AI27"/>
    <mergeCell ref="AF28:AI28"/>
    <mergeCell ref="AF29:AI29"/>
    <mergeCell ref="AF30:AI30"/>
    <mergeCell ref="AF31:AI31"/>
    <mergeCell ref="T124:T130"/>
    <mergeCell ref="T61:T67"/>
    <mergeCell ref="U124:U130"/>
    <mergeCell ref="U131:U137"/>
    <mergeCell ref="AF12:AI12"/>
    <mergeCell ref="AF13:AI13"/>
    <mergeCell ref="AF14:AI14"/>
    <mergeCell ref="AF15:AI15"/>
    <mergeCell ref="AF16:AI16"/>
    <mergeCell ref="AF17:AI17"/>
    <mergeCell ref="AF23:AI23"/>
    <mergeCell ref="AF22:AI22"/>
    <mergeCell ref="AF21:AI21"/>
    <mergeCell ref="AF20:AI20"/>
    <mergeCell ref="AF19:AI19"/>
    <mergeCell ref="AF18:AI18"/>
    <mergeCell ref="AF24:AI24"/>
    <mergeCell ref="AF26:AI26"/>
    <mergeCell ref="AE47:AE53"/>
    <mergeCell ref="AE54:AE60"/>
    <mergeCell ref="AE61:AE67"/>
    <mergeCell ref="AE68:AE74"/>
    <mergeCell ref="AE75:AE81"/>
    <mergeCell ref="AE82:AE88"/>
    <mergeCell ref="U82:U88"/>
    <mergeCell ref="U89:U95"/>
    <mergeCell ref="U96:U102"/>
    <mergeCell ref="U103:U109"/>
    <mergeCell ref="U110:U116"/>
    <mergeCell ref="U117:U123"/>
    <mergeCell ref="T96:T102"/>
    <mergeCell ref="T103:T109"/>
    <mergeCell ref="T110:T116"/>
    <mergeCell ref="T117:T123"/>
    <mergeCell ref="AE131:AE137"/>
    <mergeCell ref="AF9:AI11"/>
    <mergeCell ref="S12:S18"/>
    <mergeCell ref="S19:S25"/>
    <mergeCell ref="S26:S32"/>
    <mergeCell ref="S33:S39"/>
    <mergeCell ref="S40:S46"/>
    <mergeCell ref="S47:S53"/>
    <mergeCell ref="S54:S60"/>
    <mergeCell ref="S61:S67"/>
    <mergeCell ref="S68:S74"/>
    <mergeCell ref="S75:S81"/>
    <mergeCell ref="S82:S88"/>
    <mergeCell ref="S89:S95"/>
    <mergeCell ref="S96:S102"/>
    <mergeCell ref="AC131:AC137"/>
    <mergeCell ref="AE19:AE25"/>
    <mergeCell ref="AE26:AE32"/>
    <mergeCell ref="AE33:AE39"/>
    <mergeCell ref="AE40:AE46"/>
    <mergeCell ref="T82:T88"/>
    <mergeCell ref="T89:T95"/>
    <mergeCell ref="S103:S109"/>
    <mergeCell ref="S110:S116"/>
    <mergeCell ref="AE103:AE109"/>
    <mergeCell ref="AE110:AE116"/>
    <mergeCell ref="AE117:AE123"/>
    <mergeCell ref="AC96:AC102"/>
    <mergeCell ref="AC103:AC109"/>
    <mergeCell ref="AC110:AC116"/>
    <mergeCell ref="AC117:AC123"/>
    <mergeCell ref="AC124:AC130"/>
    <mergeCell ref="AC61:AC67"/>
    <mergeCell ref="AC68:AC74"/>
    <mergeCell ref="AC75:AC81"/>
    <mergeCell ref="AC82:AC88"/>
    <mergeCell ref="AC89:AC95"/>
    <mergeCell ref="AE124:AE130"/>
    <mergeCell ref="AE89:AE95"/>
    <mergeCell ref="AE96:AE102"/>
    <mergeCell ref="AC26:AC32"/>
    <mergeCell ref="AC33:AC39"/>
    <mergeCell ref="AC40:AC46"/>
    <mergeCell ref="AC47:AC53"/>
    <mergeCell ref="AC54:AC60"/>
    <mergeCell ref="Q110:Q116"/>
    <mergeCell ref="Q117:Q123"/>
    <mergeCell ref="Q124:Q130"/>
    <mergeCell ref="Q131:Q137"/>
    <mergeCell ref="AA61:AA67"/>
    <mergeCell ref="AA68:AA74"/>
    <mergeCell ref="AA75:AA81"/>
    <mergeCell ref="AA82:AA88"/>
    <mergeCell ref="AA89:AA95"/>
    <mergeCell ref="AA96:AA102"/>
    <mergeCell ref="AA103:AA109"/>
    <mergeCell ref="AA110:AA116"/>
    <mergeCell ref="AA117:AA123"/>
    <mergeCell ref="AA124:AA130"/>
    <mergeCell ref="Y96:Y102"/>
    <mergeCell ref="Y103:Y109"/>
    <mergeCell ref="Y110:Y116"/>
    <mergeCell ref="Y117:Y123"/>
    <mergeCell ref="Y124:Y130"/>
    <mergeCell ref="AA131:AA137"/>
    <mergeCell ref="E9:K9"/>
    <mergeCell ref="Q12:Q18"/>
    <mergeCell ref="Q19:Q25"/>
    <mergeCell ref="Q26:Q32"/>
    <mergeCell ref="Q33:Q39"/>
    <mergeCell ref="Q40:Q46"/>
    <mergeCell ref="Q47:Q53"/>
    <mergeCell ref="Q54:Q60"/>
    <mergeCell ref="Q61:Q67"/>
    <mergeCell ref="Q68:Q74"/>
    <mergeCell ref="Q75:Q81"/>
    <mergeCell ref="Q82:Q88"/>
    <mergeCell ref="Q89:Q95"/>
    <mergeCell ref="Q96:Q102"/>
    <mergeCell ref="Q103:Q109"/>
    <mergeCell ref="Y131:Y137"/>
    <mergeCell ref="AA26:AA32"/>
    <mergeCell ref="AA33:AA39"/>
    <mergeCell ref="AA40:AA46"/>
    <mergeCell ref="AA47:AA53"/>
    <mergeCell ref="AA54:AA60"/>
    <mergeCell ref="S117:S123"/>
    <mergeCell ref="S124:S130"/>
    <mergeCell ref="T26:T32"/>
    <mergeCell ref="T33:T39"/>
    <mergeCell ref="T40:T46"/>
    <mergeCell ref="T47:T53"/>
    <mergeCell ref="T54:T60"/>
    <mergeCell ref="T68:T74"/>
    <mergeCell ref="T75:T81"/>
    <mergeCell ref="U19:U25"/>
    <mergeCell ref="U26:U32"/>
    <mergeCell ref="U33:U39"/>
    <mergeCell ref="U40:U46"/>
    <mergeCell ref="U47:U53"/>
    <mergeCell ref="U68:U74"/>
    <mergeCell ref="U75:U81"/>
    <mergeCell ref="Y61:Y67"/>
    <mergeCell ref="Y68:Y74"/>
    <mergeCell ref="Y75:Y81"/>
    <mergeCell ref="Y82:Y88"/>
    <mergeCell ref="Y89:Y95"/>
    <mergeCell ref="Y26:Y32"/>
    <mergeCell ref="Y33:Y39"/>
    <mergeCell ref="Y40:Y46"/>
    <mergeCell ref="Y47:Y53"/>
    <mergeCell ref="Y54:Y60"/>
    <mergeCell ref="AB9:AE9"/>
    <mergeCell ref="AA12:AA18"/>
    <mergeCell ref="AA19:AA25"/>
    <mergeCell ref="Y12:Y18"/>
    <mergeCell ref="Y19:Y25"/>
    <mergeCell ref="AB10:AC10"/>
    <mergeCell ref="AD10:AE10"/>
    <mergeCell ref="AC12:AC18"/>
    <mergeCell ref="AE12:AE18"/>
    <mergeCell ref="AC19:AC25"/>
    <mergeCell ref="Y10:Z10"/>
    <mergeCell ref="Z12:Z18"/>
    <mergeCell ref="Z19:Z25"/>
    <mergeCell ref="R9:AA9"/>
    <mergeCell ref="T12:T18"/>
    <mergeCell ref="T19:T25"/>
    <mergeCell ref="U10:U11"/>
    <mergeCell ref="V10:X10"/>
    <mergeCell ref="X12:X18"/>
    <mergeCell ref="X19:X25"/>
    <mergeCell ref="AA10:AA11"/>
    <mergeCell ref="R10:S10"/>
    <mergeCell ref="T10:T11"/>
    <mergeCell ref="X61:X67"/>
    <mergeCell ref="J96:J102"/>
    <mergeCell ref="J103:J109"/>
    <mergeCell ref="J110:J116"/>
    <mergeCell ref="J117:J123"/>
    <mergeCell ref="J124:J130"/>
    <mergeCell ref="M131:M137"/>
    <mergeCell ref="M26:M32"/>
    <mergeCell ref="M33:M39"/>
    <mergeCell ref="M40:M46"/>
    <mergeCell ref="X103:X109"/>
    <mergeCell ref="X110:X116"/>
    <mergeCell ref="X117:X123"/>
    <mergeCell ref="X124:X130"/>
    <mergeCell ref="X131:X137"/>
    <mergeCell ref="X68:X74"/>
    <mergeCell ref="X75:X81"/>
    <mergeCell ref="X82:X88"/>
    <mergeCell ref="X89:X95"/>
    <mergeCell ref="X96:X102"/>
    <mergeCell ref="S131:S137"/>
    <mergeCell ref="T131:T137"/>
    <mergeCell ref="U54:U60"/>
    <mergeCell ref="U61:U67"/>
    <mergeCell ref="X26:X32"/>
    <mergeCell ref="X33:X39"/>
    <mergeCell ref="X40:X46"/>
    <mergeCell ref="X47:X53"/>
    <mergeCell ref="X54:X60"/>
    <mergeCell ref="U12:U18"/>
    <mergeCell ref="I131:I137"/>
    <mergeCell ref="H10:I10"/>
    <mergeCell ref="J12:J18"/>
    <mergeCell ref="J19:J25"/>
    <mergeCell ref="J26:J32"/>
    <mergeCell ref="J33:J39"/>
    <mergeCell ref="J40:J46"/>
    <mergeCell ref="J47:J53"/>
    <mergeCell ref="J54:J60"/>
    <mergeCell ref="J61:J67"/>
    <mergeCell ref="J68:J74"/>
    <mergeCell ref="J75:J81"/>
    <mergeCell ref="J82:J88"/>
    <mergeCell ref="J89:J95"/>
    <mergeCell ref="I82:I88"/>
    <mergeCell ref="I89:I95"/>
    <mergeCell ref="I96:I102"/>
    <mergeCell ref="I103:I109"/>
    <mergeCell ref="A9:A11"/>
    <mergeCell ref="N10:O10"/>
    <mergeCell ref="K10:K11"/>
    <mergeCell ref="G10:G11"/>
    <mergeCell ref="F10:F11"/>
    <mergeCell ref="J131:J137"/>
    <mergeCell ref="A2:F2"/>
    <mergeCell ref="G7:K7"/>
    <mergeCell ref="A6:F6"/>
    <mergeCell ref="A7:F7"/>
    <mergeCell ref="E10:E11"/>
    <mergeCell ref="G5:K5"/>
    <mergeCell ref="A3:F3"/>
    <mergeCell ref="F131:F137"/>
    <mergeCell ref="F124:F130"/>
    <mergeCell ref="C131:C137"/>
    <mergeCell ref="F26:F32"/>
    <mergeCell ref="F33:F39"/>
    <mergeCell ref="F40:F46"/>
    <mergeCell ref="F47:F53"/>
    <mergeCell ref="F54:F60"/>
    <mergeCell ref="F61:F67"/>
    <mergeCell ref="F12:F18"/>
    <mergeCell ref="F68:F74"/>
    <mergeCell ref="P1:Z7"/>
    <mergeCell ref="A1:F1"/>
    <mergeCell ref="A4:F4"/>
    <mergeCell ref="A5:F5"/>
    <mergeCell ref="G1:K1"/>
    <mergeCell ref="G2:K2"/>
    <mergeCell ref="G3:K3"/>
    <mergeCell ref="G4:K4"/>
    <mergeCell ref="G6:K6"/>
    <mergeCell ref="L9:Q9"/>
    <mergeCell ref="P10:Q10"/>
    <mergeCell ref="J10:J11"/>
    <mergeCell ref="L10:L11"/>
    <mergeCell ref="M10:M11"/>
    <mergeCell ref="F75:F81"/>
    <mergeCell ref="F82:F88"/>
    <mergeCell ref="F89:F95"/>
    <mergeCell ref="I12:I18"/>
    <mergeCell ref="I19:I25"/>
    <mergeCell ref="I26:I32"/>
    <mergeCell ref="I33:I39"/>
    <mergeCell ref="M61:M67"/>
    <mergeCell ref="M68:M74"/>
    <mergeCell ref="C47:C53"/>
    <mergeCell ref="C54:C60"/>
    <mergeCell ref="M124:M130"/>
    <mergeCell ref="M47:M53"/>
    <mergeCell ref="M54:M60"/>
    <mergeCell ref="C61:C67"/>
    <mergeCell ref="C68:C74"/>
    <mergeCell ref="F19:F25"/>
    <mergeCell ref="I110:I116"/>
    <mergeCell ref="I47:I53"/>
    <mergeCell ref="I54:I60"/>
    <mergeCell ref="I61:I67"/>
    <mergeCell ref="C89:C95"/>
    <mergeCell ref="C96:C102"/>
    <mergeCell ref="C19:C25"/>
    <mergeCell ref="B9:D9"/>
    <mergeCell ref="B12:B18"/>
    <mergeCell ref="B131:B137"/>
    <mergeCell ref="B19:B25"/>
    <mergeCell ref="B26:B32"/>
    <mergeCell ref="B33:B39"/>
    <mergeCell ref="B40:B46"/>
    <mergeCell ref="B47:B53"/>
    <mergeCell ref="B54:B60"/>
    <mergeCell ref="B61:B67"/>
    <mergeCell ref="B68:B74"/>
    <mergeCell ref="B75:B81"/>
    <mergeCell ref="B82:B88"/>
    <mergeCell ref="B89:B95"/>
    <mergeCell ref="B96:B102"/>
    <mergeCell ref="B103:B109"/>
    <mergeCell ref="B110:B116"/>
    <mergeCell ref="B117:B123"/>
    <mergeCell ref="B124:B130"/>
    <mergeCell ref="C103:C109"/>
    <mergeCell ref="C110:C116"/>
    <mergeCell ref="C117:C123"/>
    <mergeCell ref="C26:C32"/>
    <mergeCell ref="C33:C39"/>
    <mergeCell ref="B10:B11"/>
    <mergeCell ref="C124:C130"/>
    <mergeCell ref="C12:C18"/>
    <mergeCell ref="C75:C81"/>
    <mergeCell ref="C82:C88"/>
    <mergeCell ref="M75:M81"/>
    <mergeCell ref="M82:M88"/>
    <mergeCell ref="M89:M95"/>
    <mergeCell ref="M96:M102"/>
    <mergeCell ref="M103:M109"/>
    <mergeCell ref="I124:I130"/>
    <mergeCell ref="M12:M18"/>
    <mergeCell ref="M19:M25"/>
    <mergeCell ref="F110:F116"/>
    <mergeCell ref="F117:F123"/>
    <mergeCell ref="M110:M116"/>
    <mergeCell ref="M117:M123"/>
    <mergeCell ref="I68:I74"/>
    <mergeCell ref="I75:I81"/>
    <mergeCell ref="F96:F102"/>
    <mergeCell ref="F103:F109"/>
    <mergeCell ref="C40:C46"/>
    <mergeCell ref="I40:I46"/>
    <mergeCell ref="I117:I123"/>
  </mergeCells>
  <dataValidations disablePrompts="1" count="2">
    <dataValidation type="list" allowBlank="1" showInputMessage="1" showErrorMessage="1" sqref="G5" xr:uid="{00000000-0002-0000-0700-000000000000}">
      <formula1>HOUSINGREARING</formula1>
    </dataValidation>
    <dataValidation type="whole" allowBlank="1" showInputMessage="1" showErrorMessage="1" sqref="AB12:AB137 AD12:AD137" xr:uid="{00000000-0002-0000-0700-000001000000}">
      <formula1>0</formula1>
      <formula2>24</formula2>
    </dataValidation>
  </dataValidations>
  <pageMargins left="0.7" right="0.7" top="0.75" bottom="0.75" header="0.3" footer="0.3"/>
  <pageSetup paperSize="9" scale="2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tabColor theme="3"/>
  </sheetPr>
  <dimension ref="A1:AN620"/>
  <sheetViews>
    <sheetView showGridLines="0" zoomScale="85" zoomScaleNormal="85" workbookViewId="0">
      <pane xSplit="3" ySplit="14" topLeftCell="D15" activePane="bottomRight" state="frozen"/>
      <selection pane="topRight" activeCell="C1" sqref="C1"/>
      <selection pane="bottomLeft" activeCell="A15" sqref="A15"/>
      <selection pane="bottomRight" activeCell="M2" sqref="M2"/>
    </sheetView>
  </sheetViews>
  <sheetFormatPr defaultColWidth="10.7109375" defaultRowHeight="15.75" customHeight="1" x14ac:dyDescent="0.2"/>
  <cols>
    <col min="1" max="1" width="15.7109375" style="43" customWidth="1"/>
    <col min="2" max="2" width="10.5703125" style="43" customWidth="1"/>
    <col min="3" max="26" width="10.7109375" style="43" customWidth="1"/>
    <col min="27" max="28" width="10.7109375" style="9" customWidth="1"/>
    <col min="29" max="35" width="10.7109375" style="43" customWidth="1"/>
    <col min="36" max="36" width="32.85546875" style="43" customWidth="1"/>
    <col min="37" max="37" width="10.7109375" style="400"/>
    <col min="38" max="16384" width="10.7109375" style="43"/>
  </cols>
  <sheetData>
    <row r="1" spans="1:40" ht="15.75" customHeight="1" x14ac:dyDescent="0.2">
      <c r="A1" s="670" t="str">
        <f>Language!B101</f>
        <v>Farm name:</v>
      </c>
      <c r="B1" s="671"/>
      <c r="C1" s="671"/>
      <c r="D1" s="671"/>
      <c r="E1" s="671"/>
      <c r="F1" s="672"/>
      <c r="G1" s="689" t="str">
        <f>IF('General Input'!B20="","",'General Input'!B20)</f>
        <v/>
      </c>
      <c r="H1" s="690"/>
      <c r="I1" s="690"/>
      <c r="J1" s="690"/>
      <c r="K1" s="690"/>
      <c r="L1" s="691"/>
      <c r="P1" s="692" t="str">
        <f>Language!B100&amp;" - "&amp;Std!B1</f>
        <v>Laying input - ISA BROWN Baiada ALT 2021</v>
      </c>
      <c r="Q1" s="692"/>
      <c r="R1" s="692"/>
      <c r="S1" s="692"/>
      <c r="T1" s="692"/>
      <c r="U1" s="692"/>
      <c r="V1" s="692"/>
      <c r="W1" s="692"/>
      <c r="X1" s="692"/>
      <c r="Y1" s="692"/>
      <c r="Z1" s="375"/>
      <c r="AB1" s="56"/>
      <c r="AC1" s="22"/>
      <c r="AD1" s="688" t="str">
        <f>IF(GHOST_SHEET!B26="","",GHOST_SHEET!B26)</f>
        <v/>
      </c>
      <c r="AE1" s="688"/>
      <c r="AF1" s="688"/>
      <c r="AG1" s="688"/>
    </row>
    <row r="2" spans="1:40" ht="15.75" customHeight="1" x14ac:dyDescent="0.2">
      <c r="A2" s="651" t="str">
        <f>Language!B102</f>
        <v>House no. :</v>
      </c>
      <c r="B2" s="652"/>
      <c r="C2" s="652"/>
      <c r="D2" s="652"/>
      <c r="E2" s="652"/>
      <c r="F2" s="653"/>
      <c r="G2" s="685" t="str">
        <f>IF('General Input'!B21="","",'General Input'!B21)</f>
        <v/>
      </c>
      <c r="H2" s="686"/>
      <c r="I2" s="686"/>
      <c r="J2" s="686"/>
      <c r="K2" s="686"/>
      <c r="L2" s="687"/>
      <c r="P2" s="692"/>
      <c r="Q2" s="692"/>
      <c r="R2" s="692"/>
      <c r="S2" s="692"/>
      <c r="T2" s="692"/>
      <c r="U2" s="692"/>
      <c r="V2" s="692"/>
      <c r="W2" s="692"/>
      <c r="X2" s="692"/>
      <c r="Y2" s="692"/>
      <c r="Z2" s="375"/>
      <c r="AB2" s="23"/>
      <c r="AC2" s="23"/>
      <c r="AD2" s="688"/>
      <c r="AE2" s="688"/>
      <c r="AF2" s="688"/>
      <c r="AG2" s="688"/>
      <c r="AH2" s="40"/>
      <c r="AI2" s="40"/>
    </row>
    <row r="3" spans="1:40" ht="15.75" customHeight="1" x14ac:dyDescent="0.2">
      <c r="A3" s="651" t="str">
        <f>Language!B103</f>
        <v>Hatch date:</v>
      </c>
      <c r="B3" s="652"/>
      <c r="C3" s="652"/>
      <c r="D3" s="652"/>
      <c r="E3" s="652"/>
      <c r="F3" s="653"/>
      <c r="G3" s="676">
        <f>'General Input'!B15</f>
        <v>0</v>
      </c>
      <c r="H3" s="677"/>
      <c r="I3" s="677"/>
      <c r="J3" s="677"/>
      <c r="K3" s="677"/>
      <c r="L3" s="678"/>
      <c r="P3" s="692"/>
      <c r="Q3" s="692"/>
      <c r="R3" s="692"/>
      <c r="S3" s="692"/>
      <c r="T3" s="692"/>
      <c r="U3" s="692"/>
      <c r="V3" s="692"/>
      <c r="W3" s="692"/>
      <c r="X3" s="692"/>
      <c r="Y3" s="692"/>
      <c r="Z3" s="375"/>
      <c r="AB3" s="23"/>
      <c r="AC3" s="23"/>
      <c r="AD3" s="688"/>
      <c r="AE3" s="688"/>
      <c r="AF3" s="688"/>
      <c r="AG3" s="688"/>
      <c r="AH3" s="40"/>
      <c r="AI3" s="40"/>
    </row>
    <row r="4" spans="1:40" ht="15.75" customHeight="1" x14ac:dyDescent="0.2">
      <c r="A4" s="651" t="str">
        <f>Language!B104</f>
        <v>Date at 18 weeks old :</v>
      </c>
      <c r="B4" s="652"/>
      <c r="C4" s="652"/>
      <c r="D4" s="652"/>
      <c r="E4" s="652"/>
      <c r="F4" s="653"/>
      <c r="G4" s="673">
        <f>G3+119</f>
        <v>119</v>
      </c>
      <c r="H4" s="674"/>
      <c r="I4" s="674"/>
      <c r="J4" s="674"/>
      <c r="K4" s="674"/>
      <c r="L4" s="675"/>
      <c r="P4" s="692"/>
      <c r="Q4" s="692"/>
      <c r="R4" s="692"/>
      <c r="S4" s="692"/>
      <c r="T4" s="692"/>
      <c r="U4" s="692"/>
      <c r="V4" s="692"/>
      <c r="W4" s="692"/>
      <c r="X4" s="692"/>
      <c r="Y4" s="692"/>
      <c r="Z4" s="375"/>
      <c r="AB4" s="23"/>
      <c r="AC4" s="23"/>
      <c r="AH4" s="40"/>
      <c r="AI4" s="40"/>
    </row>
    <row r="5" spans="1:40" ht="15.75" customHeight="1" x14ac:dyDescent="0.2">
      <c r="A5" s="682" t="str">
        <f>Language!B91</f>
        <v>Transfer date (dd/mm/yyyy)</v>
      </c>
      <c r="B5" s="683"/>
      <c r="C5" s="683"/>
      <c r="D5" s="683"/>
      <c r="E5" s="683"/>
      <c r="F5" s="684"/>
      <c r="G5" s="679"/>
      <c r="H5" s="680"/>
      <c r="I5" s="680"/>
      <c r="J5" s="680"/>
      <c r="K5" s="680"/>
      <c r="L5" s="681"/>
      <c r="P5" s="692"/>
      <c r="Q5" s="692"/>
      <c r="R5" s="692"/>
      <c r="S5" s="692"/>
      <c r="T5" s="692"/>
      <c r="U5" s="692"/>
      <c r="V5" s="692"/>
      <c r="W5" s="692"/>
      <c r="X5" s="692"/>
      <c r="Y5" s="692"/>
      <c r="AB5" s="24"/>
      <c r="AC5" s="24"/>
      <c r="AE5" s="41"/>
      <c r="AF5" s="41"/>
      <c r="AG5" s="41"/>
      <c r="AH5" s="40"/>
      <c r="AI5" s="40"/>
    </row>
    <row r="6" spans="1:40" ht="15.75" customHeight="1" thickBot="1" x14ac:dyDescent="0.25">
      <c r="A6" s="657" t="str">
        <f>Language!B106</f>
        <v>Number of laying birds housed:</v>
      </c>
      <c r="B6" s="658"/>
      <c r="C6" s="658"/>
      <c r="D6" s="658"/>
      <c r="E6" s="658"/>
      <c r="F6" s="659"/>
      <c r="G6" s="695"/>
      <c r="H6" s="696"/>
      <c r="I6" s="696"/>
      <c r="J6" s="696"/>
      <c r="K6" s="696"/>
      <c r="L6" s="697"/>
      <c r="P6" s="693"/>
      <c r="Q6" s="693"/>
      <c r="R6" s="693"/>
      <c r="S6" s="693"/>
      <c r="T6" s="693"/>
      <c r="U6" s="693"/>
      <c r="V6" s="693"/>
      <c r="W6" s="693"/>
      <c r="X6" s="693"/>
      <c r="Y6" s="693"/>
      <c r="AB6" s="23"/>
      <c r="AC6" s="23"/>
      <c r="AE6" s="41"/>
      <c r="AF6" s="41"/>
      <c r="AG6" s="41"/>
      <c r="AH6" s="41"/>
      <c r="AI6" s="41"/>
    </row>
    <row r="7" spans="1:40" ht="15.75" customHeight="1" thickBot="1" x14ac:dyDescent="0.25">
      <c r="A7" s="647" t="str">
        <f>Language!B62</f>
        <v>Date</v>
      </c>
      <c r="B7" s="654" t="str">
        <f>Language!B363</f>
        <v>Civil Week</v>
      </c>
      <c r="C7" s="647" t="str">
        <f>Language!B109</f>
        <v>Age in weeks</v>
      </c>
      <c r="D7" s="607" t="str">
        <f>Language!B110</f>
        <v>No. of birds end of week</v>
      </c>
      <c r="E7" s="607" t="str">
        <f>Language!B111</f>
        <v>Weekly mortality No. of birds</v>
      </c>
      <c r="F7" s="663" t="str">
        <f>Language!B113</f>
        <v>Egg production per day OR per week</v>
      </c>
      <c r="G7" s="664"/>
      <c r="H7" s="664"/>
      <c r="I7" s="664"/>
      <c r="J7" s="664"/>
      <c r="K7" s="664"/>
      <c r="L7" s="664"/>
      <c r="M7" s="665"/>
      <c r="N7" s="611" t="str">
        <f>Language!B291</f>
        <v>Laying</v>
      </c>
      <c r="O7" s="613"/>
      <c r="P7" s="611" t="str">
        <f>Language!B197</f>
        <v>Laying rate</v>
      </c>
      <c r="Q7" s="613"/>
      <c r="R7" s="611" t="str">
        <f>'Production data'!F7</f>
        <v>Egg number HH</v>
      </c>
      <c r="S7" s="613"/>
      <c r="T7" s="663" t="str">
        <f>Language!B125</f>
        <v>Seconds</v>
      </c>
      <c r="U7" s="664"/>
      <c r="V7" s="664"/>
      <c r="W7" s="665"/>
      <c r="X7" s="611" t="str">
        <f>Language!B132</f>
        <v>Egg weight (g)</v>
      </c>
      <c r="Y7" s="613"/>
      <c r="Z7" s="619" t="str">
        <f>Language!B133</f>
        <v>Consumptions</v>
      </c>
      <c r="AA7" s="620"/>
      <c r="AB7" s="620"/>
      <c r="AC7" s="620"/>
      <c r="AD7" s="620"/>
      <c r="AE7" s="620"/>
      <c r="AF7" s="621"/>
      <c r="AG7" s="611" t="str">
        <f>Language!B143</f>
        <v>Body Weight (g)</v>
      </c>
      <c r="AH7" s="612"/>
      <c r="AI7" s="613"/>
      <c r="AJ7" s="607" t="str">
        <f>Language!B146</f>
        <v>Comments</v>
      </c>
      <c r="AK7" s="606"/>
    </row>
    <row r="8" spans="1:40" ht="15.75" customHeight="1" thickBot="1" x14ac:dyDescent="0.25">
      <c r="A8" s="647"/>
      <c r="B8" s="655"/>
      <c r="C8" s="647"/>
      <c r="D8" s="607"/>
      <c r="E8" s="607"/>
      <c r="F8" s="643"/>
      <c r="G8" s="630"/>
      <c r="H8" s="630"/>
      <c r="I8" s="630"/>
      <c r="J8" s="630"/>
      <c r="K8" s="630"/>
      <c r="L8" s="630"/>
      <c r="M8" s="609"/>
      <c r="N8" s="614"/>
      <c r="O8" s="616"/>
      <c r="P8" s="614"/>
      <c r="Q8" s="616"/>
      <c r="R8" s="614"/>
      <c r="S8" s="616"/>
      <c r="T8" s="694"/>
      <c r="U8" s="628"/>
      <c r="V8" s="628"/>
      <c r="W8" s="629"/>
      <c r="X8" s="614"/>
      <c r="Y8" s="616"/>
      <c r="Z8" s="622"/>
      <c r="AA8" s="623"/>
      <c r="AB8" s="623"/>
      <c r="AC8" s="623"/>
      <c r="AD8" s="623"/>
      <c r="AE8" s="623"/>
      <c r="AF8" s="624"/>
      <c r="AG8" s="614"/>
      <c r="AH8" s="615"/>
      <c r="AI8" s="616"/>
      <c r="AJ8" s="607"/>
      <c r="AK8" s="606"/>
    </row>
    <row r="9" spans="1:40" ht="15.75" customHeight="1" thickBot="1" x14ac:dyDescent="0.25">
      <c r="A9" s="647"/>
      <c r="B9" s="655"/>
      <c r="C9" s="647"/>
      <c r="D9" s="607"/>
      <c r="E9" s="607"/>
      <c r="F9" s="643"/>
      <c r="G9" s="630"/>
      <c r="H9" s="630"/>
      <c r="I9" s="630"/>
      <c r="J9" s="630"/>
      <c r="K9" s="630"/>
      <c r="L9" s="630"/>
      <c r="M9" s="609"/>
      <c r="N9" s="614"/>
      <c r="O9" s="616"/>
      <c r="P9" s="614"/>
      <c r="Q9" s="616"/>
      <c r="R9" s="614"/>
      <c r="S9" s="616"/>
      <c r="T9" s="642" t="str">
        <f>Language!B126</f>
        <v>Weekly</v>
      </c>
      <c r="U9" s="626"/>
      <c r="V9" s="626" t="str">
        <f>Language!B129</f>
        <v>Cum. Number</v>
      </c>
      <c r="W9" s="608"/>
      <c r="X9" s="614"/>
      <c r="Y9" s="616"/>
      <c r="Z9" s="642" t="str">
        <f>Language!B134</f>
        <v>Water</v>
      </c>
      <c r="AA9" s="626"/>
      <c r="AB9" s="608"/>
      <c r="AC9" s="625" t="str">
        <f>Language!B138</f>
        <v>Feed</v>
      </c>
      <c r="AD9" s="626"/>
      <c r="AE9" s="626"/>
      <c r="AF9" s="608"/>
      <c r="AG9" s="635" t="str">
        <f>Language!B144</f>
        <v>Uniformity %</v>
      </c>
      <c r="AH9" s="637" t="str">
        <f>Language!B145</f>
        <v>Weekly average</v>
      </c>
      <c r="AI9" s="617" t="str">
        <f>Language!B209</f>
        <v>Std.</v>
      </c>
      <c r="AJ9" s="607"/>
      <c r="AK9" s="606"/>
    </row>
    <row r="10" spans="1:40" ht="15.75" customHeight="1" thickBot="1" x14ac:dyDescent="0.25">
      <c r="A10" s="647"/>
      <c r="B10" s="655"/>
      <c r="C10" s="647"/>
      <c r="D10" s="607"/>
      <c r="E10" s="607"/>
      <c r="F10" s="644"/>
      <c r="G10" s="631"/>
      <c r="H10" s="631"/>
      <c r="I10" s="631"/>
      <c r="J10" s="631"/>
      <c r="K10" s="631"/>
      <c r="L10" s="631"/>
      <c r="M10" s="610"/>
      <c r="N10" s="614"/>
      <c r="O10" s="616"/>
      <c r="P10" s="614"/>
      <c r="Q10" s="616"/>
      <c r="R10" s="614"/>
      <c r="S10" s="616"/>
      <c r="T10" s="694"/>
      <c r="U10" s="628"/>
      <c r="V10" s="628"/>
      <c r="W10" s="629"/>
      <c r="X10" s="614"/>
      <c r="Y10" s="616"/>
      <c r="Z10" s="694"/>
      <c r="AA10" s="628"/>
      <c r="AB10" s="629"/>
      <c r="AC10" s="627"/>
      <c r="AD10" s="628"/>
      <c r="AE10" s="628"/>
      <c r="AF10" s="629"/>
      <c r="AG10" s="635"/>
      <c r="AH10" s="637"/>
      <c r="AI10" s="617"/>
      <c r="AJ10" s="607"/>
      <c r="AK10" s="606"/>
    </row>
    <row r="11" spans="1:40" ht="15.75" customHeight="1" thickBot="1" x14ac:dyDescent="0.25">
      <c r="A11" s="647"/>
      <c r="B11" s="655"/>
      <c r="C11" s="647"/>
      <c r="D11" s="607"/>
      <c r="E11" s="607"/>
      <c r="F11" s="660" t="str">
        <f>Language!B114</f>
        <v>Day of the week</v>
      </c>
      <c r="G11" s="661"/>
      <c r="H11" s="661"/>
      <c r="I11" s="661"/>
      <c r="J11" s="661"/>
      <c r="K11" s="661"/>
      <c r="L11" s="662"/>
      <c r="M11" s="648" t="str">
        <f>Language!B122</f>
        <v>Or per week</v>
      </c>
      <c r="N11" s="626" t="str">
        <f>Language!B130</f>
        <v>Week</v>
      </c>
      <c r="O11" s="608" t="str">
        <f>Language!B131</f>
        <v>Cum.</v>
      </c>
      <c r="P11" s="642" t="str">
        <f>Language!B208</f>
        <v>Actual</v>
      </c>
      <c r="Q11" s="626" t="str">
        <f>Language!B209</f>
        <v>Std.</v>
      </c>
      <c r="R11" s="642" t="str">
        <f>Language!B208</f>
        <v>Actual</v>
      </c>
      <c r="S11" s="626" t="str">
        <f>Language!B209</f>
        <v>Std.</v>
      </c>
      <c r="T11" s="642" t="str">
        <f>Language!B127</f>
        <v>Farm</v>
      </c>
      <c r="U11" s="626" t="str">
        <f>Language!B128</f>
        <v>Packing station</v>
      </c>
      <c r="V11" s="626" t="str">
        <f>Language!B130</f>
        <v>Week</v>
      </c>
      <c r="W11" s="608" t="str">
        <f>Language!B131</f>
        <v>Cum.</v>
      </c>
      <c r="X11" s="635" t="str">
        <f>Language!B208</f>
        <v>Actual</v>
      </c>
      <c r="Y11" s="617" t="str">
        <f>Language!B209</f>
        <v>Std.</v>
      </c>
      <c r="Z11" s="642" t="str">
        <f>Language!B135</f>
        <v>Water cons in Ltrs.</v>
      </c>
      <c r="AA11" s="632" t="str">
        <f>Language!B136</f>
        <v>Water cons ml/d/bird</v>
      </c>
      <c r="AB11" s="639" t="str">
        <f>Language!B137</f>
        <v>Water/feed ratio</v>
      </c>
      <c r="AC11" s="625" t="str">
        <f>Language!B139</f>
        <v>Price per ton</v>
      </c>
      <c r="AD11" s="626" t="str">
        <f>Language!B140</f>
        <v>Intake in kg</v>
      </c>
      <c r="AE11" s="626" t="str">
        <f>Language!B141</f>
        <v>Stock End of week</v>
      </c>
      <c r="AF11" s="608" t="str">
        <f>Language!B142</f>
        <v>Cum.</v>
      </c>
      <c r="AG11" s="635"/>
      <c r="AH11" s="637"/>
      <c r="AI11" s="617"/>
      <c r="AJ11" s="607"/>
      <c r="AK11" s="606"/>
    </row>
    <row r="12" spans="1:40" ht="15.75" customHeight="1" thickBot="1" x14ac:dyDescent="0.25">
      <c r="A12" s="647"/>
      <c r="B12" s="655"/>
      <c r="C12" s="647"/>
      <c r="D12" s="607"/>
      <c r="E12" s="607"/>
      <c r="F12" s="668" t="str">
        <f>Language!B115</f>
        <v>Mon.</v>
      </c>
      <c r="G12" s="604" t="str">
        <f>Language!B116</f>
        <v>Tue.</v>
      </c>
      <c r="H12" s="604" t="str">
        <f>Language!B117</f>
        <v>Wed.</v>
      </c>
      <c r="I12" s="604" t="str">
        <f>Language!B118</f>
        <v>Thu.</v>
      </c>
      <c r="J12" s="604" t="str">
        <f>Language!B119</f>
        <v>Fri.</v>
      </c>
      <c r="K12" s="604" t="str">
        <f>Language!B120</f>
        <v>Sat.</v>
      </c>
      <c r="L12" s="666" t="str">
        <f>Language!B121</f>
        <v>Sun.</v>
      </c>
      <c r="M12" s="649"/>
      <c r="N12" s="630"/>
      <c r="O12" s="609"/>
      <c r="P12" s="643"/>
      <c r="Q12" s="630"/>
      <c r="R12" s="643"/>
      <c r="S12" s="630"/>
      <c r="T12" s="643"/>
      <c r="U12" s="630"/>
      <c r="V12" s="630"/>
      <c r="W12" s="609"/>
      <c r="X12" s="635"/>
      <c r="Y12" s="617"/>
      <c r="Z12" s="643"/>
      <c r="AA12" s="633"/>
      <c r="AB12" s="640"/>
      <c r="AC12" s="645"/>
      <c r="AD12" s="630"/>
      <c r="AE12" s="630"/>
      <c r="AF12" s="609"/>
      <c r="AG12" s="635"/>
      <c r="AH12" s="637"/>
      <c r="AI12" s="617"/>
      <c r="AJ12" s="607"/>
      <c r="AK12" s="606"/>
    </row>
    <row r="13" spans="1:40" ht="15.75" customHeight="1" thickBot="1" x14ac:dyDescent="0.25">
      <c r="A13" s="647"/>
      <c r="B13" s="656"/>
      <c r="C13" s="647"/>
      <c r="D13" s="607"/>
      <c r="E13" s="607"/>
      <c r="F13" s="669"/>
      <c r="G13" s="605"/>
      <c r="H13" s="605"/>
      <c r="I13" s="605"/>
      <c r="J13" s="605"/>
      <c r="K13" s="605"/>
      <c r="L13" s="667"/>
      <c r="M13" s="650"/>
      <c r="N13" s="631"/>
      <c r="O13" s="610"/>
      <c r="P13" s="644"/>
      <c r="Q13" s="631"/>
      <c r="R13" s="644"/>
      <c r="S13" s="631"/>
      <c r="T13" s="644"/>
      <c r="U13" s="631"/>
      <c r="V13" s="631"/>
      <c r="W13" s="610"/>
      <c r="X13" s="636"/>
      <c r="Y13" s="618"/>
      <c r="Z13" s="644"/>
      <c r="AA13" s="634"/>
      <c r="AB13" s="641"/>
      <c r="AC13" s="646"/>
      <c r="AD13" s="631"/>
      <c r="AE13" s="631"/>
      <c r="AF13" s="610"/>
      <c r="AG13" s="636"/>
      <c r="AH13" s="638"/>
      <c r="AI13" s="618"/>
      <c r="AJ13" s="607"/>
      <c r="AK13" s="606"/>
    </row>
    <row r="14" spans="1:40" ht="15.75" hidden="1" customHeight="1" thickBot="1" x14ac:dyDescent="0.25">
      <c r="A14" s="25"/>
      <c r="B14" s="25"/>
      <c r="C14" s="25"/>
      <c r="D14" s="26"/>
      <c r="E14" s="26"/>
      <c r="F14" s="27"/>
      <c r="G14" s="28"/>
      <c r="H14" s="29"/>
      <c r="I14" s="29"/>
      <c r="J14" s="29"/>
      <c r="K14" s="29"/>
      <c r="L14" s="30"/>
      <c r="M14" s="31"/>
      <c r="N14" s="31"/>
      <c r="O14" s="31"/>
      <c r="P14" s="44"/>
      <c r="Q14" s="45"/>
      <c r="R14" s="44"/>
      <c r="S14" s="45"/>
      <c r="T14" s="31"/>
      <c r="U14" s="31"/>
      <c r="V14" s="31"/>
      <c r="W14" s="31"/>
      <c r="X14" s="31"/>
      <c r="Y14" s="31"/>
      <c r="Z14" s="31"/>
      <c r="AA14" s="32"/>
      <c r="AB14" s="32"/>
      <c r="AC14" s="31"/>
      <c r="AD14" s="33"/>
      <c r="AE14" s="33"/>
      <c r="AF14" s="33"/>
      <c r="AG14" s="34"/>
      <c r="AH14" s="35"/>
      <c r="AI14" s="35"/>
      <c r="AJ14" s="26"/>
      <c r="AK14" s="401"/>
    </row>
    <row r="15" spans="1:40" ht="15.75" customHeight="1" x14ac:dyDescent="0.2">
      <c r="A15" s="441">
        <f>$G$3+((C15*7)-7)</f>
        <v>112</v>
      </c>
      <c r="B15" s="305">
        <f>WEEKNUM(A15,1)</f>
        <v>16</v>
      </c>
      <c r="C15" s="305">
        <v>17</v>
      </c>
      <c r="D15" s="152">
        <f>IF(OR($G$6="",E15="",E15=0),G6,$G$6-E15)</f>
        <v>0</v>
      </c>
      <c r="E15" s="195"/>
      <c r="F15" s="196"/>
      <c r="G15" s="197"/>
      <c r="H15" s="197"/>
      <c r="I15" s="197"/>
      <c r="J15" s="197"/>
      <c r="K15" s="197"/>
      <c r="L15" s="198"/>
      <c r="M15" s="195"/>
      <c r="N15" s="153">
        <f>IF(SUM(F15:M15)=0,0,IF(SUM(F15:L15)&lt;0,SUM(F15:L15),M15))</f>
        <v>0</v>
      </c>
      <c r="O15" s="154">
        <f>IF(N15=0,0,O14+N15)</f>
        <v>0</v>
      </c>
      <c r="P15" s="296" t="e">
        <f>(N15/D15/7)</f>
        <v>#DIV/0!</v>
      </c>
      <c r="Q15" s="155" t="e">
        <f>'Production data'!E14/100</f>
        <v>#VALUE!</v>
      </c>
      <c r="R15" s="299" t="e">
        <f>O15/$G$6</f>
        <v>#DIV/0!</v>
      </c>
      <c r="S15" s="156" t="str">
        <f>'Production data'!G14</f>
        <v/>
      </c>
      <c r="T15" s="207"/>
      <c r="U15" s="208"/>
      <c r="V15" s="153">
        <f>IF(T15+U15=0,0,T15+U15)</f>
        <v>0</v>
      </c>
      <c r="W15" s="154">
        <f>IF(V15="",0,V15+W14)</f>
        <v>0</v>
      </c>
      <c r="X15" s="213"/>
      <c r="Y15" s="367">
        <f>Std!C20</f>
        <v>0</v>
      </c>
      <c r="Z15" s="207"/>
      <c r="AA15" s="157" t="str">
        <f>IF(Z15="","",Z15/D15/7*1000)</f>
        <v/>
      </c>
      <c r="AB15" s="158" t="str">
        <f>IF(AE14+AD15-AE15&lt;=0,"",IF(Z15="","",Z15/(AE14+AD15-AE15)))</f>
        <v/>
      </c>
      <c r="AC15" s="213"/>
      <c r="AD15" s="214"/>
      <c r="AE15" s="214"/>
      <c r="AF15" s="159">
        <f>IF(D15="","",AE14+AD15-AE15)</f>
        <v>0</v>
      </c>
      <c r="AG15" s="207"/>
      <c r="AH15" s="214"/>
      <c r="AI15" s="370">
        <f>Std!D20</f>
        <v>1439.5</v>
      </c>
      <c r="AJ15" s="219"/>
    </row>
    <row r="16" spans="1:40" ht="15.75" customHeight="1" x14ac:dyDescent="0.2">
      <c r="A16" s="441">
        <f>$G$3+((C16*7)-7)</f>
        <v>119</v>
      </c>
      <c r="B16" s="306">
        <f t="shared" ref="B16:B79" si="0">WEEKNUM(A16,1)</f>
        <v>17</v>
      </c>
      <c r="C16" s="306">
        <v>18</v>
      </c>
      <c r="D16" s="160">
        <f t="shared" ref="D16:D47" si="1">IF(OR($G$6="",E16=""),D15,D15-E16)</f>
        <v>0</v>
      </c>
      <c r="E16" s="199"/>
      <c r="F16" s="200"/>
      <c r="G16" s="201"/>
      <c r="H16" s="201"/>
      <c r="I16" s="201"/>
      <c r="J16" s="201"/>
      <c r="K16" s="201"/>
      <c r="L16" s="202"/>
      <c r="M16" s="199"/>
      <c r="N16" s="161">
        <f>IF(SUM(F16:M16)=0,0,IF(SUM(F16:L16)&gt;0,SUM(F16:L16),M16))</f>
        <v>0</v>
      </c>
      <c r="O16" s="162">
        <f t="shared" ref="O16:O79" si="2">IF(N16=0,0,O15+N16)</f>
        <v>0</v>
      </c>
      <c r="P16" s="297" t="e">
        <f t="shared" ref="P16:P79" si="3">(N16/D16/7)</f>
        <v>#DIV/0!</v>
      </c>
      <c r="Q16" s="163">
        <f>'Production data'!E15/100</f>
        <v>0.03</v>
      </c>
      <c r="R16" s="300" t="e">
        <f t="shared" ref="R16:R79" si="4">O16/$G$6</f>
        <v>#DIV/0!</v>
      </c>
      <c r="S16" s="164">
        <f>'Production data'!G15</f>
        <v>0.2097984</v>
      </c>
      <c r="T16" s="209"/>
      <c r="U16" s="210"/>
      <c r="V16" s="161">
        <f>IF(T16+U16=0,0,T16+U16)</f>
        <v>0</v>
      </c>
      <c r="W16" s="162">
        <f>IF(OR(V16=0,W15=""),0,V16+W15)</f>
        <v>0</v>
      </c>
      <c r="X16" s="215"/>
      <c r="Y16" s="368">
        <f>Std!C21</f>
        <v>42.492229512069038</v>
      </c>
      <c r="Z16" s="209"/>
      <c r="AA16" s="165" t="str">
        <f t="shared" ref="AA16:AA79" si="5">IF(Z16="","",Z16/D16/7*1000)</f>
        <v/>
      </c>
      <c r="AB16" s="158" t="str">
        <f t="shared" ref="AB16:AB79" si="6">IF(AE15+AD16-AE16&lt;=0,"",IF(Z16="","",Z16/(AE15+AD16-AE16)))</f>
        <v/>
      </c>
      <c r="AC16" s="215"/>
      <c r="AD16" s="216"/>
      <c r="AE16" s="216"/>
      <c r="AF16" s="166">
        <f>IF(D16="","",AF15+(AE15+AD16-AE16))</f>
        <v>0</v>
      </c>
      <c r="AG16" s="209"/>
      <c r="AH16" s="216"/>
      <c r="AI16" s="371">
        <f>Std!D21</f>
        <v>1500</v>
      </c>
      <c r="AJ16" s="220"/>
      <c r="AL16" s="36"/>
      <c r="AM16" s="42"/>
      <c r="AN16" s="36"/>
    </row>
    <row r="17" spans="1:40" ht="15.75" customHeight="1" x14ac:dyDescent="0.2">
      <c r="A17" s="441">
        <f t="shared" ref="A17:A80" si="7">$G$3+((C17*7)-7)</f>
        <v>126</v>
      </c>
      <c r="B17" s="306">
        <f t="shared" si="0"/>
        <v>18</v>
      </c>
      <c r="C17" s="306">
        <v>19</v>
      </c>
      <c r="D17" s="160">
        <f t="shared" si="1"/>
        <v>0</v>
      </c>
      <c r="E17" s="199"/>
      <c r="F17" s="200"/>
      <c r="G17" s="201"/>
      <c r="H17" s="201"/>
      <c r="I17" s="201"/>
      <c r="J17" s="201"/>
      <c r="K17" s="201"/>
      <c r="L17" s="201"/>
      <c r="M17" s="199"/>
      <c r="N17" s="161">
        <f>IF(SUM(F17:M17)=0,0,IF(SUM(F17:L17)&gt;0,SUM(F17:L17),M17))</f>
        <v>0</v>
      </c>
      <c r="O17" s="162">
        <f t="shared" si="2"/>
        <v>0</v>
      </c>
      <c r="P17" s="297" t="e">
        <f t="shared" si="3"/>
        <v>#DIV/0!</v>
      </c>
      <c r="Q17" s="163">
        <f>'Production data'!E16/100</f>
        <v>0.10981494841287714</v>
      </c>
      <c r="R17" s="300" t="e">
        <f t="shared" si="4"/>
        <v>#DIV/0!</v>
      </c>
      <c r="S17" s="164">
        <f>'Production data'!G16</f>
        <v>0.97702712598347086</v>
      </c>
      <c r="T17" s="209"/>
      <c r="U17" s="210"/>
      <c r="V17" s="161">
        <f t="shared" ref="V17:V80" si="8">IF(T17+U17=0,0,T17+U17)</f>
        <v>0</v>
      </c>
      <c r="W17" s="162">
        <f t="shared" ref="W17:W79" si="9">IF(V17=0,0,V17+W16)</f>
        <v>0</v>
      </c>
      <c r="X17" s="215"/>
      <c r="Y17" s="368">
        <f>Std!C22</f>
        <v>46.165713667956219</v>
      </c>
      <c r="Z17" s="209"/>
      <c r="AA17" s="165" t="str">
        <f t="shared" si="5"/>
        <v/>
      </c>
      <c r="AB17" s="158" t="str">
        <f t="shared" si="6"/>
        <v/>
      </c>
      <c r="AC17" s="215"/>
      <c r="AD17" s="216"/>
      <c r="AE17" s="216"/>
      <c r="AF17" s="166">
        <f>IF(D17="","",AF16+(AE16+AD17-AE17))</f>
        <v>0</v>
      </c>
      <c r="AG17" s="209"/>
      <c r="AH17" s="216"/>
      <c r="AI17" s="371">
        <f>Std!D22</f>
        <v>1558.6481528685708</v>
      </c>
      <c r="AJ17" s="220"/>
      <c r="AL17" s="36"/>
      <c r="AM17" s="42"/>
      <c r="AN17" s="36"/>
    </row>
    <row r="18" spans="1:40" ht="15.75" customHeight="1" x14ac:dyDescent="0.2">
      <c r="A18" s="441">
        <f t="shared" si="7"/>
        <v>133</v>
      </c>
      <c r="B18" s="306">
        <f t="shared" si="0"/>
        <v>19</v>
      </c>
      <c r="C18" s="306">
        <v>20</v>
      </c>
      <c r="D18" s="160">
        <f t="shared" si="1"/>
        <v>0</v>
      </c>
      <c r="E18" s="199"/>
      <c r="F18" s="200"/>
      <c r="G18" s="201"/>
      <c r="H18" s="201"/>
      <c r="I18" s="201"/>
      <c r="J18" s="201"/>
      <c r="K18" s="201"/>
      <c r="L18" s="202"/>
      <c r="M18" s="199"/>
      <c r="N18" s="161">
        <f>IF(SUM(F18:M18)=0,0,IF(SUM(F18:L18)&gt;0,SUM(F18:L18),M18))</f>
        <v>0</v>
      </c>
      <c r="O18" s="162">
        <f t="shared" si="2"/>
        <v>0</v>
      </c>
      <c r="P18" s="297" t="e">
        <f t="shared" si="3"/>
        <v>#DIV/0!</v>
      </c>
      <c r="Q18" s="163">
        <f>'Production data'!E17/100</f>
        <v>0.31090325793650803</v>
      </c>
      <c r="R18" s="300" t="e">
        <f t="shared" si="4"/>
        <v>#DIV/0!</v>
      </c>
      <c r="S18" s="164">
        <f>'Production data'!G17</f>
        <v>3.1470821218590266</v>
      </c>
      <c r="T18" s="209"/>
      <c r="U18" s="210"/>
      <c r="V18" s="161">
        <f t="shared" si="8"/>
        <v>0</v>
      </c>
      <c r="W18" s="162">
        <f t="shared" si="9"/>
        <v>0</v>
      </c>
      <c r="X18" s="215"/>
      <c r="Y18" s="368">
        <f>Std!C23</f>
        <v>49.278198677597565</v>
      </c>
      <c r="Z18" s="209"/>
      <c r="AA18" s="165" t="str">
        <f t="shared" si="5"/>
        <v/>
      </c>
      <c r="AB18" s="158" t="str">
        <f t="shared" si="6"/>
        <v/>
      </c>
      <c r="AC18" s="215"/>
      <c r="AD18" s="216"/>
      <c r="AE18" s="216"/>
      <c r="AF18" s="166">
        <f t="shared" ref="AF18:AF80" si="10">IF(D18="","",AF17+(AE17+AD18-AE18))</f>
        <v>0</v>
      </c>
      <c r="AG18" s="209"/>
      <c r="AH18" s="216"/>
      <c r="AI18" s="371">
        <f>Std!D23</f>
        <v>1621.516225625237</v>
      </c>
      <c r="AJ18" s="220"/>
      <c r="AL18" s="36"/>
      <c r="AM18" s="42"/>
      <c r="AN18" s="36"/>
    </row>
    <row r="19" spans="1:40" ht="15.75" customHeight="1" x14ac:dyDescent="0.2">
      <c r="A19" s="441">
        <f t="shared" si="7"/>
        <v>140</v>
      </c>
      <c r="B19" s="306">
        <f t="shared" si="0"/>
        <v>20</v>
      </c>
      <c r="C19" s="306">
        <v>21</v>
      </c>
      <c r="D19" s="160">
        <f t="shared" si="1"/>
        <v>0</v>
      </c>
      <c r="E19" s="199"/>
      <c r="F19" s="200"/>
      <c r="G19" s="201"/>
      <c r="H19" s="201"/>
      <c r="I19" s="201"/>
      <c r="J19" s="201"/>
      <c r="K19" s="201"/>
      <c r="L19" s="202"/>
      <c r="M19" s="199"/>
      <c r="N19" s="161">
        <f>IF(SUM(F19:M19)=0,0,IF(SUM(F19:L19)&gt;0,SUM(F19:L19),M19))</f>
        <v>0</v>
      </c>
      <c r="O19" s="162">
        <f t="shared" si="2"/>
        <v>0</v>
      </c>
      <c r="P19" s="297" t="e">
        <f t="shared" si="3"/>
        <v>#DIV/0!</v>
      </c>
      <c r="Q19" s="163">
        <f>'Production data'!E18/100</f>
        <v>0.49193548412693255</v>
      </c>
      <c r="R19" s="300" t="e">
        <f t="shared" si="4"/>
        <v>#DIV/0!</v>
      </c>
      <c r="S19" s="164">
        <f>'Production data'!G18</f>
        <v>6.577407284934222</v>
      </c>
      <c r="T19" s="209"/>
      <c r="U19" s="210"/>
      <c r="V19" s="161">
        <f t="shared" si="8"/>
        <v>0</v>
      </c>
      <c r="W19" s="162">
        <f t="shared" si="9"/>
        <v>0</v>
      </c>
      <c r="X19" s="215"/>
      <c r="Y19" s="368">
        <f>Std!C24</f>
        <v>51.892660224258563</v>
      </c>
      <c r="Z19" s="209"/>
      <c r="AA19" s="165" t="str">
        <f t="shared" si="5"/>
        <v/>
      </c>
      <c r="AB19" s="158" t="str">
        <f t="shared" si="6"/>
        <v/>
      </c>
      <c r="AC19" s="215"/>
      <c r="AD19" s="216"/>
      <c r="AE19" s="216"/>
      <c r="AF19" s="166">
        <f t="shared" si="10"/>
        <v>0</v>
      </c>
      <c r="AG19" s="209"/>
      <c r="AH19" s="216"/>
      <c r="AI19" s="371">
        <f>Std!D24</f>
        <v>1684.3842983819034</v>
      </c>
      <c r="AJ19" s="220"/>
      <c r="AL19" s="36"/>
      <c r="AM19" s="42"/>
      <c r="AN19" s="36"/>
    </row>
    <row r="20" spans="1:40" ht="15.75" customHeight="1" x14ac:dyDescent="0.2">
      <c r="A20" s="441">
        <f t="shared" si="7"/>
        <v>147</v>
      </c>
      <c r="B20" s="306">
        <f t="shared" si="0"/>
        <v>21</v>
      </c>
      <c r="C20" s="306">
        <v>22</v>
      </c>
      <c r="D20" s="160">
        <f t="shared" si="1"/>
        <v>0</v>
      </c>
      <c r="E20" s="199"/>
      <c r="F20" s="200"/>
      <c r="G20" s="201"/>
      <c r="H20" s="201"/>
      <c r="I20" s="201"/>
      <c r="J20" s="201"/>
      <c r="K20" s="201"/>
      <c r="L20" s="202"/>
      <c r="M20" s="199"/>
      <c r="N20" s="161">
        <f t="shared" ref="N20:N80" si="11">IF(SUM(F20:M20)=0,0,IF(SUM(F20:L20)&gt;0,SUM(F20:L20),M20))</f>
        <v>0</v>
      </c>
      <c r="O20" s="162">
        <f t="shared" si="2"/>
        <v>0</v>
      </c>
      <c r="P20" s="297" t="e">
        <f t="shared" si="3"/>
        <v>#DIV/0!</v>
      </c>
      <c r="Q20" s="163">
        <f>'Production data'!E19/100</f>
        <v>0.66812851587314792</v>
      </c>
      <c r="R20" s="300" t="e">
        <f t="shared" si="4"/>
        <v>#DIV/0!</v>
      </c>
      <c r="S20" s="164">
        <f>'Production data'!G19</f>
        <v>11.23185777791292</v>
      </c>
      <c r="T20" s="209"/>
      <c r="U20" s="210"/>
      <c r="V20" s="161">
        <f t="shared" si="8"/>
        <v>0</v>
      </c>
      <c r="W20" s="162">
        <f t="shared" si="9"/>
        <v>0</v>
      </c>
      <c r="X20" s="215"/>
      <c r="Y20" s="368">
        <f>Std!C25</f>
        <v>54.068332197003436</v>
      </c>
      <c r="Z20" s="209"/>
      <c r="AA20" s="165" t="str">
        <f t="shared" si="5"/>
        <v/>
      </c>
      <c r="AB20" s="158" t="str">
        <f t="shared" si="6"/>
        <v/>
      </c>
      <c r="AC20" s="215"/>
      <c r="AD20" s="216"/>
      <c r="AE20" s="216"/>
      <c r="AF20" s="166">
        <f t="shared" si="10"/>
        <v>0</v>
      </c>
      <c r="AG20" s="209"/>
      <c r="AH20" s="216"/>
      <c r="AI20" s="371">
        <f>Std!D25</f>
        <v>1722.8380769891196</v>
      </c>
      <c r="AJ20" s="220"/>
      <c r="AL20" s="36"/>
      <c r="AM20" s="42"/>
      <c r="AN20" s="36"/>
    </row>
    <row r="21" spans="1:40" ht="15.75" customHeight="1" x14ac:dyDescent="0.2">
      <c r="A21" s="441">
        <f t="shared" si="7"/>
        <v>154</v>
      </c>
      <c r="B21" s="306">
        <f t="shared" si="0"/>
        <v>22</v>
      </c>
      <c r="C21" s="306">
        <v>23</v>
      </c>
      <c r="D21" s="160">
        <f t="shared" si="1"/>
        <v>0</v>
      </c>
      <c r="E21" s="199"/>
      <c r="F21" s="200"/>
      <c r="G21" s="201"/>
      <c r="H21" s="201"/>
      <c r="I21" s="201"/>
      <c r="J21" s="201"/>
      <c r="K21" s="201"/>
      <c r="L21" s="202"/>
      <c r="M21" s="199"/>
      <c r="N21" s="161">
        <f t="shared" si="11"/>
        <v>0</v>
      </c>
      <c r="O21" s="162">
        <f t="shared" si="2"/>
        <v>0</v>
      </c>
      <c r="P21" s="297" t="e">
        <f t="shared" si="3"/>
        <v>#DIV/0!</v>
      </c>
      <c r="Q21" s="163">
        <f>'Production data'!E20/100</f>
        <v>0.82197174206338186</v>
      </c>
      <c r="R21" s="300" t="e">
        <f t="shared" si="4"/>
        <v>#DIV/0!</v>
      </c>
      <c r="S21" s="164">
        <f>'Production data'!G20</f>
        <v>16.952518071716597</v>
      </c>
      <c r="T21" s="209"/>
      <c r="U21" s="210"/>
      <c r="V21" s="161">
        <f t="shared" si="8"/>
        <v>0</v>
      </c>
      <c r="W21" s="162">
        <f t="shared" si="9"/>
        <v>0</v>
      </c>
      <c r="X21" s="215"/>
      <c r="Y21" s="368">
        <f>Std!C26</f>
        <v>55.86070669069413</v>
      </c>
      <c r="Z21" s="209"/>
      <c r="AA21" s="165" t="str">
        <f t="shared" si="5"/>
        <v/>
      </c>
      <c r="AB21" s="158" t="str">
        <f t="shared" si="6"/>
        <v/>
      </c>
      <c r="AC21" s="215"/>
      <c r="AD21" s="216"/>
      <c r="AE21" s="216"/>
      <c r="AF21" s="166">
        <f t="shared" si="10"/>
        <v>0</v>
      </c>
      <c r="AG21" s="209"/>
      <c r="AH21" s="216"/>
      <c r="AI21" s="371">
        <f>Std!D26</f>
        <v>1750.3376435627622</v>
      </c>
      <c r="AJ21" s="220"/>
      <c r="AL21" s="36"/>
      <c r="AM21" s="42"/>
      <c r="AN21" s="36"/>
    </row>
    <row r="22" spans="1:40" ht="15.75" customHeight="1" x14ac:dyDescent="0.2">
      <c r="A22" s="441">
        <f t="shared" si="7"/>
        <v>161</v>
      </c>
      <c r="B22" s="306">
        <f t="shared" si="0"/>
        <v>23</v>
      </c>
      <c r="C22" s="306">
        <v>24</v>
      </c>
      <c r="D22" s="160">
        <f t="shared" si="1"/>
        <v>0</v>
      </c>
      <c r="E22" s="199"/>
      <c r="F22" s="200"/>
      <c r="G22" s="201"/>
      <c r="H22" s="201"/>
      <c r="I22" s="201"/>
      <c r="J22" s="201"/>
      <c r="K22" s="201"/>
      <c r="L22" s="202"/>
      <c r="M22" s="199"/>
      <c r="N22" s="161">
        <f t="shared" si="11"/>
        <v>0</v>
      </c>
      <c r="O22" s="162">
        <f t="shared" si="2"/>
        <v>0</v>
      </c>
      <c r="P22" s="297" t="e">
        <f t="shared" si="3"/>
        <v>#DIV/0!</v>
      </c>
      <c r="Q22" s="163">
        <f>'Production data'!E21/100</f>
        <v>0.90322705158758443</v>
      </c>
      <c r="R22" s="300" t="e">
        <f t="shared" si="4"/>
        <v>#DIV/0!</v>
      </c>
      <c r="S22" s="164">
        <f>'Production data'!G21</f>
        <v>23.232619632323008</v>
      </c>
      <c r="T22" s="209"/>
      <c r="U22" s="210"/>
      <c r="V22" s="161">
        <f t="shared" si="8"/>
        <v>0</v>
      </c>
      <c r="W22" s="162">
        <f t="shared" si="9"/>
        <v>0</v>
      </c>
      <c r="X22" s="215"/>
      <c r="Y22" s="368">
        <f>Std!C27</f>
        <v>57.32153400599077</v>
      </c>
      <c r="Z22" s="209"/>
      <c r="AA22" s="165" t="str">
        <f t="shared" si="5"/>
        <v/>
      </c>
      <c r="AB22" s="158" t="str">
        <f t="shared" si="6"/>
        <v/>
      </c>
      <c r="AC22" s="215"/>
      <c r="AD22" s="216"/>
      <c r="AE22" s="216"/>
      <c r="AF22" s="166">
        <f t="shared" si="10"/>
        <v>0</v>
      </c>
      <c r="AG22" s="209"/>
      <c r="AH22" s="216"/>
      <c r="AI22" s="371">
        <f>Std!D27</f>
        <v>1769.4420674095306</v>
      </c>
      <c r="AJ22" s="220"/>
      <c r="AL22" s="36"/>
      <c r="AM22" s="42"/>
      <c r="AN22" s="36"/>
    </row>
    <row r="23" spans="1:40" ht="15.75" customHeight="1" x14ac:dyDescent="0.2">
      <c r="A23" s="441">
        <f t="shared" si="7"/>
        <v>168</v>
      </c>
      <c r="B23" s="306">
        <f t="shared" si="0"/>
        <v>24</v>
      </c>
      <c r="C23" s="306">
        <v>25</v>
      </c>
      <c r="D23" s="160">
        <f t="shared" si="1"/>
        <v>0</v>
      </c>
      <c r="E23" s="199"/>
      <c r="F23" s="200"/>
      <c r="G23" s="201"/>
      <c r="H23" s="201"/>
      <c r="I23" s="201"/>
      <c r="J23" s="201"/>
      <c r="K23" s="201"/>
      <c r="L23" s="202"/>
      <c r="M23" s="199"/>
      <c r="N23" s="161">
        <f t="shared" si="11"/>
        <v>0</v>
      </c>
      <c r="O23" s="162">
        <f t="shared" si="2"/>
        <v>0</v>
      </c>
      <c r="P23" s="297" t="e">
        <f t="shared" si="3"/>
        <v>#DIV/0!</v>
      </c>
      <c r="Q23" s="163">
        <f>'Production data'!E22/100</f>
        <v>0.92969803679609497</v>
      </c>
      <c r="R23" s="300" t="e">
        <f t="shared" si="4"/>
        <v>#DIV/0!</v>
      </c>
      <c r="S23" s="164">
        <f>'Production data'!G22</f>
        <v>29.690525323437512</v>
      </c>
      <c r="T23" s="209"/>
      <c r="U23" s="210"/>
      <c r="V23" s="161">
        <f t="shared" si="8"/>
        <v>0</v>
      </c>
      <c r="W23" s="162">
        <f t="shared" si="9"/>
        <v>0</v>
      </c>
      <c r="X23" s="215"/>
      <c r="Y23" s="368">
        <f>Std!C28</f>
        <v>58.498822649351531</v>
      </c>
      <c r="Z23" s="209"/>
      <c r="AA23" s="165" t="str">
        <f t="shared" si="5"/>
        <v/>
      </c>
      <c r="AB23" s="158" t="str">
        <f t="shared" si="6"/>
        <v/>
      </c>
      <c r="AC23" s="215"/>
      <c r="AD23" s="216"/>
      <c r="AE23" s="216"/>
      <c r="AF23" s="166">
        <f t="shared" si="10"/>
        <v>0</v>
      </c>
      <c r="AG23" s="209"/>
      <c r="AH23" s="216"/>
      <c r="AI23" s="371">
        <f>Std!D28</f>
        <v>1782.4132835876542</v>
      </c>
      <c r="AJ23" s="220"/>
      <c r="AL23" s="36"/>
      <c r="AM23" s="42"/>
      <c r="AN23" s="36"/>
    </row>
    <row r="24" spans="1:40" ht="15.75" customHeight="1" x14ac:dyDescent="0.2">
      <c r="A24" s="441">
        <f t="shared" si="7"/>
        <v>175</v>
      </c>
      <c r="B24" s="306">
        <f t="shared" si="0"/>
        <v>25</v>
      </c>
      <c r="C24" s="306">
        <v>26</v>
      </c>
      <c r="D24" s="160">
        <f t="shared" si="1"/>
        <v>0</v>
      </c>
      <c r="E24" s="199"/>
      <c r="F24" s="200"/>
      <c r="G24" s="201"/>
      <c r="H24" s="201"/>
      <c r="I24" s="201"/>
      <c r="J24" s="201"/>
      <c r="K24" s="201"/>
      <c r="L24" s="202"/>
      <c r="M24" s="199"/>
      <c r="N24" s="161">
        <f t="shared" si="11"/>
        <v>0</v>
      </c>
      <c r="O24" s="162">
        <f t="shared" si="2"/>
        <v>0</v>
      </c>
      <c r="P24" s="297" t="e">
        <f t="shared" si="3"/>
        <v>#DIV/0!</v>
      </c>
      <c r="Q24" s="163">
        <f>'Production data'!E23/100</f>
        <v>0.94027253820241985</v>
      </c>
      <c r="R24" s="300" t="e">
        <f t="shared" si="4"/>
        <v>#DIV/0!</v>
      </c>
      <c r="S24" s="164">
        <f>'Production data'!G23</f>
        <v>36.215565407743966</v>
      </c>
      <c r="T24" s="209"/>
      <c r="U24" s="210"/>
      <c r="V24" s="161">
        <f t="shared" si="8"/>
        <v>0</v>
      </c>
      <c r="W24" s="162">
        <f t="shared" si="9"/>
        <v>0</v>
      </c>
      <c r="X24" s="215"/>
      <c r="Y24" s="368">
        <f>Std!C29</f>
        <v>59.436839333032999</v>
      </c>
      <c r="Z24" s="209"/>
      <c r="AA24" s="165" t="str">
        <f t="shared" si="5"/>
        <v/>
      </c>
      <c r="AB24" s="158" t="str">
        <f t="shared" si="6"/>
        <v/>
      </c>
      <c r="AC24" s="215"/>
      <c r="AD24" s="216"/>
      <c r="AE24" s="216"/>
      <c r="AF24" s="166">
        <f t="shared" si="10"/>
        <v>0</v>
      </c>
      <c r="AG24" s="209"/>
      <c r="AH24" s="216"/>
      <c r="AI24" s="371">
        <f>Std!D29</f>
        <v>1791.2160929069075</v>
      </c>
      <c r="AJ24" s="220"/>
      <c r="AL24" s="36"/>
      <c r="AM24" s="42"/>
      <c r="AN24" s="36"/>
    </row>
    <row r="25" spans="1:40" ht="15.75" customHeight="1" x14ac:dyDescent="0.2">
      <c r="A25" s="441">
        <f t="shared" si="7"/>
        <v>182</v>
      </c>
      <c r="B25" s="306">
        <f t="shared" si="0"/>
        <v>26</v>
      </c>
      <c r="C25" s="306">
        <v>27</v>
      </c>
      <c r="D25" s="160">
        <f t="shared" si="1"/>
        <v>0</v>
      </c>
      <c r="E25" s="199"/>
      <c r="F25" s="200"/>
      <c r="G25" s="201"/>
      <c r="H25" s="201"/>
      <c r="I25" s="201"/>
      <c r="J25" s="201"/>
      <c r="K25" s="201"/>
      <c r="L25" s="202"/>
      <c r="M25" s="199"/>
      <c r="N25" s="161">
        <f t="shared" si="11"/>
        <v>0</v>
      </c>
      <c r="O25" s="162">
        <f t="shared" si="2"/>
        <v>0</v>
      </c>
      <c r="P25" s="297" t="e">
        <f t="shared" si="3"/>
        <v>#DIV/0!</v>
      </c>
      <c r="Q25" s="163">
        <f>'Production data'!E24/100</f>
        <v>0.94815695421183843</v>
      </c>
      <c r="R25" s="300" t="e">
        <f t="shared" si="4"/>
        <v>#DIV/0!</v>
      </c>
      <c r="S25" s="164">
        <f>'Production data'!G24</f>
        <v>42.7889479399038</v>
      </c>
      <c r="T25" s="209"/>
      <c r="U25" s="210"/>
      <c r="V25" s="161">
        <f t="shared" si="8"/>
        <v>0</v>
      </c>
      <c r="W25" s="162">
        <f t="shared" si="9"/>
        <v>0</v>
      </c>
      <c r="X25" s="215"/>
      <c r="Y25" s="368">
        <f>Std!C30</f>
        <v>60.176108975089896</v>
      </c>
      <c r="Z25" s="209"/>
      <c r="AA25" s="165" t="str">
        <f t="shared" si="5"/>
        <v/>
      </c>
      <c r="AB25" s="158" t="str">
        <f t="shared" si="6"/>
        <v/>
      </c>
      <c r="AC25" s="215"/>
      <c r="AD25" s="216"/>
      <c r="AE25" s="216"/>
      <c r="AF25" s="166">
        <f t="shared" si="10"/>
        <v>0</v>
      </c>
      <c r="AG25" s="209"/>
      <c r="AH25" s="216"/>
      <c r="AI25" s="371">
        <f>Std!D30</f>
        <v>1797.5181619286207</v>
      </c>
      <c r="AJ25" s="220"/>
      <c r="AL25" s="36"/>
      <c r="AM25" s="42"/>
      <c r="AN25" s="36"/>
    </row>
    <row r="26" spans="1:40" ht="15.75" customHeight="1" x14ac:dyDescent="0.2">
      <c r="A26" s="441">
        <f t="shared" si="7"/>
        <v>189</v>
      </c>
      <c r="B26" s="306">
        <f t="shared" si="0"/>
        <v>27</v>
      </c>
      <c r="C26" s="306">
        <v>28</v>
      </c>
      <c r="D26" s="160">
        <f t="shared" si="1"/>
        <v>0</v>
      </c>
      <c r="E26" s="199"/>
      <c r="F26" s="200"/>
      <c r="G26" s="201"/>
      <c r="H26" s="201"/>
      <c r="I26" s="201"/>
      <c r="J26" s="201"/>
      <c r="K26" s="201"/>
      <c r="L26" s="202"/>
      <c r="M26" s="199"/>
      <c r="N26" s="161">
        <f t="shared" si="11"/>
        <v>0</v>
      </c>
      <c r="O26" s="162">
        <f t="shared" si="2"/>
        <v>0</v>
      </c>
      <c r="P26" s="297" t="e">
        <f t="shared" si="3"/>
        <v>#DIV/0!</v>
      </c>
      <c r="Q26" s="163">
        <f>'Production data'!E25/100</f>
        <v>0.95375174273736474</v>
      </c>
      <c r="R26" s="300" t="e">
        <f t="shared" si="4"/>
        <v>#DIV/0!</v>
      </c>
      <c r="S26" s="164">
        <f>'Production data'!G25</f>
        <v>49.394708810242207</v>
      </c>
      <c r="T26" s="209"/>
      <c r="U26" s="210"/>
      <c r="V26" s="161">
        <f t="shared" si="8"/>
        <v>0</v>
      </c>
      <c r="W26" s="162">
        <f t="shared" si="9"/>
        <v>0</v>
      </c>
      <c r="X26" s="215"/>
      <c r="Y26" s="368">
        <f>Std!C31</f>
        <v>60.753414699374538</v>
      </c>
      <c r="Z26" s="209"/>
      <c r="AA26" s="165" t="str">
        <f t="shared" si="5"/>
        <v/>
      </c>
      <c r="AB26" s="158" t="str">
        <f t="shared" si="6"/>
        <v/>
      </c>
      <c r="AC26" s="215"/>
      <c r="AD26" s="216"/>
      <c r="AE26" s="216"/>
      <c r="AF26" s="166">
        <f t="shared" si="10"/>
        <v>0</v>
      </c>
      <c r="AG26" s="209"/>
      <c r="AH26" s="216"/>
      <c r="AI26" s="371">
        <f>Std!D31</f>
        <v>1806</v>
      </c>
      <c r="AJ26" s="220"/>
      <c r="AL26" s="36"/>
      <c r="AM26" s="42"/>
      <c r="AN26" s="36"/>
    </row>
    <row r="27" spans="1:40" ht="15.75" customHeight="1" x14ac:dyDescent="0.2">
      <c r="A27" s="441">
        <f t="shared" si="7"/>
        <v>196</v>
      </c>
      <c r="B27" s="306">
        <f t="shared" si="0"/>
        <v>28</v>
      </c>
      <c r="C27" s="306">
        <v>29</v>
      </c>
      <c r="D27" s="160">
        <f t="shared" si="1"/>
        <v>0</v>
      </c>
      <c r="E27" s="199"/>
      <c r="F27" s="200"/>
      <c r="G27" s="201"/>
      <c r="H27" s="201"/>
      <c r="I27" s="201"/>
      <c r="J27" s="201"/>
      <c r="K27" s="201"/>
      <c r="L27" s="202"/>
      <c r="M27" s="199"/>
      <c r="N27" s="161">
        <f t="shared" si="11"/>
        <v>0</v>
      </c>
      <c r="O27" s="162">
        <f t="shared" si="2"/>
        <v>0</v>
      </c>
      <c r="P27" s="297" t="e">
        <f t="shared" si="3"/>
        <v>#DIV/0!</v>
      </c>
      <c r="Q27" s="163">
        <f>'Production data'!E26/100</f>
        <v>0.95742618862280704</v>
      </c>
      <c r="R27" s="300" t="e">
        <f t="shared" si="4"/>
        <v>#DIV/0!</v>
      </c>
      <c r="S27" s="164">
        <f>'Production data'!G26</f>
        <v>56.019485282751312</v>
      </c>
      <c r="T27" s="209"/>
      <c r="U27" s="210"/>
      <c r="V27" s="161">
        <f t="shared" si="8"/>
        <v>0</v>
      </c>
      <c r="W27" s="162">
        <f t="shared" si="9"/>
        <v>0</v>
      </c>
      <c r="X27" s="215"/>
      <c r="Y27" s="368">
        <f>Std!C32</f>
        <v>61.201797835538144</v>
      </c>
      <c r="Z27" s="209"/>
      <c r="AA27" s="165" t="str">
        <f t="shared" si="5"/>
        <v/>
      </c>
      <c r="AB27" s="158" t="str">
        <f t="shared" si="6"/>
        <v/>
      </c>
      <c r="AC27" s="215"/>
      <c r="AD27" s="216"/>
      <c r="AE27" s="216"/>
      <c r="AF27" s="166">
        <f t="shared" si="10"/>
        <v>0</v>
      </c>
      <c r="AG27" s="209"/>
      <c r="AH27" s="216"/>
      <c r="AI27" s="371">
        <f>Std!D32</f>
        <v>1812</v>
      </c>
      <c r="AJ27" s="220"/>
      <c r="AL27" s="36"/>
      <c r="AM27" s="42"/>
      <c r="AN27" s="36"/>
    </row>
    <row r="28" spans="1:40" ht="15.75" customHeight="1" x14ac:dyDescent="0.2">
      <c r="A28" s="441">
        <f t="shared" si="7"/>
        <v>203</v>
      </c>
      <c r="B28" s="306">
        <f t="shared" si="0"/>
        <v>29</v>
      </c>
      <c r="C28" s="306">
        <v>30</v>
      </c>
      <c r="D28" s="160">
        <f t="shared" si="1"/>
        <v>0</v>
      </c>
      <c r="E28" s="199"/>
      <c r="F28" s="200"/>
      <c r="G28" s="201"/>
      <c r="H28" s="201"/>
      <c r="I28" s="201"/>
      <c r="J28" s="201"/>
      <c r="K28" s="201"/>
      <c r="L28" s="202"/>
      <c r="M28" s="199"/>
      <c r="N28" s="161">
        <f t="shared" si="11"/>
        <v>0</v>
      </c>
      <c r="O28" s="162">
        <f t="shared" si="2"/>
        <v>0</v>
      </c>
      <c r="P28" s="297" t="e">
        <f t="shared" si="3"/>
        <v>#DIV/0!</v>
      </c>
      <c r="Q28" s="163">
        <f>'Production data'!E27/100</f>
        <v>0.95951840364275709</v>
      </c>
      <c r="R28" s="300" t="e">
        <f t="shared" si="4"/>
        <v>#DIV/0!</v>
      </c>
      <c r="S28" s="164">
        <f>'Production data'!G27</f>
        <v>62.652290580508378</v>
      </c>
      <c r="T28" s="209"/>
      <c r="U28" s="210"/>
      <c r="V28" s="161">
        <f t="shared" si="8"/>
        <v>0</v>
      </c>
      <c r="W28" s="162">
        <f t="shared" si="9"/>
        <v>0</v>
      </c>
      <c r="X28" s="215"/>
      <c r="Y28" s="368">
        <f>Std!C33</f>
        <v>61.550557919029799</v>
      </c>
      <c r="Z28" s="209"/>
      <c r="AA28" s="165" t="str">
        <f t="shared" si="5"/>
        <v/>
      </c>
      <c r="AB28" s="158" t="str">
        <f t="shared" si="6"/>
        <v/>
      </c>
      <c r="AC28" s="215"/>
      <c r="AD28" s="216"/>
      <c r="AE28" s="216"/>
      <c r="AF28" s="166">
        <f t="shared" si="10"/>
        <v>0</v>
      </c>
      <c r="AG28" s="209"/>
      <c r="AH28" s="216"/>
      <c r="AI28" s="371">
        <f>Std!D33</f>
        <v>1820</v>
      </c>
      <c r="AJ28" s="220"/>
      <c r="AL28" s="36"/>
      <c r="AM28" s="42"/>
      <c r="AN28" s="36"/>
    </row>
    <row r="29" spans="1:40" ht="15.75" customHeight="1" x14ac:dyDescent="0.2">
      <c r="A29" s="441">
        <f t="shared" si="7"/>
        <v>210</v>
      </c>
      <c r="B29" s="306">
        <f t="shared" si="0"/>
        <v>30</v>
      </c>
      <c r="C29" s="306">
        <v>31</v>
      </c>
      <c r="D29" s="160">
        <f t="shared" si="1"/>
        <v>0</v>
      </c>
      <c r="E29" s="199"/>
      <c r="F29" s="200"/>
      <c r="G29" s="201"/>
      <c r="H29" s="201"/>
      <c r="I29" s="201"/>
      <c r="J29" s="201"/>
      <c r="K29" s="201"/>
      <c r="L29" s="202"/>
      <c r="M29" s="199"/>
      <c r="N29" s="161">
        <f t="shared" si="11"/>
        <v>0</v>
      </c>
      <c r="O29" s="162">
        <f t="shared" si="2"/>
        <v>0</v>
      </c>
      <c r="P29" s="297" t="e">
        <f t="shared" si="3"/>
        <v>#DIV/0!</v>
      </c>
      <c r="Q29" s="163">
        <f>'Production data'!E28/100</f>
        <v>0.96033532650259668</v>
      </c>
      <c r="R29" s="300" t="e">
        <f t="shared" si="4"/>
        <v>#DIV/0!</v>
      </c>
      <c r="S29" s="164">
        <f>'Production data'!G28</f>
        <v>69.284289518509183</v>
      </c>
      <c r="T29" s="209"/>
      <c r="U29" s="210"/>
      <c r="V29" s="161">
        <f t="shared" si="8"/>
        <v>0</v>
      </c>
      <c r="W29" s="162">
        <f t="shared" si="9"/>
        <v>0</v>
      </c>
      <c r="X29" s="215"/>
      <c r="Y29" s="368">
        <f>Std!C34</f>
        <v>61.825252691096402</v>
      </c>
      <c r="Z29" s="209"/>
      <c r="AA29" s="165" t="str">
        <f t="shared" si="5"/>
        <v/>
      </c>
      <c r="AB29" s="158" t="str">
        <f t="shared" si="6"/>
        <v/>
      </c>
      <c r="AC29" s="215"/>
      <c r="AD29" s="216"/>
      <c r="AE29" s="216"/>
      <c r="AF29" s="166">
        <f t="shared" si="10"/>
        <v>0</v>
      </c>
      <c r="AG29" s="209"/>
      <c r="AH29" s="216"/>
      <c r="AI29" s="371">
        <f>Std!D34</f>
        <v>1829</v>
      </c>
      <c r="AJ29" s="220"/>
      <c r="AL29" s="36"/>
      <c r="AM29" s="42"/>
      <c r="AN29" s="36"/>
    </row>
    <row r="30" spans="1:40" ht="15.75" customHeight="1" x14ac:dyDescent="0.2">
      <c r="A30" s="441">
        <f t="shared" si="7"/>
        <v>217</v>
      </c>
      <c r="B30" s="306">
        <f t="shared" si="0"/>
        <v>31</v>
      </c>
      <c r="C30" s="306">
        <v>32</v>
      </c>
      <c r="D30" s="160">
        <f t="shared" si="1"/>
        <v>0</v>
      </c>
      <c r="E30" s="199"/>
      <c r="F30" s="200"/>
      <c r="G30" s="201"/>
      <c r="H30" s="201"/>
      <c r="I30" s="201"/>
      <c r="J30" s="201"/>
      <c r="K30" s="201"/>
      <c r="L30" s="202"/>
      <c r="M30" s="199"/>
      <c r="N30" s="161">
        <f t="shared" si="11"/>
        <v>0</v>
      </c>
      <c r="O30" s="162">
        <f t="shared" si="2"/>
        <v>0</v>
      </c>
      <c r="P30" s="297" t="e">
        <f t="shared" si="3"/>
        <v>#DIV/0!</v>
      </c>
      <c r="Q30" s="163">
        <f>'Production data'!E29/100</f>
        <v>0.96015272283849029</v>
      </c>
      <c r="R30" s="300" t="e">
        <f t="shared" si="4"/>
        <v>#DIV/0!</v>
      </c>
      <c r="S30" s="164">
        <f>'Production data'!G29</f>
        <v>75.908575183916497</v>
      </c>
      <c r="T30" s="209"/>
      <c r="U30" s="210"/>
      <c r="V30" s="161">
        <f t="shared" si="8"/>
        <v>0</v>
      </c>
      <c r="W30" s="162">
        <f t="shared" si="9"/>
        <v>0</v>
      </c>
      <c r="X30" s="215"/>
      <c r="Y30" s="368">
        <f>Std!C35</f>
        <v>62.047698098783528</v>
      </c>
      <c r="Z30" s="209"/>
      <c r="AA30" s="165" t="str">
        <f t="shared" si="5"/>
        <v/>
      </c>
      <c r="AB30" s="158" t="str">
        <f t="shared" si="6"/>
        <v/>
      </c>
      <c r="AC30" s="215"/>
      <c r="AD30" s="216"/>
      <c r="AE30" s="216"/>
      <c r="AF30" s="166">
        <f t="shared" si="10"/>
        <v>0</v>
      </c>
      <c r="AG30" s="209"/>
      <c r="AH30" s="216"/>
      <c r="AI30" s="371">
        <f>Std!D35</f>
        <v>1838</v>
      </c>
      <c r="AJ30" s="220"/>
      <c r="AL30" s="36"/>
      <c r="AM30" s="42"/>
      <c r="AN30" s="36"/>
    </row>
    <row r="31" spans="1:40" ht="15.75" customHeight="1" x14ac:dyDescent="0.2">
      <c r="A31" s="441">
        <f t="shared" si="7"/>
        <v>224</v>
      </c>
      <c r="B31" s="306">
        <f t="shared" si="0"/>
        <v>32</v>
      </c>
      <c r="C31" s="306">
        <v>33</v>
      </c>
      <c r="D31" s="160">
        <f t="shared" si="1"/>
        <v>0</v>
      </c>
      <c r="E31" s="199"/>
      <c r="F31" s="200"/>
      <c r="G31" s="201"/>
      <c r="H31" s="201"/>
      <c r="I31" s="201"/>
      <c r="J31" s="201"/>
      <c r="K31" s="201"/>
      <c r="L31" s="202"/>
      <c r="M31" s="199"/>
      <c r="N31" s="161">
        <f t="shared" si="11"/>
        <v>0</v>
      </c>
      <c r="O31" s="162">
        <f t="shared" si="2"/>
        <v>0</v>
      </c>
      <c r="P31" s="297" t="e">
        <f t="shared" si="3"/>
        <v>#DIV/0!</v>
      </c>
      <c r="Q31" s="163">
        <f>'Production data'!E30/100</f>
        <v>0.95921518521739546</v>
      </c>
      <c r="R31" s="300" t="e">
        <f t="shared" si="4"/>
        <v>#DIV/0!</v>
      </c>
      <c r="S31" s="164">
        <f>'Production data'!G30</f>
        <v>82.519946663723687</v>
      </c>
      <c r="T31" s="209"/>
      <c r="U31" s="210"/>
      <c r="V31" s="161">
        <f t="shared" si="8"/>
        <v>0</v>
      </c>
      <c r="W31" s="162">
        <f t="shared" si="9"/>
        <v>0</v>
      </c>
      <c r="X31" s="215"/>
      <c r="Y31" s="368">
        <f>Std!C36</f>
        <v>62.235968294934345</v>
      </c>
      <c r="Z31" s="209"/>
      <c r="AA31" s="165" t="str">
        <f t="shared" si="5"/>
        <v/>
      </c>
      <c r="AB31" s="158" t="str">
        <f t="shared" si="6"/>
        <v/>
      </c>
      <c r="AC31" s="215"/>
      <c r="AD31" s="216"/>
      <c r="AE31" s="216"/>
      <c r="AF31" s="166">
        <f t="shared" si="10"/>
        <v>0</v>
      </c>
      <c r="AG31" s="209"/>
      <c r="AH31" s="216"/>
      <c r="AI31" s="371">
        <f>Std!D36</f>
        <v>1847</v>
      </c>
      <c r="AJ31" s="220"/>
      <c r="AL31" s="36"/>
      <c r="AM31" s="42"/>
      <c r="AN31" s="36"/>
    </row>
    <row r="32" spans="1:40" ht="15.75" customHeight="1" x14ac:dyDescent="0.2">
      <c r="A32" s="441">
        <f t="shared" si="7"/>
        <v>231</v>
      </c>
      <c r="B32" s="306">
        <f t="shared" si="0"/>
        <v>33</v>
      </c>
      <c r="C32" s="306">
        <v>34</v>
      </c>
      <c r="D32" s="160">
        <f t="shared" si="1"/>
        <v>0</v>
      </c>
      <c r="E32" s="199"/>
      <c r="F32" s="200"/>
      <c r="G32" s="201"/>
      <c r="H32" s="201"/>
      <c r="I32" s="201"/>
      <c r="J32" s="201"/>
      <c r="K32" s="201"/>
      <c r="L32" s="202"/>
      <c r="M32" s="199"/>
      <c r="N32" s="161">
        <f t="shared" si="11"/>
        <v>0</v>
      </c>
      <c r="O32" s="162">
        <f t="shared" si="2"/>
        <v>0</v>
      </c>
      <c r="P32" s="297" t="e">
        <f t="shared" si="3"/>
        <v>#DIV/0!</v>
      </c>
      <c r="Q32" s="163">
        <f>'Production data'!E31/100</f>
        <v>0.95773613313705719</v>
      </c>
      <c r="R32" s="300" t="e">
        <f t="shared" si="4"/>
        <v>#DIV/0!</v>
      </c>
      <c r="S32" s="164">
        <f>'Production data'!G31</f>
        <v>89.114687819833506</v>
      </c>
      <c r="T32" s="209"/>
      <c r="U32" s="210"/>
      <c r="V32" s="161">
        <f t="shared" si="8"/>
        <v>0</v>
      </c>
      <c r="W32" s="162">
        <f t="shared" si="9"/>
        <v>0</v>
      </c>
      <c r="X32" s="215"/>
      <c r="Y32" s="368">
        <f>Std!C37</f>
        <v>62.404395638190486</v>
      </c>
      <c r="Z32" s="209"/>
      <c r="AA32" s="165" t="str">
        <f t="shared" si="5"/>
        <v/>
      </c>
      <c r="AB32" s="158" t="str">
        <f t="shared" si="6"/>
        <v/>
      </c>
      <c r="AC32" s="215"/>
      <c r="AD32" s="216"/>
      <c r="AE32" s="216"/>
      <c r="AF32" s="166">
        <f t="shared" si="10"/>
        <v>0</v>
      </c>
      <c r="AG32" s="209"/>
      <c r="AH32" s="216"/>
      <c r="AI32" s="371">
        <f>Std!D37</f>
        <v>1854</v>
      </c>
      <c r="AJ32" s="220"/>
      <c r="AL32" s="36"/>
      <c r="AM32" s="42"/>
      <c r="AN32" s="36"/>
    </row>
    <row r="33" spans="1:40" ht="15.75" customHeight="1" x14ac:dyDescent="0.2">
      <c r="A33" s="441">
        <f t="shared" si="7"/>
        <v>238</v>
      </c>
      <c r="B33" s="306">
        <f t="shared" si="0"/>
        <v>34</v>
      </c>
      <c r="C33" s="306">
        <v>35</v>
      </c>
      <c r="D33" s="160">
        <f t="shared" si="1"/>
        <v>0</v>
      </c>
      <c r="E33" s="199"/>
      <c r="F33" s="200"/>
      <c r="G33" s="201"/>
      <c r="H33" s="201"/>
      <c r="I33" s="201"/>
      <c r="J33" s="201"/>
      <c r="K33" s="201"/>
      <c r="L33" s="202"/>
      <c r="M33" s="199"/>
      <c r="N33" s="161">
        <f t="shared" si="11"/>
        <v>0</v>
      </c>
      <c r="O33" s="162">
        <f t="shared" si="2"/>
        <v>0</v>
      </c>
      <c r="P33" s="297" t="e">
        <f t="shared" si="3"/>
        <v>#DIV/0!</v>
      </c>
      <c r="Q33" s="163">
        <f>'Production data'!E32/100</f>
        <v>0.95629999999999993</v>
      </c>
      <c r="R33" s="300" t="e">
        <f t="shared" si="4"/>
        <v>#DIV/0!</v>
      </c>
      <c r="S33" s="164">
        <f>'Production data'!G32</f>
        <v>95.693113771833495</v>
      </c>
      <c r="T33" s="209"/>
      <c r="U33" s="210"/>
      <c r="V33" s="161">
        <f t="shared" si="8"/>
        <v>0</v>
      </c>
      <c r="W33" s="162">
        <f t="shared" si="9"/>
        <v>0</v>
      </c>
      <c r="X33" s="215"/>
      <c r="Y33" s="368">
        <f>Std!C38</f>
        <v>62.563570692991696</v>
      </c>
      <c r="Z33" s="209"/>
      <c r="AA33" s="165" t="str">
        <f t="shared" si="5"/>
        <v/>
      </c>
      <c r="AB33" s="158" t="str">
        <f t="shared" si="6"/>
        <v/>
      </c>
      <c r="AC33" s="215"/>
      <c r="AD33" s="216"/>
      <c r="AE33" s="216"/>
      <c r="AF33" s="166">
        <f t="shared" si="10"/>
        <v>0</v>
      </c>
      <c r="AG33" s="209"/>
      <c r="AH33" s="216"/>
      <c r="AI33" s="371">
        <f>Std!D38</f>
        <v>1861</v>
      </c>
      <c r="AJ33" s="220"/>
      <c r="AL33" s="36"/>
      <c r="AM33" s="42"/>
      <c r="AN33" s="36"/>
    </row>
    <row r="34" spans="1:40" ht="15.75" customHeight="1" x14ac:dyDescent="0.2">
      <c r="A34" s="441">
        <f t="shared" si="7"/>
        <v>245</v>
      </c>
      <c r="B34" s="306">
        <f t="shared" si="0"/>
        <v>35</v>
      </c>
      <c r="C34" s="306">
        <v>36</v>
      </c>
      <c r="D34" s="160">
        <f t="shared" si="1"/>
        <v>0</v>
      </c>
      <c r="E34" s="199"/>
      <c r="F34" s="200"/>
      <c r="G34" s="201"/>
      <c r="H34" s="201"/>
      <c r="I34" s="201"/>
      <c r="J34" s="201"/>
      <c r="K34" s="201"/>
      <c r="L34" s="202"/>
      <c r="M34" s="199"/>
      <c r="N34" s="161">
        <f t="shared" si="11"/>
        <v>0</v>
      </c>
      <c r="O34" s="162">
        <f t="shared" si="2"/>
        <v>0</v>
      </c>
      <c r="P34" s="297" t="e">
        <f t="shared" si="3"/>
        <v>#DIV/0!</v>
      </c>
      <c r="Q34" s="163">
        <f>'Production data'!E33/100</f>
        <v>0.95499999999999996</v>
      </c>
      <c r="R34" s="300" t="e">
        <f t="shared" si="4"/>
        <v>#DIV/0!</v>
      </c>
      <c r="S34" s="164">
        <f>'Production data'!G33</f>
        <v>102.2561793718335</v>
      </c>
      <c r="T34" s="209"/>
      <c r="U34" s="210"/>
      <c r="V34" s="161">
        <f t="shared" si="8"/>
        <v>0</v>
      </c>
      <c r="W34" s="162">
        <f t="shared" si="9"/>
        <v>0</v>
      </c>
      <c r="X34" s="215"/>
      <c r="Y34" s="368">
        <f>Std!C39</f>
        <v>62.720342229576147</v>
      </c>
      <c r="Z34" s="209"/>
      <c r="AA34" s="165" t="str">
        <f t="shared" si="5"/>
        <v/>
      </c>
      <c r="AB34" s="158" t="str">
        <f t="shared" si="6"/>
        <v/>
      </c>
      <c r="AC34" s="215"/>
      <c r="AD34" s="216"/>
      <c r="AE34" s="216"/>
      <c r="AF34" s="166">
        <f t="shared" si="10"/>
        <v>0</v>
      </c>
      <c r="AG34" s="209"/>
      <c r="AH34" s="216"/>
      <c r="AI34" s="371">
        <f>Std!D39</f>
        <v>1869</v>
      </c>
      <c r="AJ34" s="220"/>
      <c r="AL34" s="36"/>
      <c r="AM34" s="42"/>
      <c r="AN34" s="36"/>
    </row>
    <row r="35" spans="1:40" ht="15.75" customHeight="1" x14ac:dyDescent="0.2">
      <c r="A35" s="441">
        <f t="shared" si="7"/>
        <v>252</v>
      </c>
      <c r="B35" s="306">
        <f t="shared" si="0"/>
        <v>36</v>
      </c>
      <c r="C35" s="306">
        <v>37</v>
      </c>
      <c r="D35" s="160">
        <f t="shared" si="1"/>
        <v>0</v>
      </c>
      <c r="E35" s="199"/>
      <c r="F35" s="200"/>
      <c r="G35" s="201"/>
      <c r="H35" s="201"/>
      <c r="I35" s="201"/>
      <c r="J35" s="201"/>
      <c r="K35" s="201"/>
      <c r="L35" s="202"/>
      <c r="M35" s="199"/>
      <c r="N35" s="161">
        <f t="shared" si="11"/>
        <v>0</v>
      </c>
      <c r="O35" s="162">
        <f t="shared" si="2"/>
        <v>0</v>
      </c>
      <c r="P35" s="297" t="e">
        <f t="shared" si="3"/>
        <v>#DIV/0!</v>
      </c>
      <c r="Q35" s="163">
        <f>'Production data'!E34/100</f>
        <v>0.95200000000000007</v>
      </c>
      <c r="R35" s="300" t="e">
        <f t="shared" si="4"/>
        <v>#DIV/0!</v>
      </c>
      <c r="S35" s="164">
        <f>'Production data'!G34</f>
        <v>108.7922305718335</v>
      </c>
      <c r="T35" s="209"/>
      <c r="U35" s="210"/>
      <c r="V35" s="161">
        <f t="shared" si="8"/>
        <v>0</v>
      </c>
      <c r="W35" s="162">
        <f t="shared" si="9"/>
        <v>0</v>
      </c>
      <c r="X35" s="215"/>
      <c r="Y35" s="368">
        <f>Std!C40</f>
        <v>62.877817223979292</v>
      </c>
      <c r="Z35" s="209"/>
      <c r="AA35" s="165" t="str">
        <f t="shared" si="5"/>
        <v/>
      </c>
      <c r="AB35" s="158" t="str">
        <f t="shared" si="6"/>
        <v/>
      </c>
      <c r="AC35" s="215"/>
      <c r="AD35" s="216"/>
      <c r="AE35" s="216"/>
      <c r="AF35" s="166">
        <f t="shared" si="10"/>
        <v>0</v>
      </c>
      <c r="AG35" s="209"/>
      <c r="AH35" s="216"/>
      <c r="AI35" s="371">
        <f>Std!D40</f>
        <v>1871</v>
      </c>
      <c r="AJ35" s="220"/>
      <c r="AL35" s="36"/>
      <c r="AM35" s="42"/>
      <c r="AN35" s="36"/>
    </row>
    <row r="36" spans="1:40" ht="15.75" customHeight="1" x14ac:dyDescent="0.2">
      <c r="A36" s="441">
        <f t="shared" si="7"/>
        <v>259</v>
      </c>
      <c r="B36" s="306">
        <f t="shared" si="0"/>
        <v>37</v>
      </c>
      <c r="C36" s="306">
        <v>38</v>
      </c>
      <c r="D36" s="160">
        <f t="shared" si="1"/>
        <v>0</v>
      </c>
      <c r="E36" s="199"/>
      <c r="F36" s="200"/>
      <c r="G36" s="201"/>
      <c r="H36" s="201"/>
      <c r="I36" s="201"/>
      <c r="J36" s="201"/>
      <c r="K36" s="201"/>
      <c r="L36" s="202"/>
      <c r="M36" s="199"/>
      <c r="N36" s="161">
        <f t="shared" si="11"/>
        <v>0</v>
      </c>
      <c r="O36" s="162">
        <f t="shared" si="2"/>
        <v>0</v>
      </c>
      <c r="P36" s="297" t="e">
        <f t="shared" si="3"/>
        <v>#DIV/0!</v>
      </c>
      <c r="Q36" s="163">
        <f>'Production data'!E35/100</f>
        <v>0.95030000000000003</v>
      </c>
      <c r="R36" s="300" t="e">
        <f t="shared" si="4"/>
        <v>#DIV/0!</v>
      </c>
      <c r="S36" s="164">
        <f>'Production data'!G35</f>
        <v>115.31022423583349</v>
      </c>
      <c r="T36" s="209"/>
      <c r="U36" s="210"/>
      <c r="V36" s="161">
        <f t="shared" si="8"/>
        <v>0</v>
      </c>
      <c r="W36" s="162">
        <f t="shared" si="9"/>
        <v>0</v>
      </c>
      <c r="X36" s="215"/>
      <c r="Y36" s="368">
        <f>Std!C41</f>
        <v>63.035360858035659</v>
      </c>
      <c r="Z36" s="209"/>
      <c r="AA36" s="165" t="str">
        <f t="shared" si="5"/>
        <v/>
      </c>
      <c r="AB36" s="158" t="str">
        <f t="shared" si="6"/>
        <v/>
      </c>
      <c r="AC36" s="215"/>
      <c r="AD36" s="216"/>
      <c r="AE36" s="216"/>
      <c r="AF36" s="166">
        <f t="shared" si="10"/>
        <v>0</v>
      </c>
      <c r="AG36" s="209"/>
      <c r="AH36" s="216"/>
      <c r="AI36" s="371">
        <f>Std!D41</f>
        <v>1874</v>
      </c>
      <c r="AJ36" s="220"/>
      <c r="AL36" s="36"/>
      <c r="AM36" s="42"/>
      <c r="AN36" s="36"/>
    </row>
    <row r="37" spans="1:40" ht="15.75" customHeight="1" x14ac:dyDescent="0.2">
      <c r="A37" s="441">
        <f t="shared" si="7"/>
        <v>266</v>
      </c>
      <c r="B37" s="306">
        <f t="shared" si="0"/>
        <v>38</v>
      </c>
      <c r="C37" s="306">
        <v>39</v>
      </c>
      <c r="D37" s="160">
        <f t="shared" si="1"/>
        <v>0</v>
      </c>
      <c r="E37" s="199"/>
      <c r="F37" s="200"/>
      <c r="G37" s="201"/>
      <c r="H37" s="201"/>
      <c r="I37" s="201"/>
      <c r="J37" s="201"/>
      <c r="K37" s="201"/>
      <c r="L37" s="202"/>
      <c r="M37" s="199"/>
      <c r="N37" s="161">
        <f t="shared" si="11"/>
        <v>0</v>
      </c>
      <c r="O37" s="162">
        <f t="shared" si="2"/>
        <v>0</v>
      </c>
      <c r="P37" s="297" t="e">
        <f t="shared" si="3"/>
        <v>#DIV/0!</v>
      </c>
      <c r="Q37" s="163">
        <f>'Production data'!E36/100</f>
        <v>0.94799999999999995</v>
      </c>
      <c r="R37" s="300" t="e">
        <f t="shared" si="4"/>
        <v>#DIV/0!</v>
      </c>
      <c r="S37" s="164">
        <f>'Production data'!G36</f>
        <v>121.80607191583348</v>
      </c>
      <c r="T37" s="209"/>
      <c r="U37" s="210"/>
      <c r="V37" s="161">
        <f t="shared" si="8"/>
        <v>0</v>
      </c>
      <c r="W37" s="162">
        <f t="shared" si="9"/>
        <v>0</v>
      </c>
      <c r="X37" s="215"/>
      <c r="Y37" s="368">
        <f>Std!C42</f>
        <v>63.188596519377562</v>
      </c>
      <c r="Z37" s="209"/>
      <c r="AA37" s="165" t="str">
        <f t="shared" si="5"/>
        <v/>
      </c>
      <c r="AB37" s="158" t="str">
        <f t="shared" si="6"/>
        <v/>
      </c>
      <c r="AC37" s="215"/>
      <c r="AD37" s="216"/>
      <c r="AE37" s="216"/>
      <c r="AF37" s="166">
        <f t="shared" si="10"/>
        <v>0</v>
      </c>
      <c r="AG37" s="209"/>
      <c r="AH37" s="216"/>
      <c r="AI37" s="371">
        <f>Std!D42</f>
        <v>1876.6073567709561</v>
      </c>
      <c r="AJ37" s="220"/>
      <c r="AL37" s="36"/>
      <c r="AM37" s="42"/>
      <c r="AN37" s="36"/>
    </row>
    <row r="38" spans="1:40" ht="15.75" customHeight="1" x14ac:dyDescent="0.2">
      <c r="A38" s="441">
        <f t="shared" si="7"/>
        <v>273</v>
      </c>
      <c r="B38" s="306">
        <f t="shared" si="0"/>
        <v>39</v>
      </c>
      <c r="C38" s="306">
        <v>40</v>
      </c>
      <c r="D38" s="160">
        <f t="shared" si="1"/>
        <v>0</v>
      </c>
      <c r="E38" s="199"/>
      <c r="F38" s="200"/>
      <c r="G38" s="201"/>
      <c r="H38" s="201"/>
      <c r="I38" s="201"/>
      <c r="J38" s="201"/>
      <c r="K38" s="201"/>
      <c r="L38" s="202"/>
      <c r="M38" s="199"/>
      <c r="N38" s="161">
        <f t="shared" si="11"/>
        <v>0</v>
      </c>
      <c r="O38" s="162">
        <f t="shared" si="2"/>
        <v>0</v>
      </c>
      <c r="P38" s="297" t="e">
        <f t="shared" si="3"/>
        <v>#DIV/0!</v>
      </c>
      <c r="Q38" s="163">
        <f>'Production data'!E37/100</f>
        <v>0.94629999999999992</v>
      </c>
      <c r="R38" s="300" t="e">
        <f t="shared" si="4"/>
        <v>#DIV/0!</v>
      </c>
      <c r="S38" s="164">
        <f>'Production data'!G37</f>
        <v>128.28391178783349</v>
      </c>
      <c r="T38" s="209"/>
      <c r="U38" s="210"/>
      <c r="V38" s="161">
        <f t="shared" si="8"/>
        <v>0</v>
      </c>
      <c r="W38" s="162">
        <f t="shared" si="9"/>
        <v>0</v>
      </c>
      <c r="X38" s="215"/>
      <c r="Y38" s="368">
        <f>Std!C43</f>
        <v>63.3</v>
      </c>
      <c r="Z38" s="209"/>
      <c r="AA38" s="165" t="str">
        <f t="shared" si="5"/>
        <v/>
      </c>
      <c r="AB38" s="158" t="str">
        <f t="shared" si="6"/>
        <v/>
      </c>
      <c r="AC38" s="215"/>
      <c r="AD38" s="216"/>
      <c r="AE38" s="216"/>
      <c r="AF38" s="166">
        <f t="shared" si="10"/>
        <v>0</v>
      </c>
      <c r="AG38" s="209"/>
      <c r="AH38" s="216"/>
      <c r="AI38" s="371">
        <f>Std!D43</f>
        <v>1881.4714420164553</v>
      </c>
      <c r="AJ38" s="220"/>
      <c r="AL38" s="36"/>
      <c r="AM38" s="42"/>
      <c r="AN38" s="36"/>
    </row>
    <row r="39" spans="1:40" ht="15.75" customHeight="1" x14ac:dyDescent="0.2">
      <c r="A39" s="441">
        <f t="shared" si="7"/>
        <v>280</v>
      </c>
      <c r="B39" s="306">
        <f t="shared" si="0"/>
        <v>40</v>
      </c>
      <c r="C39" s="306">
        <v>41</v>
      </c>
      <c r="D39" s="160">
        <f t="shared" si="1"/>
        <v>0</v>
      </c>
      <c r="E39" s="199"/>
      <c r="F39" s="200"/>
      <c r="G39" s="201"/>
      <c r="H39" s="201"/>
      <c r="I39" s="201"/>
      <c r="J39" s="201"/>
      <c r="K39" s="201"/>
      <c r="L39" s="202"/>
      <c r="M39" s="199"/>
      <c r="N39" s="161">
        <f t="shared" si="11"/>
        <v>0</v>
      </c>
      <c r="O39" s="162">
        <f t="shared" si="2"/>
        <v>0</v>
      </c>
      <c r="P39" s="297" t="e">
        <f t="shared" si="3"/>
        <v>#DIV/0!</v>
      </c>
      <c r="Q39" s="163">
        <f>'Production data'!E38/100</f>
        <v>0.94499999999999995</v>
      </c>
      <c r="R39" s="300" t="e">
        <f t="shared" si="4"/>
        <v>#DIV/0!</v>
      </c>
      <c r="S39" s="164">
        <f>'Production data'!G38</f>
        <v>134.74650218783347</v>
      </c>
      <c r="T39" s="209"/>
      <c r="U39" s="210"/>
      <c r="V39" s="161">
        <f t="shared" si="8"/>
        <v>0</v>
      </c>
      <c r="W39" s="162">
        <f t="shared" si="9"/>
        <v>0</v>
      </c>
      <c r="X39" s="215"/>
      <c r="Y39" s="368">
        <f>Std!C44</f>
        <v>63.34</v>
      </c>
      <c r="Z39" s="209"/>
      <c r="AA39" s="165" t="str">
        <f t="shared" si="5"/>
        <v/>
      </c>
      <c r="AB39" s="158" t="str">
        <f t="shared" si="6"/>
        <v/>
      </c>
      <c r="AC39" s="215"/>
      <c r="AD39" s="216"/>
      <c r="AE39" s="216"/>
      <c r="AF39" s="166">
        <f t="shared" si="10"/>
        <v>0</v>
      </c>
      <c r="AG39" s="209"/>
      <c r="AH39" s="216"/>
      <c r="AI39" s="371">
        <f>Std!D44</f>
        <v>1886.147837321306</v>
      </c>
      <c r="AJ39" s="220"/>
      <c r="AL39" s="36"/>
      <c r="AM39" s="42"/>
      <c r="AN39" s="36"/>
    </row>
    <row r="40" spans="1:40" ht="15.75" customHeight="1" x14ac:dyDescent="0.2">
      <c r="A40" s="441">
        <f t="shared" si="7"/>
        <v>287</v>
      </c>
      <c r="B40" s="306">
        <f t="shared" si="0"/>
        <v>41</v>
      </c>
      <c r="C40" s="306">
        <v>42</v>
      </c>
      <c r="D40" s="160">
        <f t="shared" si="1"/>
        <v>0</v>
      </c>
      <c r="E40" s="199"/>
      <c r="F40" s="200"/>
      <c r="G40" s="201"/>
      <c r="H40" s="201"/>
      <c r="I40" s="201"/>
      <c r="J40" s="201"/>
      <c r="K40" s="201"/>
      <c r="L40" s="202"/>
      <c r="M40" s="199"/>
      <c r="N40" s="161">
        <f t="shared" si="11"/>
        <v>0</v>
      </c>
      <c r="O40" s="162">
        <f t="shared" si="2"/>
        <v>0</v>
      </c>
      <c r="P40" s="297" t="e">
        <f t="shared" si="3"/>
        <v>#DIV/0!</v>
      </c>
      <c r="Q40" s="163">
        <f>'Production data'!E39/100</f>
        <v>0.94299999999999995</v>
      </c>
      <c r="R40" s="300" t="e">
        <f t="shared" si="4"/>
        <v>#DIV/0!</v>
      </c>
      <c r="S40" s="164">
        <f>'Production data'!G39</f>
        <v>141.18907818783347</v>
      </c>
      <c r="T40" s="209"/>
      <c r="U40" s="210"/>
      <c r="V40" s="161">
        <f t="shared" si="8"/>
        <v>0</v>
      </c>
      <c r="W40" s="162">
        <f t="shared" si="9"/>
        <v>0</v>
      </c>
      <c r="X40" s="215"/>
      <c r="Y40" s="368">
        <f>Std!C45</f>
        <v>63.42</v>
      </c>
      <c r="Z40" s="209"/>
      <c r="AA40" s="165" t="str">
        <f t="shared" si="5"/>
        <v/>
      </c>
      <c r="AB40" s="158" t="str">
        <f t="shared" si="6"/>
        <v/>
      </c>
      <c r="AC40" s="215"/>
      <c r="AD40" s="216"/>
      <c r="AE40" s="216"/>
      <c r="AF40" s="166">
        <f t="shared" si="10"/>
        <v>0</v>
      </c>
      <c r="AG40" s="209"/>
      <c r="AH40" s="216"/>
      <c r="AI40" s="371">
        <f>Std!D45</f>
        <v>1890.6406400719209</v>
      </c>
      <c r="AJ40" s="220"/>
      <c r="AL40" s="36"/>
      <c r="AM40" s="42"/>
      <c r="AN40" s="36"/>
    </row>
    <row r="41" spans="1:40" ht="15.75" customHeight="1" x14ac:dyDescent="0.2">
      <c r="A41" s="441">
        <f t="shared" si="7"/>
        <v>294</v>
      </c>
      <c r="B41" s="306">
        <f t="shared" si="0"/>
        <v>42</v>
      </c>
      <c r="C41" s="306">
        <v>43</v>
      </c>
      <c r="D41" s="160">
        <f t="shared" si="1"/>
        <v>0</v>
      </c>
      <c r="E41" s="199"/>
      <c r="F41" s="200"/>
      <c r="G41" s="201"/>
      <c r="H41" s="201"/>
      <c r="I41" s="201"/>
      <c r="J41" s="201"/>
      <c r="K41" s="201"/>
      <c r="L41" s="202"/>
      <c r="M41" s="199"/>
      <c r="N41" s="161">
        <f t="shared" si="11"/>
        <v>0</v>
      </c>
      <c r="O41" s="162">
        <f t="shared" si="2"/>
        <v>0</v>
      </c>
      <c r="P41" s="297" t="e">
        <f t="shared" si="3"/>
        <v>#DIV/0!</v>
      </c>
      <c r="Q41" s="163">
        <f>'Production data'!E40/100</f>
        <v>0.93984006161543632</v>
      </c>
      <c r="R41" s="300" t="e">
        <f t="shared" si="4"/>
        <v>#DIV/0!</v>
      </c>
      <c r="S41" s="164">
        <f>'Production data'!G40</f>
        <v>147.60374976357608</v>
      </c>
      <c r="T41" s="209"/>
      <c r="U41" s="210"/>
      <c r="V41" s="161">
        <f t="shared" si="8"/>
        <v>0</v>
      </c>
      <c r="W41" s="162">
        <f t="shared" si="9"/>
        <v>0</v>
      </c>
      <c r="X41" s="215"/>
      <c r="Y41" s="368">
        <f>Std!C46</f>
        <v>63.44</v>
      </c>
      <c r="Z41" s="209"/>
      <c r="AA41" s="165" t="str">
        <f t="shared" si="5"/>
        <v/>
      </c>
      <c r="AB41" s="158" t="str">
        <f t="shared" si="6"/>
        <v/>
      </c>
      <c r="AC41" s="215"/>
      <c r="AD41" s="216"/>
      <c r="AE41" s="216"/>
      <c r="AF41" s="166">
        <f t="shared" si="10"/>
        <v>0</v>
      </c>
      <c r="AG41" s="209"/>
      <c r="AH41" s="216"/>
      <c r="AI41" s="371">
        <f>Std!D46</f>
        <v>1894.9539435387394</v>
      </c>
      <c r="AJ41" s="220"/>
      <c r="AL41" s="36"/>
      <c r="AM41" s="42"/>
      <c r="AN41" s="36"/>
    </row>
    <row r="42" spans="1:40" ht="15.75" customHeight="1" x14ac:dyDescent="0.2">
      <c r="A42" s="441">
        <f t="shared" si="7"/>
        <v>301</v>
      </c>
      <c r="B42" s="306">
        <f t="shared" si="0"/>
        <v>43</v>
      </c>
      <c r="C42" s="306">
        <v>44</v>
      </c>
      <c r="D42" s="160">
        <f t="shared" si="1"/>
        <v>0</v>
      </c>
      <c r="E42" s="199"/>
      <c r="F42" s="200"/>
      <c r="G42" s="201"/>
      <c r="H42" s="201"/>
      <c r="I42" s="201"/>
      <c r="J42" s="201"/>
      <c r="K42" s="201"/>
      <c r="L42" s="202"/>
      <c r="M42" s="199"/>
      <c r="N42" s="161">
        <f t="shared" si="11"/>
        <v>0</v>
      </c>
      <c r="O42" s="162">
        <f t="shared" si="2"/>
        <v>0</v>
      </c>
      <c r="P42" s="297" t="e">
        <f t="shared" si="3"/>
        <v>#DIV/0!</v>
      </c>
      <c r="Q42" s="163">
        <f>'Production data'!E41/100</f>
        <v>0.93782586209177898</v>
      </c>
      <c r="R42" s="300" t="e">
        <f t="shared" si="4"/>
        <v>#DIV/0!</v>
      </c>
      <c r="S42" s="164">
        <f>'Production data'!G41</f>
        <v>153.99837167380059</v>
      </c>
      <c r="T42" s="209"/>
      <c r="U42" s="210"/>
      <c r="V42" s="161">
        <f t="shared" si="8"/>
        <v>0</v>
      </c>
      <c r="W42" s="162">
        <f t="shared" si="9"/>
        <v>0</v>
      </c>
      <c r="X42" s="215"/>
      <c r="Y42" s="368">
        <f>Std!C47</f>
        <v>63.45</v>
      </c>
      <c r="Z42" s="209"/>
      <c r="AA42" s="165" t="str">
        <f t="shared" si="5"/>
        <v/>
      </c>
      <c r="AB42" s="158" t="str">
        <f t="shared" si="6"/>
        <v/>
      </c>
      <c r="AC42" s="215"/>
      <c r="AD42" s="216"/>
      <c r="AE42" s="216"/>
      <c r="AF42" s="166">
        <f t="shared" si="10"/>
        <v>0</v>
      </c>
      <c r="AG42" s="209"/>
      <c r="AH42" s="216"/>
      <c r="AI42" s="371">
        <f>Std!D47</f>
        <v>1899.0918368762261</v>
      </c>
      <c r="AJ42" s="220"/>
      <c r="AL42" s="36"/>
      <c r="AM42" s="42"/>
      <c r="AN42" s="36"/>
    </row>
    <row r="43" spans="1:40" ht="15.75" customHeight="1" x14ac:dyDescent="0.2">
      <c r="A43" s="441">
        <f t="shared" si="7"/>
        <v>308</v>
      </c>
      <c r="B43" s="306">
        <f t="shared" si="0"/>
        <v>44</v>
      </c>
      <c r="C43" s="306">
        <v>45</v>
      </c>
      <c r="D43" s="160">
        <f t="shared" si="1"/>
        <v>0</v>
      </c>
      <c r="E43" s="199"/>
      <c r="F43" s="200"/>
      <c r="G43" s="201"/>
      <c r="H43" s="201"/>
      <c r="I43" s="201"/>
      <c r="J43" s="201"/>
      <c r="K43" s="201"/>
      <c r="L43" s="202"/>
      <c r="M43" s="199"/>
      <c r="N43" s="161">
        <f t="shared" si="11"/>
        <v>0</v>
      </c>
      <c r="O43" s="162">
        <f t="shared" si="2"/>
        <v>0</v>
      </c>
      <c r="P43" s="297" t="e">
        <f t="shared" si="3"/>
        <v>#DIV/0!</v>
      </c>
      <c r="Q43" s="163">
        <f>'Production data'!E42/100</f>
        <v>0.93556034001602939</v>
      </c>
      <c r="R43" s="300" t="e">
        <f t="shared" si="4"/>
        <v>#DIV/0!</v>
      </c>
      <c r="S43" s="164">
        <f>'Production data'!G42</f>
        <v>160.37125902033537</v>
      </c>
      <c r="T43" s="209"/>
      <c r="U43" s="210"/>
      <c r="V43" s="161">
        <f t="shared" si="8"/>
        <v>0</v>
      </c>
      <c r="W43" s="162">
        <f t="shared" si="9"/>
        <v>0</v>
      </c>
      <c r="X43" s="215"/>
      <c r="Y43" s="368">
        <f>Std!C48</f>
        <v>63.49</v>
      </c>
      <c r="Z43" s="209"/>
      <c r="AA43" s="165" t="str">
        <f t="shared" si="5"/>
        <v/>
      </c>
      <c r="AB43" s="158" t="str">
        <f t="shared" si="6"/>
        <v/>
      </c>
      <c r="AC43" s="215"/>
      <c r="AD43" s="216"/>
      <c r="AE43" s="216"/>
      <c r="AF43" s="166">
        <f t="shared" si="10"/>
        <v>0</v>
      </c>
      <c r="AG43" s="209"/>
      <c r="AH43" s="216"/>
      <c r="AI43" s="371">
        <f>Std!D48</f>
        <v>1903.0584051228739</v>
      </c>
      <c r="AJ43" s="220"/>
      <c r="AL43" s="36"/>
      <c r="AM43" s="42"/>
      <c r="AN43" s="36"/>
    </row>
    <row r="44" spans="1:40" ht="15.75" customHeight="1" x14ac:dyDescent="0.2">
      <c r="A44" s="441">
        <f t="shared" si="7"/>
        <v>315</v>
      </c>
      <c r="B44" s="306">
        <f t="shared" si="0"/>
        <v>45</v>
      </c>
      <c r="C44" s="306">
        <v>46</v>
      </c>
      <c r="D44" s="160">
        <f t="shared" si="1"/>
        <v>0</v>
      </c>
      <c r="E44" s="199"/>
      <c r="F44" s="200"/>
      <c r="G44" s="201"/>
      <c r="H44" s="201"/>
      <c r="I44" s="201"/>
      <c r="J44" s="201"/>
      <c r="K44" s="201"/>
      <c r="L44" s="202"/>
      <c r="M44" s="199"/>
      <c r="N44" s="161">
        <f t="shared" si="11"/>
        <v>0</v>
      </c>
      <c r="O44" s="162">
        <f t="shared" si="2"/>
        <v>0</v>
      </c>
      <c r="P44" s="297" t="e">
        <f t="shared" si="3"/>
        <v>#DIV/0!</v>
      </c>
      <c r="Q44" s="163">
        <f>'Production data'!E43/100</f>
        <v>0.93288283805537831</v>
      </c>
      <c r="R44" s="300" t="e">
        <f t="shared" si="4"/>
        <v>#DIV/0!</v>
      </c>
      <c r="S44" s="164">
        <f>'Production data'!G43</f>
        <v>166.71963867924279</v>
      </c>
      <c r="T44" s="209"/>
      <c r="U44" s="210"/>
      <c r="V44" s="161">
        <f t="shared" si="8"/>
        <v>0</v>
      </c>
      <c r="W44" s="162">
        <f t="shared" si="9"/>
        <v>0</v>
      </c>
      <c r="X44" s="215"/>
      <c r="Y44" s="368">
        <f>Std!C49</f>
        <v>63.51</v>
      </c>
      <c r="Z44" s="209"/>
      <c r="AA44" s="165" t="str">
        <f t="shared" si="5"/>
        <v/>
      </c>
      <c r="AB44" s="158" t="str">
        <f t="shared" si="6"/>
        <v/>
      </c>
      <c r="AC44" s="215"/>
      <c r="AD44" s="216"/>
      <c r="AE44" s="216"/>
      <c r="AF44" s="166">
        <f t="shared" si="10"/>
        <v>0</v>
      </c>
      <c r="AG44" s="209"/>
      <c r="AH44" s="216"/>
      <c r="AI44" s="371">
        <f>Std!D49</f>
        <v>1906.8577292012003</v>
      </c>
      <c r="AJ44" s="220"/>
      <c r="AL44" s="36"/>
      <c r="AM44" s="42"/>
      <c r="AN44" s="36"/>
    </row>
    <row r="45" spans="1:40" ht="15.75" customHeight="1" x14ac:dyDescent="0.2">
      <c r="A45" s="441">
        <f t="shared" si="7"/>
        <v>322</v>
      </c>
      <c r="B45" s="306">
        <f t="shared" si="0"/>
        <v>46</v>
      </c>
      <c r="C45" s="306">
        <v>47</v>
      </c>
      <c r="D45" s="160">
        <f t="shared" si="1"/>
        <v>0</v>
      </c>
      <c r="E45" s="199"/>
      <c r="F45" s="200"/>
      <c r="G45" s="201"/>
      <c r="H45" s="201"/>
      <c r="I45" s="201"/>
      <c r="J45" s="201"/>
      <c r="K45" s="201"/>
      <c r="L45" s="202"/>
      <c r="M45" s="199"/>
      <c r="N45" s="161">
        <f t="shared" si="11"/>
        <v>0</v>
      </c>
      <c r="O45" s="162">
        <f t="shared" si="2"/>
        <v>0</v>
      </c>
      <c r="P45" s="297" t="e">
        <f t="shared" si="3"/>
        <v>#DIV/0!</v>
      </c>
      <c r="Q45" s="163">
        <f>'Production data'!E44/100</f>
        <v>0.92960152580781252</v>
      </c>
      <c r="R45" s="300" t="e">
        <f t="shared" si="4"/>
        <v>#DIV/0!</v>
      </c>
      <c r="S45" s="164">
        <f>'Production data'!G44</f>
        <v>173.03944169229462</v>
      </c>
      <c r="T45" s="209"/>
      <c r="U45" s="210"/>
      <c r="V45" s="161">
        <f t="shared" si="8"/>
        <v>0</v>
      </c>
      <c r="W45" s="162">
        <f t="shared" si="9"/>
        <v>0</v>
      </c>
      <c r="X45" s="215"/>
      <c r="Y45" s="368">
        <f>Std!C50</f>
        <v>63.53</v>
      </c>
      <c r="Z45" s="209"/>
      <c r="AA45" s="165" t="str">
        <f t="shared" si="5"/>
        <v/>
      </c>
      <c r="AB45" s="158" t="str">
        <f t="shared" si="6"/>
        <v/>
      </c>
      <c r="AC45" s="215"/>
      <c r="AD45" s="216"/>
      <c r="AE45" s="216"/>
      <c r="AF45" s="166">
        <f t="shared" si="10"/>
        <v>0</v>
      </c>
      <c r="AG45" s="209"/>
      <c r="AH45" s="216"/>
      <c r="AI45" s="371">
        <f>Std!D50</f>
        <v>1910.4938859177516</v>
      </c>
      <c r="AJ45" s="220"/>
      <c r="AL45" s="36"/>
      <c r="AM45" s="42"/>
      <c r="AN45" s="36"/>
    </row>
    <row r="46" spans="1:40" ht="15.75" customHeight="1" x14ac:dyDescent="0.2">
      <c r="A46" s="441">
        <f t="shared" si="7"/>
        <v>329</v>
      </c>
      <c r="B46" s="306">
        <f t="shared" si="0"/>
        <v>47</v>
      </c>
      <c r="C46" s="306">
        <v>48</v>
      </c>
      <c r="D46" s="160">
        <f t="shared" si="1"/>
        <v>0</v>
      </c>
      <c r="E46" s="199"/>
      <c r="F46" s="200"/>
      <c r="G46" s="201"/>
      <c r="H46" s="201"/>
      <c r="I46" s="201"/>
      <c r="J46" s="201"/>
      <c r="K46" s="201"/>
      <c r="L46" s="202"/>
      <c r="M46" s="199"/>
      <c r="N46" s="161">
        <f t="shared" si="11"/>
        <v>0</v>
      </c>
      <c r="O46" s="162">
        <f t="shared" si="2"/>
        <v>0</v>
      </c>
      <c r="P46" s="297" t="e">
        <f t="shared" si="3"/>
        <v>#DIV/0!</v>
      </c>
      <c r="Q46" s="163">
        <f>'Production data'!E45/100</f>
        <v>0.925493399802093</v>
      </c>
      <c r="R46" s="300" t="e">
        <f t="shared" si="4"/>
        <v>#DIV/0!</v>
      </c>
      <c r="S46" s="164">
        <f>'Production data'!G45</f>
        <v>179.32509670586248</v>
      </c>
      <c r="T46" s="209"/>
      <c r="U46" s="210"/>
      <c r="V46" s="161">
        <f t="shared" si="8"/>
        <v>0</v>
      </c>
      <c r="W46" s="162">
        <f t="shared" si="9"/>
        <v>0</v>
      </c>
      <c r="X46" s="215"/>
      <c r="Y46" s="368">
        <f>Std!C51</f>
        <v>63.58</v>
      </c>
      <c r="Z46" s="209"/>
      <c r="AA46" s="165" t="str">
        <f t="shared" si="5"/>
        <v/>
      </c>
      <c r="AB46" s="158" t="str">
        <f t="shared" si="6"/>
        <v/>
      </c>
      <c r="AC46" s="215"/>
      <c r="AD46" s="216"/>
      <c r="AE46" s="216"/>
      <c r="AF46" s="166">
        <f t="shared" si="10"/>
        <v>0</v>
      </c>
      <c r="AG46" s="209"/>
      <c r="AH46" s="216"/>
      <c r="AI46" s="371">
        <f>Std!D51</f>
        <v>1913.9709479630992</v>
      </c>
      <c r="AJ46" s="220"/>
      <c r="AL46" s="36"/>
      <c r="AM46" s="42"/>
      <c r="AN46" s="36"/>
    </row>
    <row r="47" spans="1:40" ht="15.75" customHeight="1" x14ac:dyDescent="0.2">
      <c r="A47" s="441">
        <f t="shared" si="7"/>
        <v>336</v>
      </c>
      <c r="B47" s="306">
        <f t="shared" si="0"/>
        <v>48</v>
      </c>
      <c r="C47" s="306">
        <v>49</v>
      </c>
      <c r="D47" s="160">
        <f t="shared" si="1"/>
        <v>0</v>
      </c>
      <c r="E47" s="199"/>
      <c r="F47" s="200"/>
      <c r="G47" s="201"/>
      <c r="H47" s="201"/>
      <c r="I47" s="201"/>
      <c r="J47" s="201"/>
      <c r="K47" s="201"/>
      <c r="L47" s="202"/>
      <c r="M47" s="199"/>
      <c r="N47" s="161">
        <f t="shared" si="11"/>
        <v>0</v>
      </c>
      <c r="O47" s="162">
        <f t="shared" si="2"/>
        <v>0</v>
      </c>
      <c r="P47" s="297" t="e">
        <f t="shared" si="3"/>
        <v>#DIV/0!</v>
      </c>
      <c r="Q47" s="163">
        <f>'Production data'!E46/100</f>
        <v>0.92299999999999993</v>
      </c>
      <c r="R47" s="300" t="e">
        <f t="shared" si="4"/>
        <v>#DIV/0!</v>
      </c>
      <c r="S47" s="164">
        <f>'Production data'!G46</f>
        <v>185.58761478586246</v>
      </c>
      <c r="T47" s="209"/>
      <c r="U47" s="210"/>
      <c r="V47" s="161">
        <f t="shared" si="8"/>
        <v>0</v>
      </c>
      <c r="W47" s="162">
        <f t="shared" si="9"/>
        <v>0</v>
      </c>
      <c r="X47" s="215"/>
      <c r="Y47" s="368">
        <f>Std!C52</f>
        <v>63.6</v>
      </c>
      <c r="Z47" s="209"/>
      <c r="AA47" s="165" t="str">
        <f t="shared" si="5"/>
        <v/>
      </c>
      <c r="AB47" s="158" t="str">
        <f t="shared" si="6"/>
        <v/>
      </c>
      <c r="AC47" s="215"/>
      <c r="AD47" s="216"/>
      <c r="AE47" s="216"/>
      <c r="AF47" s="166">
        <f t="shared" si="10"/>
        <v>0</v>
      </c>
      <c r="AG47" s="209"/>
      <c r="AH47" s="216"/>
      <c r="AI47" s="371">
        <f>Std!D52</f>
        <v>1917.2929839118417</v>
      </c>
      <c r="AJ47" s="220"/>
      <c r="AL47" s="36"/>
      <c r="AM47" s="42"/>
      <c r="AN47" s="36"/>
    </row>
    <row r="48" spans="1:40" ht="15.75" customHeight="1" x14ac:dyDescent="0.2">
      <c r="A48" s="441">
        <f t="shared" si="7"/>
        <v>343</v>
      </c>
      <c r="B48" s="306">
        <f t="shared" si="0"/>
        <v>49</v>
      </c>
      <c r="C48" s="306">
        <v>50</v>
      </c>
      <c r="D48" s="160">
        <f t="shared" ref="D48:D79" si="12">IF(OR($G$6="",E48=""),D47,D47-E48)</f>
        <v>0</v>
      </c>
      <c r="E48" s="199"/>
      <c r="F48" s="200"/>
      <c r="G48" s="201"/>
      <c r="H48" s="201"/>
      <c r="I48" s="201"/>
      <c r="J48" s="201"/>
      <c r="K48" s="201"/>
      <c r="L48" s="202"/>
      <c r="M48" s="199"/>
      <c r="N48" s="161">
        <f t="shared" si="11"/>
        <v>0</v>
      </c>
      <c r="O48" s="162">
        <f t="shared" si="2"/>
        <v>0</v>
      </c>
      <c r="P48" s="297" t="e">
        <f t="shared" si="3"/>
        <v>#DIV/0!</v>
      </c>
      <c r="Q48" s="163">
        <f>'Production data'!E47/100</f>
        <v>0.9194</v>
      </c>
      <c r="R48" s="300" t="e">
        <f t="shared" si="4"/>
        <v>#DIV/0!</v>
      </c>
      <c r="S48" s="164">
        <f>'Production data'!G47</f>
        <v>191.81952864186246</v>
      </c>
      <c r="T48" s="209"/>
      <c r="U48" s="210"/>
      <c r="V48" s="161">
        <f t="shared" si="8"/>
        <v>0</v>
      </c>
      <c r="W48" s="162">
        <f t="shared" si="9"/>
        <v>0</v>
      </c>
      <c r="X48" s="215"/>
      <c r="Y48" s="368">
        <f>Std!C53</f>
        <v>63.62</v>
      </c>
      <c r="Z48" s="209"/>
      <c r="AA48" s="165" t="str">
        <f t="shared" si="5"/>
        <v/>
      </c>
      <c r="AB48" s="158" t="str">
        <f t="shared" si="6"/>
        <v/>
      </c>
      <c r="AC48" s="215"/>
      <c r="AD48" s="216"/>
      <c r="AE48" s="216"/>
      <c r="AF48" s="166">
        <f t="shared" si="10"/>
        <v>0</v>
      </c>
      <c r="AG48" s="209"/>
      <c r="AH48" s="216"/>
      <c r="AI48" s="371">
        <f>Std!D53</f>
        <v>1920.4640582226043</v>
      </c>
      <c r="AJ48" s="220"/>
      <c r="AL48" s="36"/>
      <c r="AM48" s="42"/>
      <c r="AN48" s="36"/>
    </row>
    <row r="49" spans="1:40" ht="15.75" customHeight="1" x14ac:dyDescent="0.2">
      <c r="A49" s="441">
        <f t="shared" si="7"/>
        <v>350</v>
      </c>
      <c r="B49" s="306">
        <f t="shared" si="0"/>
        <v>50</v>
      </c>
      <c r="C49" s="306">
        <v>51</v>
      </c>
      <c r="D49" s="160">
        <f t="shared" si="12"/>
        <v>0</v>
      </c>
      <c r="E49" s="199"/>
      <c r="F49" s="200"/>
      <c r="G49" s="201"/>
      <c r="H49" s="201"/>
      <c r="I49" s="201"/>
      <c r="J49" s="201"/>
      <c r="K49" s="201"/>
      <c r="L49" s="202"/>
      <c r="M49" s="199"/>
      <c r="N49" s="161">
        <f t="shared" si="11"/>
        <v>0</v>
      </c>
      <c r="O49" s="162">
        <f t="shared" si="2"/>
        <v>0</v>
      </c>
      <c r="P49" s="297" t="e">
        <f t="shared" si="3"/>
        <v>#DIV/0!</v>
      </c>
      <c r="Q49" s="163">
        <f>'Production data'!E48/100</f>
        <v>0.91606110666657603</v>
      </c>
      <c r="R49" s="300" t="e">
        <f t="shared" si="4"/>
        <v>#DIV/0!</v>
      </c>
      <c r="S49" s="164">
        <f>'Production data'!G48</f>
        <v>198.02265474687729</v>
      </c>
      <c r="T49" s="209"/>
      <c r="U49" s="210"/>
      <c r="V49" s="161">
        <f t="shared" si="8"/>
        <v>0</v>
      </c>
      <c r="W49" s="162">
        <f t="shared" si="9"/>
        <v>0</v>
      </c>
      <c r="X49" s="215"/>
      <c r="Y49" s="368">
        <f>Std!C54</f>
        <v>63.64</v>
      </c>
      <c r="Z49" s="209"/>
      <c r="AA49" s="165" t="str">
        <f t="shared" si="5"/>
        <v/>
      </c>
      <c r="AB49" s="158" t="str">
        <f t="shared" si="6"/>
        <v/>
      </c>
      <c r="AC49" s="215"/>
      <c r="AD49" s="216"/>
      <c r="AE49" s="216"/>
      <c r="AF49" s="166">
        <f t="shared" si="10"/>
        <v>0</v>
      </c>
      <c r="AG49" s="209"/>
      <c r="AH49" s="216"/>
      <c r="AI49" s="371">
        <f>Std!D54</f>
        <v>1923.4882312380375</v>
      </c>
      <c r="AJ49" s="220"/>
      <c r="AL49" s="36"/>
      <c r="AM49" s="42"/>
      <c r="AN49" s="36"/>
    </row>
    <row r="50" spans="1:40" ht="15.75" customHeight="1" x14ac:dyDescent="0.2">
      <c r="A50" s="441">
        <f t="shared" si="7"/>
        <v>357</v>
      </c>
      <c r="B50" s="306">
        <f t="shared" si="0"/>
        <v>51</v>
      </c>
      <c r="C50" s="306">
        <v>52</v>
      </c>
      <c r="D50" s="160">
        <f t="shared" si="12"/>
        <v>0</v>
      </c>
      <c r="E50" s="199"/>
      <c r="F50" s="200"/>
      <c r="G50" s="201"/>
      <c r="H50" s="201"/>
      <c r="I50" s="201"/>
      <c r="J50" s="201"/>
      <c r="K50" s="201"/>
      <c r="L50" s="202"/>
      <c r="M50" s="199"/>
      <c r="N50" s="161">
        <f t="shared" si="11"/>
        <v>0</v>
      </c>
      <c r="O50" s="162">
        <f t="shared" si="2"/>
        <v>0</v>
      </c>
      <c r="P50" s="297" t="e">
        <f t="shared" si="3"/>
        <v>#DIV/0!</v>
      </c>
      <c r="Q50" s="163">
        <f>'Production data'!E49/100</f>
        <v>0.9133</v>
      </c>
      <c r="R50" s="300" t="e">
        <f t="shared" si="4"/>
        <v>#DIV/0!</v>
      </c>
      <c r="S50" s="164">
        <f>'Production data'!G49</f>
        <v>204.20094658687728</v>
      </c>
      <c r="T50" s="209"/>
      <c r="U50" s="210"/>
      <c r="V50" s="161">
        <f t="shared" si="8"/>
        <v>0</v>
      </c>
      <c r="W50" s="162">
        <f t="shared" si="9"/>
        <v>0</v>
      </c>
      <c r="X50" s="215"/>
      <c r="Y50" s="368">
        <f>Std!C55</f>
        <v>63.65</v>
      </c>
      <c r="Z50" s="209"/>
      <c r="AA50" s="165" t="str">
        <f t="shared" si="5"/>
        <v/>
      </c>
      <c r="AB50" s="158" t="str">
        <f t="shared" si="6"/>
        <v/>
      </c>
      <c r="AC50" s="215"/>
      <c r="AD50" s="216"/>
      <c r="AE50" s="216"/>
      <c r="AF50" s="166">
        <f t="shared" si="10"/>
        <v>0</v>
      </c>
      <c r="AG50" s="209"/>
      <c r="AH50" s="216"/>
      <c r="AI50" s="371">
        <f>Std!D55</f>
        <v>1926.3695591848195</v>
      </c>
      <c r="AJ50" s="220"/>
      <c r="AL50" s="36"/>
      <c r="AM50" s="42"/>
      <c r="AN50" s="36"/>
    </row>
    <row r="51" spans="1:40" ht="15.75" customHeight="1" x14ac:dyDescent="0.2">
      <c r="A51" s="441">
        <f t="shared" si="7"/>
        <v>364</v>
      </c>
      <c r="B51" s="306">
        <f t="shared" si="0"/>
        <v>52</v>
      </c>
      <c r="C51" s="306">
        <v>53</v>
      </c>
      <c r="D51" s="160">
        <f t="shared" si="12"/>
        <v>0</v>
      </c>
      <c r="E51" s="199"/>
      <c r="F51" s="200"/>
      <c r="G51" s="201"/>
      <c r="H51" s="201"/>
      <c r="I51" s="201"/>
      <c r="J51" s="201"/>
      <c r="K51" s="201"/>
      <c r="L51" s="202"/>
      <c r="M51" s="199"/>
      <c r="N51" s="161">
        <f t="shared" si="11"/>
        <v>0</v>
      </c>
      <c r="O51" s="162">
        <f t="shared" si="2"/>
        <v>0</v>
      </c>
      <c r="P51" s="297" t="e">
        <f t="shared" si="3"/>
        <v>#DIV/0!</v>
      </c>
      <c r="Q51" s="163">
        <f>'Production data'!E50/100</f>
        <v>0.91019934805801839</v>
      </c>
      <c r="R51" s="300" t="e">
        <f t="shared" si="4"/>
        <v>#DIV/0!</v>
      </c>
      <c r="S51" s="164">
        <f>'Production data'!G50</f>
        <v>210.35214659700119</v>
      </c>
      <c r="T51" s="209"/>
      <c r="U51" s="210"/>
      <c r="V51" s="161">
        <f t="shared" si="8"/>
        <v>0</v>
      </c>
      <c r="W51" s="162">
        <f t="shared" si="9"/>
        <v>0</v>
      </c>
      <c r="X51" s="215"/>
      <c r="Y51" s="368">
        <f>Std!C56</f>
        <v>63.66</v>
      </c>
      <c r="Z51" s="209"/>
      <c r="AA51" s="165" t="str">
        <f t="shared" si="5"/>
        <v/>
      </c>
      <c r="AB51" s="158" t="str">
        <f t="shared" si="6"/>
        <v/>
      </c>
      <c r="AC51" s="215"/>
      <c r="AD51" s="216"/>
      <c r="AE51" s="216"/>
      <c r="AF51" s="166">
        <f t="shared" si="10"/>
        <v>0</v>
      </c>
      <c r="AG51" s="209"/>
      <c r="AH51" s="216"/>
      <c r="AI51" s="371">
        <f>Std!D56</f>
        <v>1929.1120941736554</v>
      </c>
      <c r="AJ51" s="220"/>
      <c r="AN51" s="36"/>
    </row>
    <row r="52" spans="1:40" ht="15.75" customHeight="1" x14ac:dyDescent="0.2">
      <c r="A52" s="441">
        <f t="shared" si="7"/>
        <v>371</v>
      </c>
      <c r="B52" s="306">
        <f t="shared" si="0"/>
        <v>1</v>
      </c>
      <c r="C52" s="306">
        <v>54</v>
      </c>
      <c r="D52" s="160">
        <f t="shared" si="12"/>
        <v>0</v>
      </c>
      <c r="E52" s="199"/>
      <c r="F52" s="200"/>
      <c r="G52" s="201"/>
      <c r="H52" s="201"/>
      <c r="I52" s="201"/>
      <c r="J52" s="201"/>
      <c r="K52" s="201"/>
      <c r="L52" s="202"/>
      <c r="M52" s="199"/>
      <c r="N52" s="161">
        <f t="shared" si="11"/>
        <v>0</v>
      </c>
      <c r="O52" s="162">
        <f t="shared" si="2"/>
        <v>0</v>
      </c>
      <c r="P52" s="297" t="e">
        <f t="shared" si="3"/>
        <v>#DIV/0!</v>
      </c>
      <c r="Q52" s="163">
        <f>'Production data'!E51/100</f>
        <v>0.90697063234176312</v>
      </c>
      <c r="R52" s="300" t="e">
        <f t="shared" si="4"/>
        <v>#DIV/0!</v>
      </c>
      <c r="S52" s="164">
        <f>'Production data'!G51</f>
        <v>216.47543184536806</v>
      </c>
      <c r="T52" s="209"/>
      <c r="U52" s="210"/>
      <c r="V52" s="161">
        <f t="shared" si="8"/>
        <v>0</v>
      </c>
      <c r="W52" s="162">
        <f t="shared" si="9"/>
        <v>0</v>
      </c>
      <c r="X52" s="215"/>
      <c r="Y52" s="368">
        <f>Std!C57</f>
        <v>63.64</v>
      </c>
      <c r="Z52" s="209"/>
      <c r="AA52" s="165" t="str">
        <f t="shared" si="5"/>
        <v/>
      </c>
      <c r="AB52" s="158" t="str">
        <f t="shared" si="6"/>
        <v/>
      </c>
      <c r="AC52" s="215"/>
      <c r="AD52" s="216"/>
      <c r="AE52" s="216"/>
      <c r="AF52" s="166">
        <f t="shared" si="10"/>
        <v>0</v>
      </c>
      <c r="AG52" s="209"/>
      <c r="AH52" s="216"/>
      <c r="AI52" s="371">
        <f>Std!D57</f>
        <v>1931.7198841992767</v>
      </c>
      <c r="AJ52" s="220"/>
      <c r="AM52" s="58"/>
      <c r="AN52" s="36"/>
    </row>
    <row r="53" spans="1:40" ht="15.75" customHeight="1" x14ac:dyDescent="0.2">
      <c r="A53" s="441">
        <f t="shared" si="7"/>
        <v>378</v>
      </c>
      <c r="B53" s="306">
        <f t="shared" si="0"/>
        <v>2</v>
      </c>
      <c r="C53" s="306">
        <v>55</v>
      </c>
      <c r="D53" s="160">
        <f t="shared" si="12"/>
        <v>0</v>
      </c>
      <c r="E53" s="199"/>
      <c r="F53" s="200"/>
      <c r="G53" s="201"/>
      <c r="H53" s="201"/>
      <c r="I53" s="201"/>
      <c r="J53" s="201"/>
      <c r="K53" s="201"/>
      <c r="L53" s="202"/>
      <c r="M53" s="199"/>
      <c r="N53" s="161">
        <f t="shared" si="11"/>
        <v>0</v>
      </c>
      <c r="O53" s="162">
        <f t="shared" si="2"/>
        <v>0</v>
      </c>
      <c r="P53" s="297" t="e">
        <f t="shared" si="3"/>
        <v>#DIV/0!</v>
      </c>
      <c r="Q53" s="163">
        <f>'Production data'!E52/100</f>
        <v>0.90356178521997277</v>
      </c>
      <c r="R53" s="300" t="e">
        <f t="shared" si="4"/>
        <v>#DIV/0!</v>
      </c>
      <c r="S53" s="164">
        <f>'Production data'!G52</f>
        <v>222.5696308044341</v>
      </c>
      <c r="T53" s="209"/>
      <c r="U53" s="210"/>
      <c r="V53" s="161">
        <f t="shared" si="8"/>
        <v>0</v>
      </c>
      <c r="W53" s="162">
        <f t="shared" si="9"/>
        <v>0</v>
      </c>
      <c r="X53" s="215"/>
      <c r="Y53" s="368">
        <f>Std!C58</f>
        <v>63.655254871975345</v>
      </c>
      <c r="Z53" s="209"/>
      <c r="AA53" s="165" t="str">
        <f t="shared" si="5"/>
        <v/>
      </c>
      <c r="AB53" s="158" t="str">
        <f t="shared" si="6"/>
        <v/>
      </c>
      <c r="AC53" s="215"/>
      <c r="AD53" s="216"/>
      <c r="AE53" s="216"/>
      <c r="AF53" s="166">
        <f t="shared" si="10"/>
        <v>0</v>
      </c>
      <c r="AG53" s="209"/>
      <c r="AH53" s="216"/>
      <c r="AI53" s="371">
        <f>Std!D58</f>
        <v>1934.1969731404404</v>
      </c>
      <c r="AJ53" s="220"/>
      <c r="AN53" s="36"/>
    </row>
    <row r="54" spans="1:40" ht="15.75" customHeight="1" x14ac:dyDescent="0.2">
      <c r="A54" s="441">
        <f t="shared" si="7"/>
        <v>385</v>
      </c>
      <c r="B54" s="306">
        <f t="shared" si="0"/>
        <v>3</v>
      </c>
      <c r="C54" s="306">
        <v>56</v>
      </c>
      <c r="D54" s="160">
        <f t="shared" si="12"/>
        <v>0</v>
      </c>
      <c r="E54" s="199"/>
      <c r="F54" s="200"/>
      <c r="G54" s="201"/>
      <c r="H54" s="201"/>
      <c r="I54" s="201"/>
      <c r="J54" s="201"/>
      <c r="K54" s="201"/>
      <c r="L54" s="202"/>
      <c r="M54" s="199"/>
      <c r="N54" s="161">
        <f t="shared" si="11"/>
        <v>0</v>
      </c>
      <c r="O54" s="162">
        <f t="shared" si="2"/>
        <v>0</v>
      </c>
      <c r="P54" s="297" t="e">
        <f t="shared" si="3"/>
        <v>#DIV/0!</v>
      </c>
      <c r="Q54" s="163">
        <f>'Production data'!E53/100</f>
        <v>0.89998605852268299</v>
      </c>
      <c r="R54" s="300" t="e">
        <f t="shared" si="4"/>
        <v>#DIV/0!</v>
      </c>
      <c r="S54" s="164">
        <f>'Production data'!G53</f>
        <v>228.63366486787524</v>
      </c>
      <c r="T54" s="209"/>
      <c r="U54" s="210"/>
      <c r="V54" s="161">
        <f t="shared" si="8"/>
        <v>0</v>
      </c>
      <c r="W54" s="162">
        <f t="shared" si="9"/>
        <v>0</v>
      </c>
      <c r="X54" s="215"/>
      <c r="Y54" s="368">
        <f>Std!C59</f>
        <v>63.68611659004501</v>
      </c>
      <c r="Z54" s="209"/>
      <c r="AA54" s="165" t="str">
        <f t="shared" si="5"/>
        <v/>
      </c>
      <c r="AB54" s="158" t="str">
        <f t="shared" si="6"/>
        <v/>
      </c>
      <c r="AC54" s="215"/>
      <c r="AD54" s="216"/>
      <c r="AE54" s="216"/>
      <c r="AF54" s="166">
        <f t="shared" si="10"/>
        <v>0</v>
      </c>
      <c r="AG54" s="209"/>
      <c r="AH54" s="216"/>
      <c r="AI54" s="371">
        <f>Std!D59</f>
        <v>1936.5474007599307</v>
      </c>
      <c r="AJ54" s="220"/>
      <c r="AN54" s="36"/>
    </row>
    <row r="55" spans="1:40" ht="15.75" customHeight="1" x14ac:dyDescent="0.2">
      <c r="A55" s="441">
        <f t="shared" si="7"/>
        <v>392</v>
      </c>
      <c r="B55" s="306">
        <f t="shared" si="0"/>
        <v>4</v>
      </c>
      <c r="C55" s="306">
        <v>57</v>
      </c>
      <c r="D55" s="160">
        <f t="shared" si="12"/>
        <v>0</v>
      </c>
      <c r="E55" s="199"/>
      <c r="F55" s="200"/>
      <c r="G55" s="201"/>
      <c r="H55" s="201"/>
      <c r="I55" s="201"/>
      <c r="J55" s="201"/>
      <c r="K55" s="201"/>
      <c r="L55" s="202"/>
      <c r="M55" s="199"/>
      <c r="N55" s="161">
        <f t="shared" si="11"/>
        <v>0</v>
      </c>
      <c r="O55" s="162">
        <f t="shared" si="2"/>
        <v>0</v>
      </c>
      <c r="P55" s="297" t="e">
        <f t="shared" si="3"/>
        <v>#DIV/0!</v>
      </c>
      <c r="Q55" s="163">
        <f>'Production data'!E54/100</f>
        <v>0.89625624982248564</v>
      </c>
      <c r="R55" s="300" t="e">
        <f t="shared" si="4"/>
        <v>#DIV/0!</v>
      </c>
      <c r="S55" s="164">
        <f>'Production data'!G54</f>
        <v>234.66654493668034</v>
      </c>
      <c r="T55" s="209"/>
      <c r="U55" s="210"/>
      <c r="V55" s="161">
        <f t="shared" si="8"/>
        <v>0</v>
      </c>
      <c r="W55" s="162">
        <f t="shared" si="9"/>
        <v>0</v>
      </c>
      <c r="X55" s="215"/>
      <c r="Y55" s="368">
        <f>Std!C60</f>
        <v>63.716978308114676</v>
      </c>
      <c r="Z55" s="209"/>
      <c r="AA55" s="165" t="str">
        <f t="shared" si="5"/>
        <v/>
      </c>
      <c r="AB55" s="158" t="str">
        <f t="shared" si="6"/>
        <v/>
      </c>
      <c r="AC55" s="215"/>
      <c r="AD55" s="216"/>
      <c r="AE55" s="216"/>
      <c r="AF55" s="166">
        <f t="shared" si="10"/>
        <v>0</v>
      </c>
      <c r="AG55" s="209"/>
      <c r="AH55" s="216"/>
      <c r="AI55" s="371">
        <f>Std!D60</f>
        <v>1938.775202704559</v>
      </c>
      <c r="AJ55" s="220"/>
      <c r="AN55" s="36"/>
    </row>
    <row r="56" spans="1:40" ht="15.75" customHeight="1" x14ac:dyDescent="0.2">
      <c r="A56" s="441">
        <f t="shared" si="7"/>
        <v>399</v>
      </c>
      <c r="B56" s="306">
        <f t="shared" si="0"/>
        <v>5</v>
      </c>
      <c r="C56" s="306">
        <v>58</v>
      </c>
      <c r="D56" s="160">
        <f t="shared" si="12"/>
        <v>0</v>
      </c>
      <c r="E56" s="199"/>
      <c r="F56" s="200"/>
      <c r="G56" s="201"/>
      <c r="H56" s="201"/>
      <c r="I56" s="201"/>
      <c r="J56" s="201"/>
      <c r="K56" s="201"/>
      <c r="L56" s="202"/>
      <c r="M56" s="199"/>
      <c r="N56" s="161">
        <f t="shared" si="11"/>
        <v>0</v>
      </c>
      <c r="O56" s="162">
        <f t="shared" si="2"/>
        <v>0</v>
      </c>
      <c r="P56" s="297" t="e">
        <f t="shared" si="3"/>
        <v>#DIV/0!</v>
      </c>
      <c r="Q56" s="163">
        <f>'Production data'!E55/100</f>
        <v>0.8923847024345315</v>
      </c>
      <c r="R56" s="300" t="e">
        <f t="shared" si="4"/>
        <v>#DIV/0!</v>
      </c>
      <c r="S56" s="164">
        <f>'Production data'!G55</f>
        <v>240.6673680205073</v>
      </c>
      <c r="T56" s="209"/>
      <c r="U56" s="210"/>
      <c r="V56" s="161">
        <f t="shared" si="8"/>
        <v>0</v>
      </c>
      <c r="W56" s="162">
        <f t="shared" si="9"/>
        <v>0</v>
      </c>
      <c r="X56" s="215"/>
      <c r="Y56" s="368">
        <f>Std!C61</f>
        <v>63.747840026184335</v>
      </c>
      <c r="Z56" s="209"/>
      <c r="AA56" s="165" t="str">
        <f t="shared" si="5"/>
        <v/>
      </c>
      <c r="AB56" s="158" t="str">
        <f t="shared" si="6"/>
        <v/>
      </c>
      <c r="AC56" s="215"/>
      <c r="AD56" s="216"/>
      <c r="AE56" s="216"/>
      <c r="AF56" s="166">
        <f t="shared" si="10"/>
        <v>0</v>
      </c>
      <c r="AG56" s="209"/>
      <c r="AH56" s="216"/>
      <c r="AI56" s="371">
        <f>Std!D61</f>
        <v>1940.8844105051628</v>
      </c>
      <c r="AJ56" s="220"/>
      <c r="AN56" s="36"/>
    </row>
    <row r="57" spans="1:40" ht="15.75" customHeight="1" x14ac:dyDescent="0.2">
      <c r="A57" s="441">
        <f t="shared" si="7"/>
        <v>406</v>
      </c>
      <c r="B57" s="306">
        <f t="shared" si="0"/>
        <v>6</v>
      </c>
      <c r="C57" s="306">
        <v>59</v>
      </c>
      <c r="D57" s="160">
        <f t="shared" si="12"/>
        <v>0</v>
      </c>
      <c r="E57" s="199"/>
      <c r="F57" s="200"/>
      <c r="G57" s="201"/>
      <c r="H57" s="201"/>
      <c r="I57" s="201"/>
      <c r="J57" s="201"/>
      <c r="K57" s="201"/>
      <c r="L57" s="202"/>
      <c r="M57" s="199"/>
      <c r="N57" s="161">
        <f t="shared" si="11"/>
        <v>0</v>
      </c>
      <c r="O57" s="162">
        <f t="shared" si="2"/>
        <v>0</v>
      </c>
      <c r="P57" s="297" t="e">
        <f t="shared" si="3"/>
        <v>#DIV/0!</v>
      </c>
      <c r="Q57" s="163">
        <f>'Production data'!E56/100</f>
        <v>0.88838330541652721</v>
      </c>
      <c r="R57" s="300" t="e">
        <f t="shared" si="4"/>
        <v>#DIV/0!</v>
      </c>
      <c r="S57" s="164">
        <f>'Production data'!G56</f>
        <v>246.63531385430221</v>
      </c>
      <c r="T57" s="209"/>
      <c r="U57" s="210"/>
      <c r="V57" s="161">
        <f t="shared" si="8"/>
        <v>0</v>
      </c>
      <c r="W57" s="162">
        <f t="shared" si="9"/>
        <v>0</v>
      </c>
      <c r="X57" s="215"/>
      <c r="Y57" s="368">
        <f>Std!C62</f>
        <v>63.778701744254001</v>
      </c>
      <c r="Z57" s="209"/>
      <c r="AA57" s="165" t="str">
        <f t="shared" si="5"/>
        <v/>
      </c>
      <c r="AB57" s="158" t="str">
        <f t="shared" si="6"/>
        <v/>
      </c>
      <c r="AC57" s="215"/>
      <c r="AD57" s="216"/>
      <c r="AE57" s="216"/>
      <c r="AF57" s="166">
        <f t="shared" si="10"/>
        <v>0</v>
      </c>
      <c r="AG57" s="209"/>
      <c r="AH57" s="216"/>
      <c r="AI57" s="371">
        <f>Std!D62</f>
        <v>1942.8790515766059</v>
      </c>
      <c r="AJ57" s="220"/>
      <c r="AN57" s="36"/>
    </row>
    <row r="58" spans="1:40" ht="15.75" customHeight="1" x14ac:dyDescent="0.2">
      <c r="A58" s="441">
        <f t="shared" si="7"/>
        <v>413</v>
      </c>
      <c r="B58" s="306">
        <f t="shared" si="0"/>
        <v>7</v>
      </c>
      <c r="C58" s="306">
        <v>60</v>
      </c>
      <c r="D58" s="160">
        <f t="shared" si="12"/>
        <v>0</v>
      </c>
      <c r="E58" s="199"/>
      <c r="F58" s="200"/>
      <c r="G58" s="201"/>
      <c r="H58" s="201"/>
      <c r="I58" s="201"/>
      <c r="J58" s="201"/>
      <c r="K58" s="201"/>
      <c r="L58" s="202"/>
      <c r="M58" s="199"/>
      <c r="N58" s="161">
        <f t="shared" si="11"/>
        <v>0</v>
      </c>
      <c r="O58" s="162">
        <f t="shared" si="2"/>
        <v>0</v>
      </c>
      <c r="P58" s="297" t="e">
        <f t="shared" si="3"/>
        <v>#DIV/0!</v>
      </c>
      <c r="Q58" s="163">
        <f>'Production data'!E57/100</f>
        <v>0.88426349356873868</v>
      </c>
      <c r="R58" s="300" t="e">
        <f t="shared" si="4"/>
        <v>#DIV/0!</v>
      </c>
      <c r="S58" s="164">
        <f>'Production data'!G57</f>
        <v>252.56964153018174</v>
      </c>
      <c r="T58" s="209"/>
      <c r="U58" s="210"/>
      <c r="V58" s="161">
        <f t="shared" si="8"/>
        <v>0</v>
      </c>
      <c r="W58" s="162">
        <f t="shared" si="9"/>
        <v>0</v>
      </c>
      <c r="X58" s="215"/>
      <c r="Y58" s="368">
        <f>Std!C63</f>
        <v>63.809563462323666</v>
      </c>
      <c r="Z58" s="209"/>
      <c r="AA58" s="165" t="str">
        <f t="shared" si="5"/>
        <v/>
      </c>
      <c r="AB58" s="158" t="str">
        <f t="shared" si="6"/>
        <v/>
      </c>
      <c r="AC58" s="215"/>
      <c r="AD58" s="216"/>
      <c r="AE58" s="216"/>
      <c r="AF58" s="166">
        <f t="shared" si="10"/>
        <v>0</v>
      </c>
      <c r="AG58" s="209"/>
      <c r="AH58" s="216"/>
      <c r="AI58" s="371">
        <f>Std!D63</f>
        <v>1944.7631492177793</v>
      </c>
      <c r="AJ58" s="220"/>
      <c r="AN58" s="36"/>
    </row>
    <row r="59" spans="1:40" ht="15.75" customHeight="1" x14ac:dyDescent="0.2">
      <c r="A59" s="441">
        <f t="shared" si="7"/>
        <v>420</v>
      </c>
      <c r="B59" s="306">
        <f t="shared" si="0"/>
        <v>8</v>
      </c>
      <c r="C59" s="306">
        <v>61</v>
      </c>
      <c r="D59" s="160">
        <f t="shared" si="12"/>
        <v>0</v>
      </c>
      <c r="E59" s="199"/>
      <c r="F59" s="200"/>
      <c r="G59" s="201"/>
      <c r="H59" s="201"/>
      <c r="I59" s="201"/>
      <c r="J59" s="201"/>
      <c r="K59" s="201"/>
      <c r="L59" s="202"/>
      <c r="M59" s="199"/>
      <c r="N59" s="161">
        <f t="shared" si="11"/>
        <v>0</v>
      </c>
      <c r="O59" s="162">
        <f t="shared" si="2"/>
        <v>0</v>
      </c>
      <c r="P59" s="297" t="e">
        <f t="shared" si="3"/>
        <v>#DIV/0!</v>
      </c>
      <c r="Q59" s="163">
        <f>'Production data'!E58/100</f>
        <v>0.88003624743398734</v>
      </c>
      <c r="R59" s="300" t="e">
        <f t="shared" si="4"/>
        <v>#DIV/0!</v>
      </c>
      <c r="S59" s="164">
        <f>'Production data'!G58</f>
        <v>258.46968614457836</v>
      </c>
      <c r="T59" s="209"/>
      <c r="U59" s="210"/>
      <c r="V59" s="161">
        <f t="shared" si="8"/>
        <v>0</v>
      </c>
      <c r="W59" s="162">
        <f t="shared" si="9"/>
        <v>0</v>
      </c>
      <c r="X59" s="215"/>
      <c r="Y59" s="368">
        <f>Std!C64</f>
        <v>63.840425180393325</v>
      </c>
      <c r="Z59" s="209"/>
      <c r="AA59" s="165" t="str">
        <f t="shared" si="5"/>
        <v/>
      </c>
      <c r="AB59" s="158" t="str">
        <f t="shared" si="6"/>
        <v/>
      </c>
      <c r="AC59" s="215"/>
      <c r="AD59" s="216"/>
      <c r="AE59" s="216"/>
      <c r="AF59" s="166">
        <f t="shared" si="10"/>
        <v>0</v>
      </c>
      <c r="AG59" s="209"/>
      <c r="AH59" s="216"/>
      <c r="AI59" s="371">
        <f>Std!D64</f>
        <v>1946.5407226115997</v>
      </c>
      <c r="AJ59" s="220"/>
      <c r="AN59" s="36"/>
    </row>
    <row r="60" spans="1:40" ht="15.75" customHeight="1" x14ac:dyDescent="0.2">
      <c r="A60" s="441">
        <f t="shared" si="7"/>
        <v>427</v>
      </c>
      <c r="B60" s="306">
        <f t="shared" si="0"/>
        <v>9</v>
      </c>
      <c r="C60" s="306">
        <v>62</v>
      </c>
      <c r="D60" s="160">
        <f t="shared" si="12"/>
        <v>0</v>
      </c>
      <c r="E60" s="199"/>
      <c r="F60" s="200"/>
      <c r="G60" s="201"/>
      <c r="H60" s="201"/>
      <c r="I60" s="201"/>
      <c r="J60" s="201"/>
      <c r="K60" s="201"/>
      <c r="L60" s="202"/>
      <c r="M60" s="199"/>
      <c r="N60" s="161">
        <f t="shared" si="11"/>
        <v>0</v>
      </c>
      <c r="O60" s="162">
        <f t="shared" si="2"/>
        <v>0</v>
      </c>
      <c r="P60" s="297" t="e">
        <f t="shared" si="3"/>
        <v>#DIV/0!</v>
      </c>
      <c r="Q60" s="163">
        <f>'Production data'!E59/100</f>
        <v>0.8757120932976542</v>
      </c>
      <c r="R60" s="300" t="e">
        <f t="shared" si="4"/>
        <v>#DIV/0!</v>
      </c>
      <c r="S60" s="164">
        <f>'Production data'!G59</f>
        <v>264.33485546064873</v>
      </c>
      <c r="T60" s="209"/>
      <c r="U60" s="210"/>
      <c r="V60" s="161">
        <f t="shared" si="8"/>
        <v>0</v>
      </c>
      <c r="W60" s="162">
        <f t="shared" si="9"/>
        <v>0</v>
      </c>
      <c r="X60" s="215"/>
      <c r="Y60" s="368">
        <f>Std!C65</f>
        <v>63.871286898462991</v>
      </c>
      <c r="Z60" s="209"/>
      <c r="AA60" s="165" t="str">
        <f t="shared" si="5"/>
        <v/>
      </c>
      <c r="AB60" s="158" t="str">
        <f t="shared" si="6"/>
        <v/>
      </c>
      <c r="AC60" s="215"/>
      <c r="AD60" s="216"/>
      <c r="AE60" s="216"/>
      <c r="AF60" s="166">
        <f t="shared" si="10"/>
        <v>0</v>
      </c>
      <c r="AG60" s="209"/>
      <c r="AH60" s="216"/>
      <c r="AI60" s="371">
        <f>Std!D65</f>
        <v>1948.215786825011</v>
      </c>
      <c r="AJ60" s="220"/>
      <c r="AN60" s="36"/>
    </row>
    <row r="61" spans="1:40" ht="15.75" customHeight="1" x14ac:dyDescent="0.2">
      <c r="A61" s="441">
        <f t="shared" si="7"/>
        <v>434</v>
      </c>
      <c r="B61" s="306">
        <f t="shared" si="0"/>
        <v>10</v>
      </c>
      <c r="C61" s="306">
        <v>63</v>
      </c>
      <c r="D61" s="160">
        <f t="shared" si="12"/>
        <v>0</v>
      </c>
      <c r="E61" s="199"/>
      <c r="F61" s="200"/>
      <c r="G61" s="201"/>
      <c r="H61" s="201"/>
      <c r="I61" s="201"/>
      <c r="J61" s="201"/>
      <c r="K61" s="201"/>
      <c r="L61" s="202"/>
      <c r="M61" s="199"/>
      <c r="N61" s="161">
        <f t="shared" si="11"/>
        <v>0</v>
      </c>
      <c r="O61" s="162">
        <f t="shared" si="2"/>
        <v>0</v>
      </c>
      <c r="P61" s="297" t="e">
        <f t="shared" si="3"/>
        <v>#DIV/0!</v>
      </c>
      <c r="Q61" s="163">
        <f>'Production data'!E60/100</f>
        <v>0.87130110318767739</v>
      </c>
      <c r="R61" s="300" t="e">
        <f t="shared" si="4"/>
        <v>#DIV/0!</v>
      </c>
      <c r="S61" s="164">
        <f>'Production data'!G60</f>
        <v>270.16462658594509</v>
      </c>
      <c r="T61" s="209"/>
      <c r="U61" s="210"/>
      <c r="V61" s="161">
        <f t="shared" si="8"/>
        <v>0</v>
      </c>
      <c r="W61" s="162">
        <f t="shared" si="9"/>
        <v>0</v>
      </c>
      <c r="X61" s="215"/>
      <c r="Y61" s="368">
        <f>Std!C66</f>
        <v>63.902148616532656</v>
      </c>
      <c r="Z61" s="209"/>
      <c r="AA61" s="165" t="str">
        <f t="shared" si="5"/>
        <v/>
      </c>
      <c r="AB61" s="158" t="str">
        <f t="shared" si="6"/>
        <v/>
      </c>
      <c r="AC61" s="215"/>
      <c r="AD61" s="216"/>
      <c r="AE61" s="216"/>
      <c r="AF61" s="166">
        <f t="shared" si="10"/>
        <v>0</v>
      </c>
      <c r="AG61" s="209"/>
      <c r="AH61" s="216"/>
      <c r="AI61" s="371">
        <f>Std!D66</f>
        <v>1949.7923528089837</v>
      </c>
      <c r="AJ61" s="220"/>
      <c r="AN61" s="36"/>
    </row>
    <row r="62" spans="1:40" ht="15.75" customHeight="1" x14ac:dyDescent="0.2">
      <c r="A62" s="441">
        <f t="shared" si="7"/>
        <v>441</v>
      </c>
      <c r="B62" s="306">
        <f t="shared" si="0"/>
        <v>11</v>
      </c>
      <c r="C62" s="306">
        <v>64</v>
      </c>
      <c r="D62" s="160">
        <f t="shared" si="12"/>
        <v>0</v>
      </c>
      <c r="E62" s="199"/>
      <c r="F62" s="200"/>
      <c r="G62" s="201"/>
      <c r="H62" s="201"/>
      <c r="I62" s="201"/>
      <c r="J62" s="201"/>
      <c r="K62" s="201"/>
      <c r="L62" s="202"/>
      <c r="M62" s="199"/>
      <c r="N62" s="161">
        <f t="shared" si="11"/>
        <v>0</v>
      </c>
      <c r="O62" s="162">
        <f t="shared" si="2"/>
        <v>0</v>
      </c>
      <c r="P62" s="297" t="e">
        <f t="shared" si="3"/>
        <v>#DIV/0!</v>
      </c>
      <c r="Q62" s="163">
        <f>'Production data'!E61/100</f>
        <v>0.86681289487455104</v>
      </c>
      <c r="R62" s="300" t="e">
        <f t="shared" si="4"/>
        <v>#DIV/0!</v>
      </c>
      <c r="S62" s="164">
        <f>'Production data'!G61</f>
        <v>275.95854266534974</v>
      </c>
      <c r="T62" s="209"/>
      <c r="U62" s="210"/>
      <c r="V62" s="161">
        <f t="shared" si="8"/>
        <v>0</v>
      </c>
      <c r="W62" s="162">
        <f t="shared" si="9"/>
        <v>0</v>
      </c>
      <c r="X62" s="215"/>
      <c r="Y62" s="368">
        <f>Std!C67</f>
        <v>63.933010334602315</v>
      </c>
      <c r="Z62" s="209"/>
      <c r="AA62" s="165" t="str">
        <f t="shared" si="5"/>
        <v/>
      </c>
      <c r="AB62" s="158" t="str">
        <f t="shared" si="6"/>
        <v/>
      </c>
      <c r="AC62" s="215"/>
      <c r="AD62" s="216"/>
      <c r="AE62" s="216"/>
      <c r="AF62" s="166">
        <f t="shared" si="10"/>
        <v>0</v>
      </c>
      <c r="AG62" s="209"/>
      <c r="AH62" s="216"/>
      <c r="AI62" s="371">
        <f>Std!D67</f>
        <v>1951.2744273985134</v>
      </c>
      <c r="AJ62" s="220"/>
      <c r="AN62" s="36"/>
    </row>
    <row r="63" spans="1:40" ht="15.75" customHeight="1" x14ac:dyDescent="0.2">
      <c r="A63" s="441">
        <f t="shared" si="7"/>
        <v>448</v>
      </c>
      <c r="B63" s="306">
        <f t="shared" si="0"/>
        <v>12</v>
      </c>
      <c r="C63" s="306">
        <v>65</v>
      </c>
      <c r="D63" s="160">
        <f t="shared" si="12"/>
        <v>0</v>
      </c>
      <c r="E63" s="199"/>
      <c r="F63" s="200"/>
      <c r="G63" s="201"/>
      <c r="H63" s="201"/>
      <c r="I63" s="201"/>
      <c r="J63" s="201"/>
      <c r="K63" s="201"/>
      <c r="L63" s="202"/>
      <c r="M63" s="199"/>
      <c r="N63" s="161">
        <f t="shared" si="11"/>
        <v>0</v>
      </c>
      <c r="O63" s="162">
        <f t="shared" si="2"/>
        <v>0</v>
      </c>
      <c r="P63" s="297" t="e">
        <f t="shared" si="3"/>
        <v>#DIV/0!</v>
      </c>
      <c r="Q63" s="163">
        <f>'Production data'!E62/100</f>
        <v>0.86225663187132862</v>
      </c>
      <c r="R63" s="300" t="e">
        <f t="shared" si="4"/>
        <v>#DIV/0!</v>
      </c>
      <c r="S63" s="164">
        <f>'Production data'!G62</f>
        <v>281.71620958927264</v>
      </c>
      <c r="T63" s="209"/>
      <c r="U63" s="210"/>
      <c r="V63" s="161">
        <f t="shared" si="8"/>
        <v>0</v>
      </c>
      <c r="W63" s="162">
        <f t="shared" si="9"/>
        <v>0</v>
      </c>
      <c r="X63" s="215"/>
      <c r="Y63" s="368">
        <f>Std!C68</f>
        <v>63.963872052671981</v>
      </c>
      <c r="Z63" s="209"/>
      <c r="AA63" s="165" t="str">
        <f t="shared" si="5"/>
        <v/>
      </c>
      <c r="AB63" s="158" t="str">
        <f t="shared" si="6"/>
        <v/>
      </c>
      <c r="AC63" s="215"/>
      <c r="AD63" s="216"/>
      <c r="AE63" s="216"/>
      <c r="AF63" s="166">
        <f t="shared" si="10"/>
        <v>0</v>
      </c>
      <c r="AG63" s="209"/>
      <c r="AH63" s="216"/>
      <c r="AI63" s="371">
        <f>Std!D68</f>
        <v>1952.6660133126259</v>
      </c>
      <c r="AJ63" s="220"/>
      <c r="AN63" s="36"/>
    </row>
    <row r="64" spans="1:40" ht="15.75" customHeight="1" x14ac:dyDescent="0.2">
      <c r="A64" s="441">
        <f t="shared" si="7"/>
        <v>455</v>
      </c>
      <c r="B64" s="306">
        <f t="shared" si="0"/>
        <v>13</v>
      </c>
      <c r="C64" s="306">
        <v>66</v>
      </c>
      <c r="D64" s="160">
        <f t="shared" si="12"/>
        <v>0</v>
      </c>
      <c r="E64" s="199"/>
      <c r="F64" s="200"/>
      <c r="G64" s="201"/>
      <c r="H64" s="201"/>
      <c r="I64" s="201"/>
      <c r="J64" s="201"/>
      <c r="K64" s="201"/>
      <c r="L64" s="202"/>
      <c r="M64" s="199"/>
      <c r="N64" s="161">
        <f t="shared" si="11"/>
        <v>0</v>
      </c>
      <c r="O64" s="162">
        <f t="shared" si="2"/>
        <v>0</v>
      </c>
      <c r="P64" s="297" t="e">
        <f t="shared" si="3"/>
        <v>#DIV/0!</v>
      </c>
      <c r="Q64" s="163">
        <f>'Production data'!E63/100</f>
        <v>0.85764102343362059</v>
      </c>
      <c r="R64" s="300" t="e">
        <f t="shared" si="4"/>
        <v>#DIV/0!</v>
      </c>
      <c r="S64" s="164">
        <f>'Production data'!G63</f>
        <v>287.43729271711175</v>
      </c>
      <c r="T64" s="209"/>
      <c r="U64" s="210"/>
      <c r="V64" s="161">
        <f t="shared" si="8"/>
        <v>0</v>
      </c>
      <c r="W64" s="162">
        <f t="shared" si="9"/>
        <v>0</v>
      </c>
      <c r="X64" s="215"/>
      <c r="Y64" s="368">
        <f>Std!C69</f>
        <v>63.994733770741647</v>
      </c>
      <c r="Z64" s="209"/>
      <c r="AA64" s="165" t="str">
        <f t="shared" si="5"/>
        <v/>
      </c>
      <c r="AB64" s="158" t="str">
        <f t="shared" si="6"/>
        <v/>
      </c>
      <c r="AC64" s="215"/>
      <c r="AD64" s="216"/>
      <c r="AE64" s="216"/>
      <c r="AF64" s="166">
        <f t="shared" si="10"/>
        <v>0</v>
      </c>
      <c r="AG64" s="209"/>
      <c r="AH64" s="216"/>
      <c r="AI64" s="371">
        <f>Std!D69</f>
        <v>1953.9711091543686</v>
      </c>
      <c r="AJ64" s="220"/>
      <c r="AN64" s="36"/>
    </row>
    <row r="65" spans="1:40" ht="15.75" customHeight="1" x14ac:dyDescent="0.2">
      <c r="A65" s="441">
        <f t="shared" si="7"/>
        <v>462</v>
      </c>
      <c r="B65" s="306">
        <f t="shared" si="0"/>
        <v>14</v>
      </c>
      <c r="C65" s="306">
        <v>67</v>
      </c>
      <c r="D65" s="160">
        <f t="shared" si="12"/>
        <v>0</v>
      </c>
      <c r="E65" s="199"/>
      <c r="F65" s="200"/>
      <c r="G65" s="201"/>
      <c r="H65" s="201"/>
      <c r="I65" s="201"/>
      <c r="J65" s="201"/>
      <c r="K65" s="201"/>
      <c r="L65" s="202"/>
      <c r="M65" s="199"/>
      <c r="N65" s="161">
        <f t="shared" si="11"/>
        <v>0</v>
      </c>
      <c r="O65" s="162">
        <f t="shared" si="2"/>
        <v>0</v>
      </c>
      <c r="P65" s="297" t="e">
        <f t="shared" si="3"/>
        <v>#DIV/0!</v>
      </c>
      <c r="Q65" s="163">
        <f>'Production data'!E64/100</f>
        <v>0.85297432455959443</v>
      </c>
      <c r="R65" s="300" t="e">
        <f t="shared" si="4"/>
        <v>#DIV/0!</v>
      </c>
      <c r="S65" s="164">
        <f>'Production data'!G64</f>
        <v>293.12151361597688</v>
      </c>
      <c r="T65" s="209"/>
      <c r="U65" s="210"/>
      <c r="V65" s="161">
        <f t="shared" si="8"/>
        <v>0</v>
      </c>
      <c r="W65" s="162">
        <f t="shared" si="9"/>
        <v>0</v>
      </c>
      <c r="X65" s="215"/>
      <c r="Y65" s="368">
        <f>Std!C70</f>
        <v>64.025595488811305</v>
      </c>
      <c r="Z65" s="209"/>
      <c r="AA65" s="165" t="str">
        <f t="shared" si="5"/>
        <v/>
      </c>
      <c r="AB65" s="158" t="str">
        <f t="shared" si="6"/>
        <v/>
      </c>
      <c r="AC65" s="215"/>
      <c r="AD65" s="216"/>
      <c r="AE65" s="216"/>
      <c r="AF65" s="166">
        <f t="shared" si="10"/>
        <v>0</v>
      </c>
      <c r="AG65" s="209"/>
      <c r="AH65" s="216"/>
      <c r="AI65" s="371">
        <f>Std!D70</f>
        <v>1955.19370941082</v>
      </c>
      <c r="AJ65" s="220"/>
      <c r="AN65" s="36"/>
    </row>
    <row r="66" spans="1:40" ht="15.75" customHeight="1" x14ac:dyDescent="0.2">
      <c r="A66" s="441">
        <f t="shared" si="7"/>
        <v>469</v>
      </c>
      <c r="B66" s="306">
        <f t="shared" si="0"/>
        <v>15</v>
      </c>
      <c r="C66" s="306">
        <v>68</v>
      </c>
      <c r="D66" s="160">
        <f t="shared" si="12"/>
        <v>0</v>
      </c>
      <c r="E66" s="199"/>
      <c r="F66" s="200"/>
      <c r="G66" s="201"/>
      <c r="H66" s="201"/>
      <c r="I66" s="201"/>
      <c r="J66" s="201"/>
      <c r="K66" s="201"/>
      <c r="L66" s="202"/>
      <c r="M66" s="199"/>
      <c r="N66" s="161">
        <f t="shared" si="11"/>
        <v>0</v>
      </c>
      <c r="O66" s="162">
        <f t="shared" si="2"/>
        <v>0</v>
      </c>
      <c r="P66" s="297" t="e">
        <f t="shared" si="3"/>
        <v>#DIV/0!</v>
      </c>
      <c r="Q66" s="163">
        <f>'Production data'!E65/100</f>
        <v>0.84826433598997619</v>
      </c>
      <c r="R66" s="300" t="e">
        <f t="shared" si="4"/>
        <v>#DIV/0!</v>
      </c>
      <c r="S66" s="164">
        <f>'Production data'!G65</f>
        <v>298.76864681467623</v>
      </c>
      <c r="T66" s="209"/>
      <c r="U66" s="210"/>
      <c r="V66" s="161">
        <f t="shared" si="8"/>
        <v>0</v>
      </c>
      <c r="W66" s="162">
        <f t="shared" si="9"/>
        <v>0</v>
      </c>
      <c r="X66" s="215"/>
      <c r="Y66" s="368">
        <f>Std!C71</f>
        <v>64.056457206880978</v>
      </c>
      <c r="Z66" s="209"/>
      <c r="AA66" s="165" t="str">
        <f t="shared" si="5"/>
        <v/>
      </c>
      <c r="AB66" s="158" t="str">
        <f t="shared" si="6"/>
        <v/>
      </c>
      <c r="AC66" s="215"/>
      <c r="AD66" s="216"/>
      <c r="AE66" s="216"/>
      <c r="AF66" s="166">
        <f t="shared" si="10"/>
        <v>0</v>
      </c>
      <c r="AG66" s="209"/>
      <c r="AH66" s="216"/>
      <c r="AI66" s="371">
        <f>Std!D71</f>
        <v>1956.3378044530825</v>
      </c>
      <c r="AJ66" s="220"/>
      <c r="AN66" s="36"/>
    </row>
    <row r="67" spans="1:40" ht="15.75" customHeight="1" x14ac:dyDescent="0.2">
      <c r="A67" s="441">
        <f t="shared" si="7"/>
        <v>476</v>
      </c>
      <c r="B67" s="306">
        <f t="shared" si="0"/>
        <v>16</v>
      </c>
      <c r="C67" s="306">
        <v>69</v>
      </c>
      <c r="D67" s="160">
        <f t="shared" si="12"/>
        <v>0</v>
      </c>
      <c r="E67" s="199"/>
      <c r="F67" s="200"/>
      <c r="G67" s="201"/>
      <c r="H67" s="201"/>
      <c r="I67" s="201"/>
      <c r="J67" s="201"/>
      <c r="K67" s="201"/>
      <c r="L67" s="202"/>
      <c r="M67" s="199"/>
      <c r="N67" s="161">
        <f t="shared" si="11"/>
        <v>0</v>
      </c>
      <c r="O67" s="162">
        <f t="shared" si="2"/>
        <v>0</v>
      </c>
      <c r="P67" s="297" t="e">
        <f t="shared" si="3"/>
        <v>#DIV/0!</v>
      </c>
      <c r="Q67" s="163">
        <f>'Production data'!E66/100</f>
        <v>0.84351840420804891</v>
      </c>
      <c r="R67" s="300" t="e">
        <f t="shared" si="4"/>
        <v>#DIV/0!</v>
      </c>
      <c r="S67" s="164">
        <f>'Production data'!G66</f>
        <v>304.37851657296608</v>
      </c>
      <c r="T67" s="209"/>
      <c r="U67" s="210"/>
      <c r="V67" s="161">
        <f t="shared" si="8"/>
        <v>0</v>
      </c>
      <c r="W67" s="162">
        <f t="shared" si="9"/>
        <v>0</v>
      </c>
      <c r="X67" s="215"/>
      <c r="Y67" s="368">
        <f>Std!C72</f>
        <v>64.087318924950637</v>
      </c>
      <c r="Z67" s="209"/>
      <c r="AA67" s="165" t="str">
        <f t="shared" si="5"/>
        <v/>
      </c>
      <c r="AB67" s="158" t="str">
        <f t="shared" si="6"/>
        <v/>
      </c>
      <c r="AC67" s="215"/>
      <c r="AD67" s="216"/>
      <c r="AE67" s="216"/>
      <c r="AF67" s="166">
        <f t="shared" si="10"/>
        <v>0</v>
      </c>
      <c r="AG67" s="209"/>
      <c r="AH67" s="216"/>
      <c r="AI67" s="371">
        <f>Std!D72</f>
        <v>1957.4073805362857</v>
      </c>
      <c r="AJ67" s="220"/>
      <c r="AN67" s="36"/>
    </row>
    <row r="68" spans="1:40" ht="15.75" customHeight="1" x14ac:dyDescent="0.2">
      <c r="A68" s="441">
        <f t="shared" si="7"/>
        <v>483</v>
      </c>
      <c r="B68" s="306">
        <f t="shared" si="0"/>
        <v>17</v>
      </c>
      <c r="C68" s="306">
        <v>70</v>
      </c>
      <c r="D68" s="160">
        <f t="shared" si="12"/>
        <v>0</v>
      </c>
      <c r="E68" s="199"/>
      <c r="F68" s="200"/>
      <c r="G68" s="201"/>
      <c r="H68" s="201"/>
      <c r="I68" s="201"/>
      <c r="J68" s="201"/>
      <c r="K68" s="201"/>
      <c r="L68" s="202"/>
      <c r="M68" s="199"/>
      <c r="N68" s="161">
        <f t="shared" si="11"/>
        <v>0</v>
      </c>
      <c r="O68" s="162">
        <f t="shared" si="2"/>
        <v>0</v>
      </c>
      <c r="P68" s="297" t="e">
        <f t="shared" si="3"/>
        <v>#DIV/0!</v>
      </c>
      <c r="Q68" s="163">
        <f>'Production data'!E67/100</f>
        <v>0.83874342143965319</v>
      </c>
      <c r="R68" s="300" t="e">
        <f t="shared" si="4"/>
        <v>#DIV/0!</v>
      </c>
      <c r="S68" s="164">
        <f>'Production data'!G67</f>
        <v>309.95099366606371</v>
      </c>
      <c r="T68" s="209"/>
      <c r="U68" s="210"/>
      <c r="V68" s="161">
        <f t="shared" si="8"/>
        <v>0</v>
      </c>
      <c r="W68" s="162">
        <f t="shared" si="9"/>
        <v>0</v>
      </c>
      <c r="X68" s="215"/>
      <c r="Y68" s="368">
        <f>Std!C73</f>
        <v>64.118180643020295</v>
      </c>
      <c r="Z68" s="209"/>
      <c r="AA68" s="165" t="str">
        <f t="shared" si="5"/>
        <v/>
      </c>
      <c r="AB68" s="158" t="str">
        <f t="shared" si="6"/>
        <v/>
      </c>
      <c r="AC68" s="215"/>
      <c r="AD68" s="216"/>
      <c r="AE68" s="216"/>
      <c r="AF68" s="166">
        <f t="shared" si="10"/>
        <v>0</v>
      </c>
      <c r="AG68" s="209"/>
      <c r="AH68" s="216"/>
      <c r="AI68" s="371">
        <f>Std!D73</f>
        <v>1958.406419799586</v>
      </c>
      <c r="AJ68" s="220"/>
      <c r="AN68" s="36"/>
    </row>
    <row r="69" spans="1:40" ht="15.75" customHeight="1" x14ac:dyDescent="0.2">
      <c r="A69" s="441">
        <f t="shared" si="7"/>
        <v>490</v>
      </c>
      <c r="B69" s="306">
        <f t="shared" si="0"/>
        <v>18</v>
      </c>
      <c r="C69" s="306">
        <v>71</v>
      </c>
      <c r="D69" s="160">
        <f t="shared" si="12"/>
        <v>0</v>
      </c>
      <c r="E69" s="199"/>
      <c r="F69" s="200"/>
      <c r="G69" s="201"/>
      <c r="H69" s="201"/>
      <c r="I69" s="201"/>
      <c r="J69" s="201"/>
      <c r="K69" s="201"/>
      <c r="L69" s="202"/>
      <c r="M69" s="199"/>
      <c r="N69" s="161">
        <f t="shared" si="11"/>
        <v>0</v>
      </c>
      <c r="O69" s="162">
        <f t="shared" si="2"/>
        <v>0</v>
      </c>
      <c r="P69" s="297" t="e">
        <f t="shared" si="3"/>
        <v>#DIV/0!</v>
      </c>
      <c r="Q69" s="163">
        <f>'Production data'!E68/100</f>
        <v>0.83394582565318687</v>
      </c>
      <c r="R69" s="300" t="e">
        <f t="shared" si="4"/>
        <v>#DIV/0!</v>
      </c>
      <c r="S69" s="164">
        <f>'Production data'!G68</f>
        <v>315.48599218442297</v>
      </c>
      <c r="T69" s="209"/>
      <c r="U69" s="210"/>
      <c r="V69" s="161">
        <f t="shared" si="8"/>
        <v>0</v>
      </c>
      <c r="W69" s="162">
        <f t="shared" si="9"/>
        <v>0</v>
      </c>
      <c r="X69" s="215"/>
      <c r="Y69" s="368">
        <f>Std!C74</f>
        <v>64.149042361089968</v>
      </c>
      <c r="Z69" s="209"/>
      <c r="AA69" s="165" t="str">
        <f t="shared" si="5"/>
        <v/>
      </c>
      <c r="AB69" s="158" t="str">
        <f t="shared" si="6"/>
        <v/>
      </c>
      <c r="AC69" s="215"/>
      <c r="AD69" s="216"/>
      <c r="AE69" s="216"/>
      <c r="AF69" s="166">
        <f t="shared" si="10"/>
        <v>0</v>
      </c>
      <c r="AG69" s="209"/>
      <c r="AH69" s="216"/>
      <c r="AI69" s="371">
        <f>Std!D74</f>
        <v>1959.3389002661665</v>
      </c>
      <c r="AJ69" s="220"/>
      <c r="AN69" s="36"/>
    </row>
    <row r="70" spans="1:40" ht="15.75" customHeight="1" x14ac:dyDescent="0.2">
      <c r="A70" s="441">
        <f t="shared" si="7"/>
        <v>497</v>
      </c>
      <c r="B70" s="306">
        <f t="shared" si="0"/>
        <v>19</v>
      </c>
      <c r="C70" s="306">
        <v>72</v>
      </c>
      <c r="D70" s="160">
        <f t="shared" si="12"/>
        <v>0</v>
      </c>
      <c r="E70" s="199"/>
      <c r="F70" s="200"/>
      <c r="G70" s="201"/>
      <c r="H70" s="201"/>
      <c r="I70" s="201"/>
      <c r="J70" s="201"/>
      <c r="K70" s="201"/>
      <c r="L70" s="202"/>
      <c r="M70" s="199"/>
      <c r="N70" s="161">
        <f t="shared" si="11"/>
        <v>0</v>
      </c>
      <c r="O70" s="162">
        <f t="shared" si="2"/>
        <v>0</v>
      </c>
      <c r="P70" s="297" t="e">
        <f t="shared" si="3"/>
        <v>#DIV/0!</v>
      </c>
      <c r="Q70" s="163">
        <f>'Production data'!E69/100</f>
        <v>0.829131600559606</v>
      </c>
      <c r="R70" s="300" t="e">
        <f t="shared" si="4"/>
        <v>#DIV/0!</v>
      </c>
      <c r="S70" s="164">
        <f>'Production data'!G69</f>
        <v>320.98346634877339</v>
      </c>
      <c r="T70" s="209"/>
      <c r="U70" s="210"/>
      <c r="V70" s="161">
        <f t="shared" si="8"/>
        <v>0</v>
      </c>
      <c r="W70" s="162">
        <f t="shared" si="9"/>
        <v>0</v>
      </c>
      <c r="X70" s="215"/>
      <c r="Y70" s="368">
        <f>Std!C75</f>
        <v>64.179904079159627</v>
      </c>
      <c r="Z70" s="209"/>
      <c r="AA70" s="165" t="str">
        <f t="shared" si="5"/>
        <v/>
      </c>
      <c r="AB70" s="158" t="str">
        <f t="shared" si="6"/>
        <v/>
      </c>
      <c r="AC70" s="215"/>
      <c r="AD70" s="216"/>
      <c r="AE70" s="216"/>
      <c r="AF70" s="166">
        <f t="shared" si="10"/>
        <v>0</v>
      </c>
      <c r="AG70" s="209"/>
      <c r="AH70" s="216"/>
      <c r="AI70" s="371">
        <f>Std!D75</f>
        <v>1960.2087958432362</v>
      </c>
      <c r="AJ70" s="220"/>
      <c r="AN70" s="36"/>
    </row>
    <row r="71" spans="1:40" ht="15.75" customHeight="1" x14ac:dyDescent="0.2">
      <c r="A71" s="441">
        <f t="shared" si="7"/>
        <v>504</v>
      </c>
      <c r="B71" s="306">
        <f t="shared" si="0"/>
        <v>20</v>
      </c>
      <c r="C71" s="306">
        <v>73</v>
      </c>
      <c r="D71" s="160">
        <f t="shared" si="12"/>
        <v>0</v>
      </c>
      <c r="E71" s="199"/>
      <c r="F71" s="200"/>
      <c r="G71" s="201"/>
      <c r="H71" s="201"/>
      <c r="I71" s="201"/>
      <c r="J71" s="201"/>
      <c r="K71" s="201"/>
      <c r="L71" s="202"/>
      <c r="M71" s="199"/>
      <c r="N71" s="161">
        <f t="shared" si="11"/>
        <v>0</v>
      </c>
      <c r="O71" s="162">
        <f t="shared" si="2"/>
        <v>0</v>
      </c>
      <c r="P71" s="297" t="e">
        <f t="shared" si="3"/>
        <v>#DIV/0!</v>
      </c>
      <c r="Q71" s="163">
        <f>'Production data'!E70/100</f>
        <v>0.82430627561242442</v>
      </c>
      <c r="R71" s="300" t="e">
        <f t="shared" si="4"/>
        <v>#DIV/0!</v>
      </c>
      <c r="S71" s="164">
        <f>'Production data'!G70</f>
        <v>326.44340734042186</v>
      </c>
      <c r="T71" s="209"/>
      <c r="U71" s="210"/>
      <c r="V71" s="161">
        <f t="shared" si="8"/>
        <v>0</v>
      </c>
      <c r="W71" s="162">
        <f t="shared" si="9"/>
        <v>0</v>
      </c>
      <c r="X71" s="215"/>
      <c r="Y71" s="368">
        <f>Std!C76</f>
        <v>64.210765797229286</v>
      </c>
      <c r="Z71" s="209"/>
      <c r="AA71" s="165" t="str">
        <f t="shared" si="5"/>
        <v/>
      </c>
      <c r="AB71" s="158" t="str">
        <f t="shared" si="6"/>
        <v/>
      </c>
      <c r="AC71" s="215"/>
      <c r="AD71" s="216"/>
      <c r="AE71" s="216"/>
      <c r="AF71" s="166">
        <f t="shared" si="10"/>
        <v>0</v>
      </c>
      <c r="AG71" s="209"/>
      <c r="AH71" s="216"/>
      <c r="AI71" s="371">
        <f>Std!D76</f>
        <v>1961.0200763220321</v>
      </c>
      <c r="AJ71" s="220"/>
      <c r="AN71" s="36"/>
    </row>
    <row r="72" spans="1:40" ht="15.75" customHeight="1" x14ac:dyDescent="0.2">
      <c r="A72" s="441">
        <f t="shared" si="7"/>
        <v>511</v>
      </c>
      <c r="B72" s="306">
        <f t="shared" si="0"/>
        <v>21</v>
      </c>
      <c r="C72" s="306">
        <v>74</v>
      </c>
      <c r="D72" s="160">
        <f t="shared" si="12"/>
        <v>0</v>
      </c>
      <c r="E72" s="199"/>
      <c r="F72" s="200"/>
      <c r="G72" s="201"/>
      <c r="H72" s="201"/>
      <c r="I72" s="201"/>
      <c r="J72" s="201"/>
      <c r="K72" s="201"/>
      <c r="L72" s="202"/>
      <c r="M72" s="199"/>
      <c r="N72" s="161">
        <f t="shared" si="11"/>
        <v>0</v>
      </c>
      <c r="O72" s="162">
        <f t="shared" si="2"/>
        <v>0</v>
      </c>
      <c r="P72" s="297" t="e">
        <f t="shared" si="3"/>
        <v>#DIV/0!</v>
      </c>
      <c r="Q72" s="163">
        <f>'Production data'!E71/100</f>
        <v>0.81947492600771255</v>
      </c>
      <c r="R72" s="300" t="e">
        <f t="shared" si="4"/>
        <v>#DIV/0!</v>
      </c>
      <c r="S72" s="164">
        <f>'Production data'!G71</f>
        <v>331.86584014681785</v>
      </c>
      <c r="T72" s="209"/>
      <c r="U72" s="210"/>
      <c r="V72" s="161">
        <f t="shared" si="8"/>
        <v>0</v>
      </c>
      <c r="W72" s="162">
        <f t="shared" si="9"/>
        <v>0</v>
      </c>
      <c r="X72" s="215"/>
      <c r="Y72" s="368">
        <f>Std!C77</f>
        <v>64.241627515298958</v>
      </c>
      <c r="Z72" s="209"/>
      <c r="AA72" s="165" t="str">
        <f t="shared" si="5"/>
        <v/>
      </c>
      <c r="AB72" s="158" t="str">
        <f t="shared" si="6"/>
        <v/>
      </c>
      <c r="AC72" s="215"/>
      <c r="AD72" s="216"/>
      <c r="AE72" s="216"/>
      <c r="AF72" s="166">
        <f t="shared" si="10"/>
        <v>0</v>
      </c>
      <c r="AG72" s="209"/>
      <c r="AH72" s="216"/>
      <c r="AI72" s="371">
        <f>Std!D77</f>
        <v>1961.7767073778152</v>
      </c>
      <c r="AJ72" s="220"/>
      <c r="AN72" s="36"/>
    </row>
    <row r="73" spans="1:40" ht="15.75" customHeight="1" x14ac:dyDescent="0.2">
      <c r="A73" s="441">
        <f t="shared" si="7"/>
        <v>518</v>
      </c>
      <c r="B73" s="306">
        <f t="shared" si="0"/>
        <v>22</v>
      </c>
      <c r="C73" s="306">
        <v>75</v>
      </c>
      <c r="D73" s="160">
        <f t="shared" si="12"/>
        <v>0</v>
      </c>
      <c r="E73" s="199"/>
      <c r="F73" s="200"/>
      <c r="G73" s="201"/>
      <c r="H73" s="201"/>
      <c r="I73" s="201"/>
      <c r="J73" s="201"/>
      <c r="K73" s="201"/>
      <c r="L73" s="202"/>
      <c r="M73" s="199"/>
      <c r="N73" s="161">
        <f t="shared" si="11"/>
        <v>0</v>
      </c>
      <c r="O73" s="162">
        <f t="shared" si="2"/>
        <v>0</v>
      </c>
      <c r="P73" s="297" t="e">
        <f t="shared" si="3"/>
        <v>#DIV/0!</v>
      </c>
      <c r="Q73" s="163">
        <f>'Production data'!E72/100</f>
        <v>0.81464217268409866</v>
      </c>
      <c r="R73" s="300" t="e">
        <f t="shared" si="4"/>
        <v>#DIV/0!</v>
      </c>
      <c r="S73" s="164">
        <f>'Production data'!G72</f>
        <v>337.2508204223812</v>
      </c>
      <c r="T73" s="209"/>
      <c r="U73" s="210"/>
      <c r="V73" s="161">
        <f t="shared" si="8"/>
        <v>0</v>
      </c>
      <c r="W73" s="162">
        <f t="shared" si="9"/>
        <v>0</v>
      </c>
      <c r="X73" s="215"/>
      <c r="Y73" s="368">
        <f>Std!C78</f>
        <v>64.272489233368617</v>
      </c>
      <c r="Z73" s="209"/>
      <c r="AA73" s="165" t="str">
        <f t="shared" si="5"/>
        <v/>
      </c>
      <c r="AB73" s="158" t="str">
        <f t="shared" si="6"/>
        <v/>
      </c>
      <c r="AC73" s="215"/>
      <c r="AD73" s="216"/>
      <c r="AE73" s="216"/>
      <c r="AF73" s="166">
        <f t="shared" si="10"/>
        <v>0</v>
      </c>
      <c r="AG73" s="209"/>
      <c r="AH73" s="216"/>
      <c r="AI73" s="371">
        <f>Std!D78</f>
        <v>1962.4826505698759</v>
      </c>
      <c r="AJ73" s="220"/>
      <c r="AN73" s="36"/>
    </row>
    <row r="74" spans="1:40" ht="15.75" customHeight="1" x14ac:dyDescent="0.2">
      <c r="A74" s="441">
        <f t="shared" si="7"/>
        <v>525</v>
      </c>
      <c r="B74" s="306">
        <f t="shared" si="0"/>
        <v>23</v>
      </c>
      <c r="C74" s="306">
        <v>76</v>
      </c>
      <c r="D74" s="160">
        <f t="shared" si="12"/>
        <v>0</v>
      </c>
      <c r="E74" s="199"/>
      <c r="F74" s="200"/>
      <c r="G74" s="201"/>
      <c r="H74" s="201"/>
      <c r="I74" s="201"/>
      <c r="J74" s="201"/>
      <c r="K74" s="201"/>
      <c r="L74" s="202"/>
      <c r="M74" s="199"/>
      <c r="N74" s="161">
        <f t="shared" si="11"/>
        <v>0</v>
      </c>
      <c r="O74" s="162">
        <f t="shared" si="2"/>
        <v>0</v>
      </c>
      <c r="P74" s="297" t="e">
        <f t="shared" si="3"/>
        <v>#DIV/0!</v>
      </c>
      <c r="Q74" s="163">
        <f>'Production data'!E73/100</f>
        <v>0.80981218232276841</v>
      </c>
      <c r="R74" s="300" t="e">
        <f t="shared" si="4"/>
        <v>#DIV/0!</v>
      </c>
      <c r="S74" s="164">
        <f>'Production data'!G73</f>
        <v>342.59843136459324</v>
      </c>
      <c r="T74" s="209"/>
      <c r="U74" s="210"/>
      <c r="V74" s="161">
        <f t="shared" si="8"/>
        <v>0</v>
      </c>
      <c r="W74" s="162">
        <f t="shared" si="9"/>
        <v>0</v>
      </c>
      <c r="X74" s="215"/>
      <c r="Y74" s="368">
        <f>Std!C79</f>
        <v>64.303350951438276</v>
      </c>
      <c r="Z74" s="209"/>
      <c r="AA74" s="165" t="str">
        <f t="shared" si="5"/>
        <v/>
      </c>
      <c r="AB74" s="158" t="str">
        <f t="shared" si="6"/>
        <v/>
      </c>
      <c r="AC74" s="215"/>
      <c r="AD74" s="216"/>
      <c r="AE74" s="216"/>
      <c r="AF74" s="166">
        <f t="shared" si="10"/>
        <v>0</v>
      </c>
      <c r="AG74" s="209"/>
      <c r="AH74" s="216"/>
      <c r="AI74" s="371">
        <f>Std!D79</f>
        <v>1963.1418633415285</v>
      </c>
      <c r="AJ74" s="220"/>
      <c r="AN74" s="36"/>
    </row>
    <row r="75" spans="1:40" ht="15.75" customHeight="1" x14ac:dyDescent="0.2">
      <c r="A75" s="441">
        <f t="shared" si="7"/>
        <v>532</v>
      </c>
      <c r="B75" s="306">
        <f t="shared" si="0"/>
        <v>24</v>
      </c>
      <c r="C75" s="306">
        <v>77</v>
      </c>
      <c r="D75" s="160">
        <f t="shared" si="12"/>
        <v>0</v>
      </c>
      <c r="E75" s="199"/>
      <c r="F75" s="200"/>
      <c r="G75" s="201"/>
      <c r="H75" s="201"/>
      <c r="I75" s="201"/>
      <c r="J75" s="201"/>
      <c r="K75" s="201"/>
      <c r="L75" s="202"/>
      <c r="M75" s="199"/>
      <c r="N75" s="161">
        <f t="shared" si="11"/>
        <v>0</v>
      </c>
      <c r="O75" s="162">
        <f t="shared" si="2"/>
        <v>0</v>
      </c>
      <c r="P75" s="297" t="e">
        <f t="shared" si="3"/>
        <v>#DIV/0!</v>
      </c>
      <c r="Q75" s="163">
        <f>'Production data'!E74/100</f>
        <v>0.80498866734746666</v>
      </c>
      <c r="R75" s="300" t="e">
        <f t="shared" si="4"/>
        <v>#DIV/0!</v>
      </c>
      <c r="S75" s="164">
        <f>'Production data'!G74</f>
        <v>347.90878060535101</v>
      </c>
      <c r="T75" s="209"/>
      <c r="U75" s="210"/>
      <c r="V75" s="161">
        <f t="shared" si="8"/>
        <v>0</v>
      </c>
      <c r="W75" s="162">
        <f t="shared" si="9"/>
        <v>0</v>
      </c>
      <c r="X75" s="215"/>
      <c r="Y75" s="368">
        <f>Std!C80</f>
        <v>64.334212669507949</v>
      </c>
      <c r="Z75" s="209"/>
      <c r="AA75" s="165" t="str">
        <f t="shared" si="5"/>
        <v/>
      </c>
      <c r="AB75" s="158" t="str">
        <f t="shared" si="6"/>
        <v/>
      </c>
      <c r="AC75" s="215"/>
      <c r="AD75" s="216"/>
      <c r="AE75" s="216"/>
      <c r="AF75" s="166">
        <f t="shared" si="10"/>
        <v>0</v>
      </c>
      <c r="AG75" s="209"/>
      <c r="AH75" s="216"/>
      <c r="AI75" s="371">
        <f>Std!D80</f>
        <v>1963.7582990201167</v>
      </c>
      <c r="AJ75" s="220"/>
      <c r="AN75" s="36"/>
    </row>
    <row r="76" spans="1:40" ht="15.75" customHeight="1" x14ac:dyDescent="0.2">
      <c r="A76" s="441">
        <f t="shared" si="7"/>
        <v>539</v>
      </c>
      <c r="B76" s="306">
        <f t="shared" si="0"/>
        <v>25</v>
      </c>
      <c r="C76" s="306">
        <v>78</v>
      </c>
      <c r="D76" s="160">
        <f t="shared" si="12"/>
        <v>0</v>
      </c>
      <c r="E76" s="199"/>
      <c r="F76" s="200"/>
      <c r="G76" s="201"/>
      <c r="H76" s="201"/>
      <c r="I76" s="201"/>
      <c r="J76" s="201"/>
      <c r="K76" s="201"/>
      <c r="L76" s="202"/>
      <c r="M76" s="199"/>
      <c r="N76" s="161">
        <f t="shared" si="11"/>
        <v>0</v>
      </c>
      <c r="O76" s="162">
        <f t="shared" si="2"/>
        <v>0</v>
      </c>
      <c r="P76" s="297" t="e">
        <f t="shared" si="3"/>
        <v>#DIV/0!</v>
      </c>
      <c r="Q76" s="163">
        <f>'Production data'!E75/100</f>
        <v>0.80017488592449371</v>
      </c>
      <c r="R76" s="300" t="e">
        <f t="shared" si="4"/>
        <v>#DIV/0!</v>
      </c>
      <c r="S76" s="164">
        <f>'Production data'!G75</f>
        <v>353.18199711758427</v>
      </c>
      <c r="T76" s="209"/>
      <c r="U76" s="210"/>
      <c r="V76" s="161">
        <f t="shared" si="8"/>
        <v>0</v>
      </c>
      <c r="W76" s="162">
        <f t="shared" si="9"/>
        <v>0</v>
      </c>
      <c r="X76" s="215"/>
      <c r="Y76" s="368">
        <f>Std!C81</f>
        <v>64.365074387577607</v>
      </c>
      <c r="Z76" s="209"/>
      <c r="AA76" s="165" t="str">
        <f t="shared" si="5"/>
        <v/>
      </c>
      <c r="AB76" s="158" t="str">
        <f t="shared" si="6"/>
        <v/>
      </c>
      <c r="AC76" s="215"/>
      <c r="AD76" s="216"/>
      <c r="AE76" s="216"/>
      <c r="AF76" s="166">
        <f t="shared" si="10"/>
        <v>0</v>
      </c>
      <c r="AG76" s="209"/>
      <c r="AH76" s="216"/>
      <c r="AI76" s="371">
        <f>Std!D81</f>
        <v>1964.3359068170082</v>
      </c>
      <c r="AJ76" s="220"/>
      <c r="AN76" s="36"/>
    </row>
    <row r="77" spans="1:40" ht="15.75" customHeight="1" x14ac:dyDescent="0.2">
      <c r="A77" s="441">
        <f t="shared" si="7"/>
        <v>546</v>
      </c>
      <c r="B77" s="306">
        <f t="shared" si="0"/>
        <v>26</v>
      </c>
      <c r="C77" s="306">
        <v>79</v>
      </c>
      <c r="D77" s="160">
        <f t="shared" si="12"/>
        <v>0</v>
      </c>
      <c r="E77" s="199"/>
      <c r="F77" s="200"/>
      <c r="G77" s="201"/>
      <c r="H77" s="201"/>
      <c r="I77" s="201"/>
      <c r="J77" s="201"/>
      <c r="K77" s="201"/>
      <c r="L77" s="202"/>
      <c r="M77" s="199"/>
      <c r="N77" s="161">
        <f t="shared" si="11"/>
        <v>0</v>
      </c>
      <c r="O77" s="162">
        <f t="shared" si="2"/>
        <v>0</v>
      </c>
      <c r="P77" s="297" t="e">
        <f t="shared" si="3"/>
        <v>#DIV/0!</v>
      </c>
      <c r="Q77" s="163">
        <f>'Production data'!E76/100</f>
        <v>0.7953736419627081</v>
      </c>
      <c r="R77" s="300" t="e">
        <f t="shared" si="4"/>
        <v>#DIV/0!</v>
      </c>
      <c r="S77" s="164">
        <f>'Production data'!G76</f>
        <v>358.41822813713588</v>
      </c>
      <c r="T77" s="209"/>
      <c r="U77" s="210"/>
      <c r="V77" s="161">
        <f t="shared" si="8"/>
        <v>0</v>
      </c>
      <c r="W77" s="162">
        <f t="shared" si="9"/>
        <v>0</v>
      </c>
      <c r="X77" s="215"/>
      <c r="Y77" s="368">
        <f>Std!C82</f>
        <v>64.395936105647266</v>
      </c>
      <c r="Z77" s="209"/>
      <c r="AA77" s="165" t="str">
        <f t="shared" si="5"/>
        <v/>
      </c>
      <c r="AB77" s="158" t="str">
        <f t="shared" si="6"/>
        <v/>
      </c>
      <c r="AC77" s="215"/>
      <c r="AD77" s="216"/>
      <c r="AE77" s="216"/>
      <c r="AF77" s="166">
        <f t="shared" si="10"/>
        <v>0</v>
      </c>
      <c r="AG77" s="209"/>
      <c r="AH77" s="216"/>
      <c r="AI77" s="371">
        <f>Std!D82</f>
        <v>1964.8786318275993</v>
      </c>
      <c r="AJ77" s="220"/>
      <c r="AN77" s="36"/>
    </row>
    <row r="78" spans="1:40" ht="15.75" customHeight="1" x14ac:dyDescent="0.2">
      <c r="A78" s="441">
        <f t="shared" si="7"/>
        <v>553</v>
      </c>
      <c r="B78" s="306">
        <f t="shared" si="0"/>
        <v>27</v>
      </c>
      <c r="C78" s="306">
        <v>80</v>
      </c>
      <c r="D78" s="160">
        <f t="shared" si="12"/>
        <v>0</v>
      </c>
      <c r="E78" s="199"/>
      <c r="F78" s="200"/>
      <c r="G78" s="201"/>
      <c r="H78" s="201"/>
      <c r="I78" s="201"/>
      <c r="J78" s="201"/>
      <c r="K78" s="201"/>
      <c r="L78" s="202"/>
      <c r="M78" s="199"/>
      <c r="N78" s="161">
        <f t="shared" si="11"/>
        <v>0</v>
      </c>
      <c r="O78" s="162">
        <f t="shared" si="2"/>
        <v>0</v>
      </c>
      <c r="P78" s="297" t="e">
        <f t="shared" si="3"/>
        <v>#DIV/0!</v>
      </c>
      <c r="Q78" s="163">
        <f>'Production data'!E77/100</f>
        <v>0.79058728511352649</v>
      </c>
      <c r="R78" s="300" t="e">
        <f t="shared" si="4"/>
        <v>#DIV/0!</v>
      </c>
      <c r="S78" s="164">
        <f>'Production data'!G77</f>
        <v>363.61763609990487</v>
      </c>
      <c r="T78" s="209"/>
      <c r="U78" s="210"/>
      <c r="V78" s="161">
        <f t="shared" si="8"/>
        <v>0</v>
      </c>
      <c r="W78" s="162">
        <f t="shared" si="9"/>
        <v>0</v>
      </c>
      <c r="X78" s="215"/>
      <c r="Y78" s="368">
        <f>Std!C83</f>
        <v>64.426797823716939</v>
      </c>
      <c r="Z78" s="209"/>
      <c r="AA78" s="165" t="str">
        <f t="shared" si="5"/>
        <v/>
      </c>
      <c r="AB78" s="158" t="str">
        <f t="shared" si="6"/>
        <v/>
      </c>
      <c r="AC78" s="215"/>
      <c r="AD78" s="216"/>
      <c r="AE78" s="216"/>
      <c r="AF78" s="166">
        <f t="shared" si="10"/>
        <v>0</v>
      </c>
      <c r="AG78" s="209"/>
      <c r="AH78" s="216"/>
      <c r="AI78" s="371">
        <f>Std!D83</f>
        <v>1965.3904150313112</v>
      </c>
      <c r="AJ78" s="220"/>
      <c r="AN78" s="36"/>
    </row>
    <row r="79" spans="1:40" ht="15.75" customHeight="1" x14ac:dyDescent="0.2">
      <c r="A79" s="441">
        <f t="shared" si="7"/>
        <v>560</v>
      </c>
      <c r="B79" s="306">
        <f t="shared" si="0"/>
        <v>28</v>
      </c>
      <c r="C79" s="306">
        <v>81</v>
      </c>
      <c r="D79" s="160">
        <f t="shared" si="12"/>
        <v>0</v>
      </c>
      <c r="E79" s="199"/>
      <c r="F79" s="200"/>
      <c r="G79" s="201"/>
      <c r="H79" s="201"/>
      <c r="I79" s="201"/>
      <c r="J79" s="201"/>
      <c r="K79" s="201"/>
      <c r="L79" s="202"/>
      <c r="M79" s="199"/>
      <c r="N79" s="161">
        <f t="shared" si="11"/>
        <v>0</v>
      </c>
      <c r="O79" s="162">
        <f t="shared" si="2"/>
        <v>0</v>
      </c>
      <c r="P79" s="297" t="e">
        <f t="shared" si="3"/>
        <v>#DIV/0!</v>
      </c>
      <c r="Q79" s="163">
        <f>'Production data'!E78/100</f>
        <v>0.78581771077092311</v>
      </c>
      <c r="R79" s="300" t="e">
        <f t="shared" si="4"/>
        <v>#DIV/0!</v>
      </c>
      <c r="S79" s="164">
        <f>'Production data'!G78</f>
        <v>368.78039559425298</v>
      </c>
      <c r="T79" s="209"/>
      <c r="U79" s="210"/>
      <c r="V79" s="161">
        <f t="shared" si="8"/>
        <v>0</v>
      </c>
      <c r="W79" s="162">
        <f t="shared" si="9"/>
        <v>0</v>
      </c>
      <c r="X79" s="215"/>
      <c r="Y79" s="368">
        <f>Std!C84</f>
        <v>64.457659541786597</v>
      </c>
      <c r="Z79" s="209"/>
      <c r="AA79" s="165" t="str">
        <f t="shared" si="5"/>
        <v/>
      </c>
      <c r="AB79" s="158" t="str">
        <f t="shared" si="6"/>
        <v/>
      </c>
      <c r="AC79" s="215"/>
      <c r="AD79" s="216"/>
      <c r="AE79" s="216"/>
      <c r="AF79" s="166">
        <f t="shared" si="10"/>
        <v>0</v>
      </c>
      <c r="AG79" s="209"/>
      <c r="AH79" s="216"/>
      <c r="AI79" s="371">
        <f>Std!D84</f>
        <v>1965.8751932915932</v>
      </c>
      <c r="AJ79" s="221"/>
    </row>
    <row r="80" spans="1:40" ht="15.75" customHeight="1" x14ac:dyDescent="0.2">
      <c r="A80" s="441">
        <f t="shared" si="7"/>
        <v>567</v>
      </c>
      <c r="B80" s="306">
        <f t="shared" ref="B80:B98" si="13">WEEKNUM(A80,1)</f>
        <v>29</v>
      </c>
      <c r="C80" s="306">
        <v>82</v>
      </c>
      <c r="D80" s="160">
        <f t="shared" ref="D80:D88" si="14">IF(OR($G$6="",E80=""),D79,D79-E80)</f>
        <v>0</v>
      </c>
      <c r="E80" s="199"/>
      <c r="F80" s="200"/>
      <c r="G80" s="201"/>
      <c r="H80" s="201"/>
      <c r="I80" s="201"/>
      <c r="J80" s="201"/>
      <c r="K80" s="201"/>
      <c r="L80" s="202"/>
      <c r="M80" s="199"/>
      <c r="N80" s="161">
        <f t="shared" si="11"/>
        <v>0</v>
      </c>
      <c r="O80" s="162">
        <f t="shared" ref="O80:O88" si="15">IF(N80=0,0,O79+N80)</f>
        <v>0</v>
      </c>
      <c r="P80" s="297" t="e">
        <f t="shared" ref="P80:P88" si="16">(N80/D80/7)</f>
        <v>#DIV/0!</v>
      </c>
      <c r="Q80" s="163">
        <f>'Production data'!E79/100</f>
        <v>0.78106636007142816</v>
      </c>
      <c r="R80" s="300" t="e">
        <f t="shared" ref="R80:R88" si="17">O80/$G$6</f>
        <v>#DIV/0!</v>
      </c>
      <c r="S80" s="164">
        <f>'Production data'!G79</f>
        <v>373.90669032867379</v>
      </c>
      <c r="T80" s="209"/>
      <c r="U80" s="210"/>
      <c r="V80" s="161">
        <f t="shared" si="8"/>
        <v>0</v>
      </c>
      <c r="W80" s="162">
        <f t="shared" ref="W80:W88" si="18">IF(V80=0,0,V80+W79)</f>
        <v>0</v>
      </c>
      <c r="X80" s="215"/>
      <c r="Y80" s="368">
        <f>Std!C85</f>
        <v>64.488521259856256</v>
      </c>
      <c r="Z80" s="209"/>
      <c r="AA80" s="165" t="str">
        <f t="shared" ref="AA80:AA88" si="19">IF(Z80="","",Z80/D80/7*1000)</f>
        <v/>
      </c>
      <c r="AB80" s="158" t="str">
        <f t="shared" ref="AB80:AB98" si="20">IF(AE79+AD80-AE80&lt;=0,"",IF(Z80="","",Z80/(AE79+AD80-AE80)))</f>
        <v/>
      </c>
      <c r="AC80" s="215"/>
      <c r="AD80" s="216"/>
      <c r="AE80" s="216"/>
      <c r="AF80" s="166">
        <f t="shared" si="10"/>
        <v>0</v>
      </c>
      <c r="AG80" s="209"/>
      <c r="AH80" s="216"/>
      <c r="AI80" s="371">
        <f>Std!D85</f>
        <v>1966.3368993559193</v>
      </c>
      <c r="AJ80" s="220"/>
    </row>
    <row r="81" spans="1:37" ht="15.75" customHeight="1" x14ac:dyDescent="0.2">
      <c r="A81" s="441">
        <f t="shared" ref="A81:A98" si="21">$G$3+((C81*7)-7)</f>
        <v>574</v>
      </c>
      <c r="B81" s="306">
        <f t="shared" si="13"/>
        <v>30</v>
      </c>
      <c r="C81" s="306">
        <v>83</v>
      </c>
      <c r="D81" s="160">
        <f t="shared" si="14"/>
        <v>0</v>
      </c>
      <c r="E81" s="199"/>
      <c r="F81" s="200"/>
      <c r="G81" s="201"/>
      <c r="H81" s="201"/>
      <c r="I81" s="201"/>
      <c r="J81" s="201"/>
      <c r="K81" s="201"/>
      <c r="L81" s="202"/>
      <c r="M81" s="199"/>
      <c r="N81" s="161">
        <f t="shared" ref="N81:N88" si="22">IF(SUM(F81:M81)=0,0,IF(SUM(F81:L81)&gt;0,SUM(F81:L81),M81))</f>
        <v>0</v>
      </c>
      <c r="O81" s="162">
        <f t="shared" si="15"/>
        <v>0</v>
      </c>
      <c r="P81" s="297" t="e">
        <f t="shared" si="16"/>
        <v>#DIV/0!</v>
      </c>
      <c r="Q81" s="163">
        <f>'Production data'!E80/100</f>
        <v>0.77633421989413165</v>
      </c>
      <c r="R81" s="300" t="e">
        <f t="shared" si="17"/>
        <v>#DIV/0!</v>
      </c>
      <c r="S81" s="164">
        <f>'Production data'!G80</f>
        <v>378.99671011472526</v>
      </c>
      <c r="T81" s="209"/>
      <c r="U81" s="210"/>
      <c r="V81" s="161">
        <f t="shared" ref="V81:V88" si="23">IF(T81+U81=0,0,T81+U81)</f>
        <v>0</v>
      </c>
      <c r="W81" s="162">
        <f t="shared" si="18"/>
        <v>0</v>
      </c>
      <c r="X81" s="215"/>
      <c r="Y81" s="368">
        <f>Std!C86</f>
        <v>64.519382977925929</v>
      </c>
      <c r="Z81" s="209"/>
      <c r="AA81" s="165" t="str">
        <f t="shared" si="19"/>
        <v/>
      </c>
      <c r="AB81" s="158" t="str">
        <f t="shared" si="20"/>
        <v/>
      </c>
      <c r="AC81" s="215"/>
      <c r="AD81" s="216"/>
      <c r="AE81" s="216"/>
      <c r="AF81" s="166">
        <f t="shared" ref="AF81:AF88" si="24">IF(D81="","",AF80+(AE80+AD81-AE81))</f>
        <v>0</v>
      </c>
      <c r="AG81" s="209"/>
      <c r="AH81" s="216"/>
      <c r="AI81" s="371">
        <f>Std!D86</f>
        <v>1966.7794618557923</v>
      </c>
      <c r="AJ81" s="220"/>
    </row>
    <row r="82" spans="1:37" ht="15.75" customHeight="1" x14ac:dyDescent="0.2">
      <c r="A82" s="441">
        <f t="shared" si="21"/>
        <v>581</v>
      </c>
      <c r="B82" s="306">
        <f t="shared" si="13"/>
        <v>31</v>
      </c>
      <c r="C82" s="306">
        <v>84</v>
      </c>
      <c r="D82" s="160">
        <f t="shared" si="14"/>
        <v>0</v>
      </c>
      <c r="E82" s="199"/>
      <c r="F82" s="200"/>
      <c r="G82" s="201"/>
      <c r="H82" s="201"/>
      <c r="I82" s="201"/>
      <c r="J82" s="201"/>
      <c r="K82" s="201"/>
      <c r="L82" s="202"/>
      <c r="M82" s="199"/>
      <c r="N82" s="161">
        <f t="shared" si="22"/>
        <v>0</v>
      </c>
      <c r="O82" s="162">
        <f t="shared" si="15"/>
        <v>0</v>
      </c>
      <c r="P82" s="297" t="e">
        <f t="shared" si="16"/>
        <v>#DIV/0!</v>
      </c>
      <c r="Q82" s="163">
        <f>'Production data'!E81/100</f>
        <v>0.77162182286067893</v>
      </c>
      <c r="R82" s="300" t="e">
        <f t="shared" si="17"/>
        <v>#DIV/0!</v>
      </c>
      <c r="S82" s="164">
        <f>'Production data'!G81</f>
        <v>384.05064786522519</v>
      </c>
      <c r="T82" s="209"/>
      <c r="U82" s="210"/>
      <c r="V82" s="161">
        <f t="shared" si="23"/>
        <v>0</v>
      </c>
      <c r="W82" s="162">
        <f t="shared" si="18"/>
        <v>0</v>
      </c>
      <c r="X82" s="215"/>
      <c r="Y82" s="368">
        <f>Std!C87</f>
        <v>64.550244695995588</v>
      </c>
      <c r="Z82" s="209"/>
      <c r="AA82" s="165" t="str">
        <f t="shared" si="19"/>
        <v/>
      </c>
      <c r="AB82" s="158" t="str">
        <f t="shared" si="20"/>
        <v/>
      </c>
      <c r="AC82" s="215"/>
      <c r="AD82" s="216"/>
      <c r="AE82" s="216"/>
      <c r="AF82" s="166">
        <f t="shared" si="24"/>
        <v>0</v>
      </c>
      <c r="AG82" s="209"/>
      <c r="AH82" s="216"/>
      <c r="AI82" s="371">
        <f>Std!D87</f>
        <v>1967.2068053067403</v>
      </c>
      <c r="AJ82" s="220"/>
    </row>
    <row r="83" spans="1:37" ht="15.75" customHeight="1" x14ac:dyDescent="0.2">
      <c r="A83" s="441">
        <f t="shared" si="21"/>
        <v>588</v>
      </c>
      <c r="B83" s="306">
        <f t="shared" si="13"/>
        <v>32</v>
      </c>
      <c r="C83" s="306">
        <v>85</v>
      </c>
      <c r="D83" s="160">
        <f t="shared" si="14"/>
        <v>0</v>
      </c>
      <c r="E83" s="199"/>
      <c r="F83" s="200"/>
      <c r="G83" s="201"/>
      <c r="H83" s="201"/>
      <c r="I83" s="201"/>
      <c r="J83" s="201"/>
      <c r="K83" s="201"/>
      <c r="L83" s="202"/>
      <c r="M83" s="199"/>
      <c r="N83" s="161">
        <f t="shared" si="22"/>
        <v>0</v>
      </c>
      <c r="O83" s="162">
        <f t="shared" si="15"/>
        <v>0</v>
      </c>
      <c r="P83" s="297" t="e">
        <f t="shared" si="16"/>
        <v>#DIV/0!</v>
      </c>
      <c r="Q83" s="163">
        <f>'Production data'!E82/100</f>
        <v>0.76692924733527534</v>
      </c>
      <c r="R83" s="300" t="e">
        <f t="shared" si="17"/>
        <v>#DIV/0!</v>
      </c>
      <c r="S83" s="164">
        <f>'Production data'!G82</f>
        <v>389.0686966077098</v>
      </c>
      <c r="T83" s="209"/>
      <c r="U83" s="210"/>
      <c r="V83" s="161">
        <f t="shared" si="23"/>
        <v>0</v>
      </c>
      <c r="W83" s="162">
        <f t="shared" si="18"/>
        <v>0</v>
      </c>
      <c r="X83" s="215"/>
      <c r="Y83" s="368">
        <f>Std!C88</f>
        <v>64.581106414065246</v>
      </c>
      <c r="Z83" s="209"/>
      <c r="AA83" s="165" t="str">
        <f t="shared" si="19"/>
        <v/>
      </c>
      <c r="AB83" s="158" t="str">
        <f t="shared" si="20"/>
        <v/>
      </c>
      <c r="AC83" s="215"/>
      <c r="AD83" s="216"/>
      <c r="AE83" s="216"/>
      <c r="AF83" s="166">
        <f t="shared" si="24"/>
        <v>0</v>
      </c>
      <c r="AG83" s="209"/>
      <c r="AH83" s="216"/>
      <c r="AI83" s="371">
        <f>Std!D88</f>
        <v>1968.2524748679448</v>
      </c>
      <c r="AJ83" s="220"/>
    </row>
    <row r="84" spans="1:37" ht="15.75" customHeight="1" x14ac:dyDescent="0.2">
      <c r="A84" s="441">
        <f t="shared" si="21"/>
        <v>595</v>
      </c>
      <c r="B84" s="306">
        <f t="shared" si="13"/>
        <v>33</v>
      </c>
      <c r="C84" s="306">
        <v>86</v>
      </c>
      <c r="D84" s="160">
        <f t="shared" si="14"/>
        <v>0</v>
      </c>
      <c r="E84" s="199"/>
      <c r="F84" s="200"/>
      <c r="G84" s="201"/>
      <c r="H84" s="201"/>
      <c r="I84" s="201"/>
      <c r="J84" s="201"/>
      <c r="K84" s="201"/>
      <c r="L84" s="202"/>
      <c r="M84" s="199"/>
      <c r="N84" s="161">
        <f t="shared" si="22"/>
        <v>0</v>
      </c>
      <c r="O84" s="162">
        <f t="shared" si="15"/>
        <v>0</v>
      </c>
      <c r="P84" s="297" t="e">
        <f t="shared" si="16"/>
        <v>#DIV/0!</v>
      </c>
      <c r="Q84" s="163">
        <f>'Production data'!E83/100</f>
        <v>0.76225611742468258</v>
      </c>
      <c r="R84" s="300" t="e">
        <f t="shared" si="17"/>
        <v>#DIV/0!</v>
      </c>
      <c r="S84" s="164">
        <f>'Production data'!G83</f>
        <v>394.05104651315509</v>
      </c>
      <c r="T84" s="209"/>
      <c r="U84" s="210"/>
      <c r="V84" s="161">
        <f t="shared" si="23"/>
        <v>0</v>
      </c>
      <c r="W84" s="162">
        <f t="shared" si="18"/>
        <v>0</v>
      </c>
      <c r="X84" s="215"/>
      <c r="Y84" s="368">
        <f>Std!C89</f>
        <v>64.611968132134919</v>
      </c>
      <c r="Z84" s="209"/>
      <c r="AA84" s="165" t="str">
        <f t="shared" si="19"/>
        <v/>
      </c>
      <c r="AB84" s="158" t="str">
        <f t="shared" si="20"/>
        <v/>
      </c>
      <c r="AC84" s="215"/>
      <c r="AD84" s="216"/>
      <c r="AE84" s="216"/>
      <c r="AF84" s="166">
        <f t="shared" si="24"/>
        <v>0</v>
      </c>
      <c r="AG84" s="209"/>
      <c r="AH84" s="216"/>
      <c r="AI84" s="371">
        <f>Std!D89</f>
        <v>1968.7198617363865</v>
      </c>
      <c r="AJ84" s="220"/>
    </row>
    <row r="85" spans="1:37" ht="15.75" customHeight="1" x14ac:dyDescent="0.2">
      <c r="A85" s="441">
        <f t="shared" si="21"/>
        <v>602</v>
      </c>
      <c r="B85" s="306">
        <f t="shared" si="13"/>
        <v>34</v>
      </c>
      <c r="C85" s="306">
        <v>87</v>
      </c>
      <c r="D85" s="160">
        <f t="shared" si="14"/>
        <v>0</v>
      </c>
      <c r="E85" s="199"/>
      <c r="F85" s="200"/>
      <c r="G85" s="201"/>
      <c r="H85" s="201"/>
      <c r="I85" s="201"/>
      <c r="J85" s="201"/>
      <c r="K85" s="201"/>
      <c r="L85" s="202"/>
      <c r="M85" s="199"/>
      <c r="N85" s="161">
        <f t="shared" si="22"/>
        <v>0</v>
      </c>
      <c r="O85" s="162">
        <f t="shared" si="15"/>
        <v>0</v>
      </c>
      <c r="P85" s="297" t="e">
        <f t="shared" si="16"/>
        <v>#DIV/0!</v>
      </c>
      <c r="Q85" s="163">
        <f>'Production data'!E84/100</f>
        <v>0.75760160297821788</v>
      </c>
      <c r="R85" s="300" t="e">
        <f t="shared" si="17"/>
        <v>#DIV/0!</v>
      </c>
      <c r="S85" s="164">
        <f>'Production data'!G84</f>
        <v>398.99788193996164</v>
      </c>
      <c r="T85" s="209"/>
      <c r="U85" s="210"/>
      <c r="V85" s="161">
        <f t="shared" si="23"/>
        <v>0</v>
      </c>
      <c r="W85" s="162">
        <f t="shared" si="18"/>
        <v>0</v>
      </c>
      <c r="X85" s="215"/>
      <c r="Y85" s="368">
        <f>Std!C90</f>
        <v>64.642829850204578</v>
      </c>
      <c r="Z85" s="209"/>
      <c r="AA85" s="165" t="str">
        <f t="shared" si="19"/>
        <v/>
      </c>
      <c r="AB85" s="158" t="str">
        <f t="shared" si="20"/>
        <v/>
      </c>
      <c r="AC85" s="215"/>
      <c r="AD85" s="216"/>
      <c r="AE85" s="216"/>
      <c r="AF85" s="166">
        <f t="shared" si="24"/>
        <v>0</v>
      </c>
      <c r="AG85" s="209"/>
      <c r="AH85" s="216"/>
      <c r="AI85" s="371">
        <f>Std!D90</f>
        <v>1969.1872486048283</v>
      </c>
      <c r="AJ85" s="220"/>
    </row>
    <row r="86" spans="1:37" ht="15.75" customHeight="1" x14ac:dyDescent="0.2">
      <c r="A86" s="441">
        <f t="shared" si="21"/>
        <v>609</v>
      </c>
      <c r="B86" s="306">
        <f t="shared" si="13"/>
        <v>35</v>
      </c>
      <c r="C86" s="306">
        <v>88</v>
      </c>
      <c r="D86" s="160">
        <f t="shared" si="14"/>
        <v>0</v>
      </c>
      <c r="E86" s="199"/>
      <c r="F86" s="200"/>
      <c r="G86" s="201"/>
      <c r="H86" s="201"/>
      <c r="I86" s="201"/>
      <c r="J86" s="201"/>
      <c r="K86" s="201"/>
      <c r="L86" s="202"/>
      <c r="M86" s="199"/>
      <c r="N86" s="161">
        <f t="shared" si="22"/>
        <v>0</v>
      </c>
      <c r="O86" s="162">
        <f t="shared" si="15"/>
        <v>0</v>
      </c>
      <c r="P86" s="297" t="e">
        <f t="shared" si="16"/>
        <v>#DIV/0!</v>
      </c>
      <c r="Q86" s="163">
        <f>'Production data'!E85/100</f>
        <v>0.75296441958776084</v>
      </c>
      <c r="R86" s="300" t="e">
        <f t="shared" si="17"/>
        <v>#DIV/0!</v>
      </c>
      <c r="S86" s="164">
        <f>'Production data'!G85</f>
        <v>403.90937849320227</v>
      </c>
      <c r="T86" s="209"/>
      <c r="U86" s="210"/>
      <c r="V86" s="161">
        <f t="shared" si="23"/>
        <v>0</v>
      </c>
      <c r="W86" s="162">
        <f t="shared" si="18"/>
        <v>0</v>
      </c>
      <c r="X86" s="215"/>
      <c r="Y86" s="368">
        <f>Std!C91</f>
        <v>64.673691568274251</v>
      </c>
      <c r="Z86" s="209"/>
      <c r="AA86" s="165" t="str">
        <f t="shared" si="19"/>
        <v/>
      </c>
      <c r="AB86" s="158" t="str">
        <f t="shared" si="20"/>
        <v/>
      </c>
      <c r="AC86" s="215"/>
      <c r="AD86" s="216"/>
      <c r="AE86" s="216"/>
      <c r="AF86" s="166">
        <f t="shared" si="24"/>
        <v>0</v>
      </c>
      <c r="AG86" s="209"/>
      <c r="AH86" s="216"/>
      <c r="AI86" s="371">
        <f>Std!D91</f>
        <v>1969.65463547327</v>
      </c>
      <c r="AJ86" s="220"/>
    </row>
    <row r="87" spans="1:37" ht="15.75" customHeight="1" x14ac:dyDescent="0.2">
      <c r="A87" s="441">
        <f t="shared" si="21"/>
        <v>616</v>
      </c>
      <c r="B87" s="306">
        <f t="shared" si="13"/>
        <v>36</v>
      </c>
      <c r="C87" s="306">
        <v>89</v>
      </c>
      <c r="D87" s="160">
        <f t="shared" si="14"/>
        <v>0</v>
      </c>
      <c r="E87" s="199"/>
      <c r="F87" s="200"/>
      <c r="G87" s="201"/>
      <c r="H87" s="201"/>
      <c r="I87" s="201"/>
      <c r="J87" s="201"/>
      <c r="K87" s="201"/>
      <c r="L87" s="202"/>
      <c r="M87" s="199"/>
      <c r="N87" s="161">
        <f t="shared" si="22"/>
        <v>0</v>
      </c>
      <c r="O87" s="162">
        <f t="shared" si="15"/>
        <v>0</v>
      </c>
      <c r="P87" s="297" t="e">
        <f t="shared" si="16"/>
        <v>#DIV/0!</v>
      </c>
      <c r="Q87" s="163">
        <f>'Production data'!E86/100</f>
        <v>0.74834282858774381</v>
      </c>
      <c r="R87" s="300" t="e">
        <f t="shared" si="17"/>
        <v>#DIV/0!</v>
      </c>
      <c r="S87" s="164">
        <f>'Production data'!G86</f>
        <v>408.78570009913255</v>
      </c>
      <c r="T87" s="209"/>
      <c r="U87" s="210"/>
      <c r="V87" s="161">
        <f t="shared" si="23"/>
        <v>0</v>
      </c>
      <c r="W87" s="162">
        <f t="shared" si="18"/>
        <v>0</v>
      </c>
      <c r="X87" s="215"/>
      <c r="Y87" s="368">
        <f>Std!C92</f>
        <v>64.704553286343909</v>
      </c>
      <c r="Z87" s="209"/>
      <c r="AA87" s="165" t="str">
        <f t="shared" si="19"/>
        <v/>
      </c>
      <c r="AB87" s="158" t="str">
        <f t="shared" si="20"/>
        <v/>
      </c>
      <c r="AC87" s="215"/>
      <c r="AD87" s="216"/>
      <c r="AE87" s="216"/>
      <c r="AF87" s="166">
        <f t="shared" si="24"/>
        <v>0</v>
      </c>
      <c r="AG87" s="209"/>
      <c r="AH87" s="216"/>
      <c r="AI87" s="371">
        <f>Std!D92</f>
        <v>1970.1220223417117</v>
      </c>
      <c r="AJ87" s="220"/>
    </row>
    <row r="88" spans="1:37" ht="15.75" customHeight="1" x14ac:dyDescent="0.2">
      <c r="A88" s="441">
        <f t="shared" si="21"/>
        <v>623</v>
      </c>
      <c r="B88" s="306">
        <f t="shared" si="13"/>
        <v>37</v>
      </c>
      <c r="C88" s="306">
        <v>90</v>
      </c>
      <c r="D88" s="160">
        <f t="shared" si="14"/>
        <v>0</v>
      </c>
      <c r="E88" s="199"/>
      <c r="F88" s="200"/>
      <c r="G88" s="201"/>
      <c r="H88" s="201"/>
      <c r="I88" s="201"/>
      <c r="J88" s="201"/>
      <c r="K88" s="201"/>
      <c r="L88" s="202"/>
      <c r="M88" s="199"/>
      <c r="N88" s="161">
        <f t="shared" si="22"/>
        <v>0</v>
      </c>
      <c r="O88" s="162">
        <f t="shared" si="15"/>
        <v>0</v>
      </c>
      <c r="P88" s="297" t="e">
        <f t="shared" si="16"/>
        <v>#DIV/0!</v>
      </c>
      <c r="Q88" s="163">
        <f>'Production data'!E87/100</f>
        <v>0.74373463705515774</v>
      </c>
      <c r="R88" s="300" t="e">
        <f t="shared" si="17"/>
        <v>#DIV/0!</v>
      </c>
      <c r="S88" s="164">
        <f>'Production data'!G87</f>
        <v>413.62699609496485</v>
      </c>
      <c r="T88" s="209"/>
      <c r="U88" s="210"/>
      <c r="V88" s="161">
        <f t="shared" si="23"/>
        <v>0</v>
      </c>
      <c r="W88" s="162">
        <f t="shared" si="18"/>
        <v>0</v>
      </c>
      <c r="X88" s="215"/>
      <c r="Y88" s="368">
        <f>Std!C93</f>
        <v>64.735415004413568</v>
      </c>
      <c r="Z88" s="209"/>
      <c r="AA88" s="165" t="str">
        <f t="shared" si="19"/>
        <v/>
      </c>
      <c r="AB88" s="158" t="str">
        <f t="shared" si="20"/>
        <v/>
      </c>
      <c r="AC88" s="215"/>
      <c r="AD88" s="216"/>
      <c r="AE88" s="216"/>
      <c r="AF88" s="166">
        <f t="shared" si="24"/>
        <v>0</v>
      </c>
      <c r="AG88" s="209"/>
      <c r="AH88" s="216"/>
      <c r="AI88" s="371">
        <f>Std!D93</f>
        <v>1970.5894092101535</v>
      </c>
      <c r="AJ88" s="220"/>
    </row>
    <row r="89" spans="1:37" ht="15.75" customHeight="1" x14ac:dyDescent="0.2">
      <c r="A89" s="441">
        <f t="shared" si="21"/>
        <v>630</v>
      </c>
      <c r="B89" s="306">
        <f t="shared" si="13"/>
        <v>38</v>
      </c>
      <c r="C89" s="306">
        <v>91</v>
      </c>
      <c r="D89" s="160">
        <f>IF(OR($G$6="",E89=""),D88,D88-E89)</f>
        <v>0</v>
      </c>
      <c r="E89" s="199"/>
      <c r="F89" s="200"/>
      <c r="G89" s="201"/>
      <c r="H89" s="201"/>
      <c r="I89" s="201"/>
      <c r="J89" s="201"/>
      <c r="K89" s="201"/>
      <c r="L89" s="202"/>
      <c r="M89" s="199"/>
      <c r="N89" s="161">
        <f>IF(SUM(F89:M89)=0,0,IF(SUM(F89:L89)&gt;0,SUM(F89:L89),M89))</f>
        <v>0</v>
      </c>
      <c r="O89" s="162">
        <f>IF(N89=0,0,O88+N89)</f>
        <v>0</v>
      </c>
      <c r="P89" s="297" t="e">
        <f>(N89/D89/7)</f>
        <v>#DIV/0!</v>
      </c>
      <c r="Q89" s="163">
        <f>'Production data'!E88/100</f>
        <v>0.739137197809555</v>
      </c>
      <c r="R89" s="300" t="e">
        <f>O89/$G$6</f>
        <v>#DIV/0!</v>
      </c>
      <c r="S89" s="164">
        <f>'Production data'!G88</f>
        <v>418.43339833390496</v>
      </c>
      <c r="T89" s="209"/>
      <c r="U89" s="210"/>
      <c r="V89" s="161">
        <f>IF(T89+U89=0,0,T89+U89)</f>
        <v>0</v>
      </c>
      <c r="W89" s="162">
        <f>IF(V89=0,0,V89+W88)</f>
        <v>0</v>
      </c>
      <c r="X89" s="215"/>
      <c r="Y89" s="368">
        <f>Std!C94</f>
        <v>64.766276722483241</v>
      </c>
      <c r="Z89" s="209"/>
      <c r="AA89" s="165" t="str">
        <f>IF(Z89="","",Z89/D89/7*1000)</f>
        <v/>
      </c>
      <c r="AB89" s="158" t="str">
        <f t="shared" si="20"/>
        <v/>
      </c>
      <c r="AC89" s="215"/>
      <c r="AD89" s="216"/>
      <c r="AE89" s="216"/>
      <c r="AF89" s="166">
        <f>IF(D89="","",AF88+(AE88+AD89-AE89))</f>
        <v>0</v>
      </c>
      <c r="AG89" s="209"/>
      <c r="AH89" s="216"/>
      <c r="AI89" s="371">
        <f>Std!D94</f>
        <v>1971.0567960785952</v>
      </c>
      <c r="AJ89" s="220"/>
    </row>
    <row r="90" spans="1:37" s="61" customFormat="1" ht="15.75" customHeight="1" x14ac:dyDescent="0.2">
      <c r="A90" s="441">
        <f t="shared" si="21"/>
        <v>637</v>
      </c>
      <c r="B90" s="306">
        <f t="shared" si="13"/>
        <v>39</v>
      </c>
      <c r="C90" s="306">
        <v>92</v>
      </c>
      <c r="D90" s="160">
        <f>IF(OR($G$6="",E90=""),D89,D89-E90)</f>
        <v>0</v>
      </c>
      <c r="E90" s="199"/>
      <c r="F90" s="200"/>
      <c r="G90" s="201"/>
      <c r="H90" s="201"/>
      <c r="I90" s="201"/>
      <c r="J90" s="201"/>
      <c r="K90" s="201"/>
      <c r="L90" s="202"/>
      <c r="M90" s="199"/>
      <c r="N90" s="161">
        <f>IF(SUM(F90:M90)=0,0,IF(SUM(F90:L90)&gt;0,SUM(F90:L90),M90))</f>
        <v>0</v>
      </c>
      <c r="O90" s="162">
        <f>IF(N90=0,0,O89+N90)</f>
        <v>0</v>
      </c>
      <c r="P90" s="297" t="e">
        <f>(N90/D90/7)</f>
        <v>#DIV/0!</v>
      </c>
      <c r="Q90" s="163">
        <f>'Production data'!E89/100</f>
        <v>0.73454740941304153</v>
      </c>
      <c r="R90" s="300" t="e">
        <f>O90/$G$6</f>
        <v>#DIV/0!</v>
      </c>
      <c r="S90" s="164">
        <f>'Production data'!G89</f>
        <v>423.20501830545209</v>
      </c>
      <c r="T90" s="209"/>
      <c r="U90" s="210"/>
      <c r="V90" s="161">
        <f>IF(T90+U90=0,0,T90+U90)</f>
        <v>0</v>
      </c>
      <c r="W90" s="162">
        <f>IF(V90=0,0,V90+W89)</f>
        <v>0</v>
      </c>
      <c r="X90" s="215"/>
      <c r="Y90" s="368">
        <f>Std!C95</f>
        <v>64.797138440552899</v>
      </c>
      <c r="Z90" s="209"/>
      <c r="AA90" s="165" t="str">
        <f>IF(Z90="","",Z90/D90/7*1000)</f>
        <v/>
      </c>
      <c r="AB90" s="158" t="str">
        <f t="shared" si="20"/>
        <v/>
      </c>
      <c r="AC90" s="215"/>
      <c r="AD90" s="216"/>
      <c r="AE90" s="216"/>
      <c r="AF90" s="166">
        <f>IF(D90="","",AF89+(AE89+AD90-AE90))</f>
        <v>0</v>
      </c>
      <c r="AG90" s="209"/>
      <c r="AH90" s="216"/>
      <c r="AI90" s="371">
        <f>Std!D95</f>
        <v>1971.5241829470369</v>
      </c>
      <c r="AJ90" s="220"/>
      <c r="AK90" s="400"/>
    </row>
    <row r="91" spans="1:37" ht="15.75" customHeight="1" x14ac:dyDescent="0.2">
      <c r="A91" s="441">
        <f t="shared" si="21"/>
        <v>644</v>
      </c>
      <c r="B91" s="306">
        <f t="shared" si="13"/>
        <v>40</v>
      </c>
      <c r="C91" s="306">
        <v>93</v>
      </c>
      <c r="D91" s="160">
        <f t="shared" ref="D91:D98" si="25">IF(OR($G$6="",E91=""),D90,D90-E91)</f>
        <v>0</v>
      </c>
      <c r="E91" s="199"/>
      <c r="F91" s="200"/>
      <c r="G91" s="201"/>
      <c r="H91" s="201"/>
      <c r="I91" s="201"/>
      <c r="J91" s="201"/>
      <c r="K91" s="201"/>
      <c r="L91" s="202"/>
      <c r="M91" s="199"/>
      <c r="N91" s="161">
        <f t="shared" ref="N91:N98" si="26">IF(SUM(F91:M91)=0,0,IF(SUM(F91:L91)&gt;0,SUM(F91:L91),M91))</f>
        <v>0</v>
      </c>
      <c r="O91" s="162">
        <f t="shared" ref="O91:O98" si="27">IF(N91=0,0,O90+N91)</f>
        <v>0</v>
      </c>
      <c r="P91" s="297" t="e">
        <f t="shared" ref="P91:P98" si="28">(N91/D91/7)</f>
        <v>#DIV/0!</v>
      </c>
      <c r="Q91" s="163">
        <f>'Production data'!E90/100</f>
        <v>0.72996171617028038</v>
      </c>
      <c r="R91" s="300" t="e">
        <f t="shared" ref="R91:R98" si="29">O91/$G$6</f>
        <v>#DIV/0!</v>
      </c>
      <c r="S91" s="164">
        <f>'Production data'!G90</f>
        <v>427.94194427096153</v>
      </c>
      <c r="T91" s="209"/>
      <c r="U91" s="210"/>
      <c r="V91" s="161">
        <f t="shared" ref="V91:V98" si="30">IF(T91+U91=0,0,T91+U91)</f>
        <v>0</v>
      </c>
      <c r="W91" s="162">
        <f t="shared" ref="W91:W98" si="31">IF(V91=0,0,V91+W90)</f>
        <v>0</v>
      </c>
      <c r="X91" s="215"/>
      <c r="Y91" s="368">
        <f>Std!C96</f>
        <v>64.828000158622558</v>
      </c>
      <c r="Z91" s="209"/>
      <c r="AA91" s="165" t="str">
        <f t="shared" ref="AA91:AA98" si="32">IF(Z91="","",Z91/D91/7*1000)</f>
        <v/>
      </c>
      <c r="AB91" s="158" t="str">
        <f t="shared" si="20"/>
        <v/>
      </c>
      <c r="AC91" s="215"/>
      <c r="AD91" s="216"/>
      <c r="AE91" s="216"/>
      <c r="AF91" s="166">
        <f t="shared" ref="AF91:AF98" si="33">IF(D91="","",AF90+(AE90+AD91-AE91))</f>
        <v>0</v>
      </c>
      <c r="AG91" s="209"/>
      <c r="AH91" s="216"/>
      <c r="AI91" s="371">
        <f>Std!D96</f>
        <v>1971.9915698154787</v>
      </c>
      <c r="AJ91" s="220"/>
    </row>
    <row r="92" spans="1:37" ht="15.75" customHeight="1" x14ac:dyDescent="0.2">
      <c r="A92" s="441">
        <f t="shared" si="21"/>
        <v>651</v>
      </c>
      <c r="B92" s="306">
        <f t="shared" si="13"/>
        <v>41</v>
      </c>
      <c r="C92" s="306">
        <v>94</v>
      </c>
      <c r="D92" s="160">
        <f t="shared" si="25"/>
        <v>0</v>
      </c>
      <c r="E92" s="199"/>
      <c r="F92" s="200"/>
      <c r="G92" s="201"/>
      <c r="H92" s="201"/>
      <c r="I92" s="201"/>
      <c r="J92" s="201"/>
      <c r="K92" s="201"/>
      <c r="L92" s="202"/>
      <c r="M92" s="199"/>
      <c r="N92" s="161">
        <f t="shared" si="26"/>
        <v>0</v>
      </c>
      <c r="O92" s="162">
        <f t="shared" si="27"/>
        <v>0</v>
      </c>
      <c r="P92" s="297" t="e">
        <f t="shared" si="28"/>
        <v>#DIV/0!</v>
      </c>
      <c r="Q92" s="163">
        <f>'Production data'!E91/100</f>
        <v>0.7253761081284954</v>
      </c>
      <c r="R92" s="300" t="e">
        <f t="shared" si="29"/>
        <v>#DIV/0!</v>
      </c>
      <c r="S92" s="164">
        <f>'Production data'!G91</f>
        <v>432.64423841447098</v>
      </c>
      <c r="T92" s="209"/>
      <c r="U92" s="210"/>
      <c r="V92" s="161">
        <f t="shared" si="30"/>
        <v>0</v>
      </c>
      <c r="W92" s="162">
        <f t="shared" si="31"/>
        <v>0</v>
      </c>
      <c r="X92" s="215"/>
      <c r="Y92" s="368">
        <f>Std!C97</f>
        <v>64.858861876692231</v>
      </c>
      <c r="Z92" s="209"/>
      <c r="AA92" s="165" t="str">
        <f t="shared" si="32"/>
        <v/>
      </c>
      <c r="AB92" s="158" t="str">
        <f t="shared" si="20"/>
        <v/>
      </c>
      <c r="AC92" s="215"/>
      <c r="AD92" s="216"/>
      <c r="AE92" s="216"/>
      <c r="AF92" s="166">
        <f t="shared" si="33"/>
        <v>0</v>
      </c>
      <c r="AG92" s="209"/>
      <c r="AH92" s="216"/>
      <c r="AI92" s="371">
        <f>Std!D97</f>
        <v>1972.4589566839204</v>
      </c>
      <c r="AJ92" s="220"/>
    </row>
    <row r="93" spans="1:37" ht="15.75" customHeight="1" x14ac:dyDescent="0.2">
      <c r="A93" s="441">
        <f t="shared" si="21"/>
        <v>658</v>
      </c>
      <c r="B93" s="306">
        <f t="shared" si="13"/>
        <v>42</v>
      </c>
      <c r="C93" s="306">
        <v>95</v>
      </c>
      <c r="D93" s="160">
        <f t="shared" si="25"/>
        <v>0</v>
      </c>
      <c r="E93" s="199"/>
      <c r="F93" s="200"/>
      <c r="G93" s="201"/>
      <c r="H93" s="201"/>
      <c r="I93" s="201"/>
      <c r="J93" s="201"/>
      <c r="K93" s="201"/>
      <c r="L93" s="202"/>
      <c r="M93" s="199"/>
      <c r="N93" s="161">
        <f t="shared" si="26"/>
        <v>0</v>
      </c>
      <c r="O93" s="162">
        <f t="shared" si="27"/>
        <v>0</v>
      </c>
      <c r="P93" s="297" t="e">
        <f t="shared" si="28"/>
        <v>#DIV/0!</v>
      </c>
      <c r="Q93" s="163">
        <f>'Production data'!E92/100</f>
        <v>0.72078612107746565</v>
      </c>
      <c r="R93" s="300" t="e">
        <f t="shared" si="29"/>
        <v>#DIV/0!</v>
      </c>
      <c r="S93" s="164">
        <f>'Production data'!G92</f>
        <v>437.31193400878925</v>
      </c>
      <c r="T93" s="209"/>
      <c r="U93" s="210"/>
      <c r="V93" s="161">
        <f t="shared" si="30"/>
        <v>0</v>
      </c>
      <c r="W93" s="162">
        <f t="shared" si="31"/>
        <v>0</v>
      </c>
      <c r="X93" s="215"/>
      <c r="Y93" s="368">
        <f>Std!C98</f>
        <v>64.88972359476189</v>
      </c>
      <c r="Z93" s="209"/>
      <c r="AA93" s="165" t="str">
        <f t="shared" si="32"/>
        <v/>
      </c>
      <c r="AB93" s="158" t="str">
        <f t="shared" si="20"/>
        <v/>
      </c>
      <c r="AC93" s="215"/>
      <c r="AD93" s="216"/>
      <c r="AE93" s="216"/>
      <c r="AF93" s="166">
        <f t="shared" si="33"/>
        <v>0</v>
      </c>
      <c r="AG93" s="209"/>
      <c r="AH93" s="216"/>
      <c r="AI93" s="371">
        <f>Std!D98</f>
        <v>1972.9263435523621</v>
      </c>
      <c r="AJ93" s="220"/>
    </row>
    <row r="94" spans="1:37" ht="15.75" customHeight="1" x14ac:dyDescent="0.2">
      <c r="A94" s="441">
        <f t="shared" si="21"/>
        <v>665</v>
      </c>
      <c r="B94" s="306">
        <f t="shared" si="13"/>
        <v>43</v>
      </c>
      <c r="C94" s="306">
        <v>96</v>
      </c>
      <c r="D94" s="160">
        <f t="shared" si="25"/>
        <v>0</v>
      </c>
      <c r="E94" s="199"/>
      <c r="F94" s="200"/>
      <c r="G94" s="201"/>
      <c r="H94" s="201"/>
      <c r="I94" s="201"/>
      <c r="J94" s="201"/>
      <c r="K94" s="201"/>
      <c r="L94" s="202"/>
      <c r="M94" s="199"/>
      <c r="N94" s="161">
        <f t="shared" si="26"/>
        <v>0</v>
      </c>
      <c r="O94" s="162">
        <f t="shared" si="27"/>
        <v>0</v>
      </c>
      <c r="P94" s="297" t="e">
        <f t="shared" si="28"/>
        <v>#DIV/0!</v>
      </c>
      <c r="Q94" s="163">
        <f>'Production data'!E93/100</f>
        <v>0.71618683654952664</v>
      </c>
      <c r="R94" s="300" t="e">
        <f t="shared" si="29"/>
        <v>#DIV/0!</v>
      </c>
      <c r="S94" s="164">
        <f>'Production data'!G93</f>
        <v>441.94503259684853</v>
      </c>
      <c r="T94" s="209"/>
      <c r="U94" s="210"/>
      <c r="V94" s="161">
        <f t="shared" si="30"/>
        <v>0</v>
      </c>
      <c r="W94" s="162">
        <f t="shared" si="31"/>
        <v>0</v>
      </c>
      <c r="X94" s="215"/>
      <c r="Y94" s="368">
        <f>Std!C99</f>
        <v>64.920585312831548</v>
      </c>
      <c r="Z94" s="209"/>
      <c r="AA94" s="165" t="str">
        <f t="shared" si="32"/>
        <v/>
      </c>
      <c r="AB94" s="158" t="str">
        <f t="shared" si="20"/>
        <v/>
      </c>
      <c r="AC94" s="215"/>
      <c r="AD94" s="216"/>
      <c r="AE94" s="216"/>
      <c r="AF94" s="166">
        <f t="shared" si="33"/>
        <v>0</v>
      </c>
      <c r="AG94" s="209"/>
      <c r="AH94" s="216"/>
      <c r="AI94" s="371">
        <f>Std!D99</f>
        <v>1973.3937304208039</v>
      </c>
      <c r="AJ94" s="220"/>
    </row>
    <row r="95" spans="1:37" ht="15.75" customHeight="1" x14ac:dyDescent="0.2">
      <c r="A95" s="441">
        <f t="shared" si="21"/>
        <v>672</v>
      </c>
      <c r="B95" s="306">
        <f t="shared" si="13"/>
        <v>44</v>
      </c>
      <c r="C95" s="306">
        <v>97</v>
      </c>
      <c r="D95" s="160">
        <f t="shared" si="25"/>
        <v>0</v>
      </c>
      <c r="E95" s="199"/>
      <c r="F95" s="200"/>
      <c r="G95" s="201"/>
      <c r="H95" s="201"/>
      <c r="I95" s="201"/>
      <c r="J95" s="201"/>
      <c r="K95" s="201"/>
      <c r="L95" s="202"/>
      <c r="M95" s="199"/>
      <c r="N95" s="161">
        <f t="shared" si="26"/>
        <v>0</v>
      </c>
      <c r="O95" s="162">
        <f t="shared" si="27"/>
        <v>0</v>
      </c>
      <c r="P95" s="297" t="e">
        <f t="shared" si="28"/>
        <v>#DIV/0!</v>
      </c>
      <c r="Q95" s="163">
        <f>'Production data'!E94/100</f>
        <v>0.71157288181957656</v>
      </c>
      <c r="R95" s="300" t="e">
        <f t="shared" si="29"/>
        <v>#DIV/0!</v>
      </c>
      <c r="S95" s="164">
        <f>'Production data'!G94</f>
        <v>446.54350118831934</v>
      </c>
      <c r="T95" s="209"/>
      <c r="U95" s="210"/>
      <c r="V95" s="161">
        <f t="shared" si="30"/>
        <v>0</v>
      </c>
      <c r="W95" s="162">
        <f t="shared" si="31"/>
        <v>0</v>
      </c>
      <c r="X95" s="215"/>
      <c r="Y95" s="368">
        <f>Std!C100</f>
        <v>64.951447030901221</v>
      </c>
      <c r="Z95" s="209"/>
      <c r="AA95" s="165" t="str">
        <f t="shared" si="32"/>
        <v/>
      </c>
      <c r="AB95" s="158" t="str">
        <f t="shared" si="20"/>
        <v/>
      </c>
      <c r="AC95" s="215"/>
      <c r="AD95" s="216"/>
      <c r="AE95" s="216"/>
      <c r="AF95" s="166">
        <f t="shared" si="33"/>
        <v>0</v>
      </c>
      <c r="AG95" s="209"/>
      <c r="AH95" s="216"/>
      <c r="AI95" s="371">
        <f>Std!D100</f>
        <v>1973.8611172892458</v>
      </c>
      <c r="AJ95" s="220"/>
    </row>
    <row r="96" spans="1:37" ht="15.75" customHeight="1" x14ac:dyDescent="0.2">
      <c r="A96" s="441">
        <f t="shared" si="21"/>
        <v>679</v>
      </c>
      <c r="B96" s="306">
        <f t="shared" si="13"/>
        <v>45</v>
      </c>
      <c r="C96" s="306">
        <v>98</v>
      </c>
      <c r="D96" s="160">
        <f t="shared" si="25"/>
        <v>0</v>
      </c>
      <c r="E96" s="199"/>
      <c r="F96" s="200"/>
      <c r="G96" s="201"/>
      <c r="H96" s="201"/>
      <c r="I96" s="201"/>
      <c r="J96" s="201"/>
      <c r="K96" s="201"/>
      <c r="L96" s="202"/>
      <c r="M96" s="199"/>
      <c r="N96" s="161">
        <f t="shared" si="26"/>
        <v>0</v>
      </c>
      <c r="O96" s="162">
        <f t="shared" si="27"/>
        <v>0</v>
      </c>
      <c r="P96" s="297" t="e">
        <f t="shared" si="28"/>
        <v>#DIV/0!</v>
      </c>
      <c r="Q96" s="163">
        <f>'Production data'!E95/100</f>
        <v>0.70693842990506595</v>
      </c>
      <c r="R96" s="300" t="e">
        <f t="shared" si="29"/>
        <v>#DIV/0!</v>
      </c>
      <c r="S96" s="164">
        <f>'Production data'!G95</f>
        <v>451.10726947148885</v>
      </c>
      <c r="T96" s="209"/>
      <c r="U96" s="210"/>
      <c r="V96" s="161">
        <f t="shared" si="30"/>
        <v>0</v>
      </c>
      <c r="W96" s="162">
        <f t="shared" si="31"/>
        <v>0</v>
      </c>
      <c r="X96" s="215"/>
      <c r="Y96" s="368">
        <f>Std!C101</f>
        <v>64.98230874897088</v>
      </c>
      <c r="Z96" s="209"/>
      <c r="AA96" s="165" t="str">
        <f t="shared" si="32"/>
        <v/>
      </c>
      <c r="AB96" s="158" t="str">
        <f t="shared" si="20"/>
        <v/>
      </c>
      <c r="AC96" s="215"/>
      <c r="AD96" s="216"/>
      <c r="AE96" s="216"/>
      <c r="AF96" s="166">
        <f t="shared" si="33"/>
        <v>0</v>
      </c>
      <c r="AG96" s="209"/>
      <c r="AH96" s="216"/>
      <c r="AI96" s="371">
        <f>Std!D101</f>
        <v>1974.3285041576876</v>
      </c>
      <c r="AJ96" s="220"/>
    </row>
    <row r="97" spans="1:36" ht="15.75" customHeight="1" x14ac:dyDescent="0.2">
      <c r="A97" s="441">
        <f t="shared" si="21"/>
        <v>686</v>
      </c>
      <c r="B97" s="306">
        <f t="shared" si="13"/>
        <v>46</v>
      </c>
      <c r="C97" s="306">
        <v>99</v>
      </c>
      <c r="D97" s="160">
        <f t="shared" si="25"/>
        <v>0</v>
      </c>
      <c r="E97" s="199"/>
      <c r="F97" s="200"/>
      <c r="G97" s="201"/>
      <c r="H97" s="201"/>
      <c r="I97" s="201"/>
      <c r="J97" s="201"/>
      <c r="K97" s="201"/>
      <c r="L97" s="202"/>
      <c r="M97" s="199"/>
      <c r="N97" s="161">
        <f t="shared" si="26"/>
        <v>0</v>
      </c>
      <c r="O97" s="162">
        <f t="shared" si="27"/>
        <v>0</v>
      </c>
      <c r="P97" s="297" t="e">
        <f t="shared" si="28"/>
        <v>#DIV/0!</v>
      </c>
      <c r="Q97" s="163">
        <f>'Production data'!E96/100</f>
        <v>0.70227719956600421</v>
      </c>
      <c r="R97" s="300" t="e">
        <f t="shared" si="29"/>
        <v>#DIV/0!</v>
      </c>
      <c r="S97" s="164">
        <f>'Production data'!G96</f>
        <v>455.63622704040199</v>
      </c>
      <c r="T97" s="209"/>
      <c r="U97" s="210"/>
      <c r="V97" s="161">
        <f t="shared" si="30"/>
        <v>0</v>
      </c>
      <c r="W97" s="162">
        <f t="shared" si="31"/>
        <v>0</v>
      </c>
      <c r="X97" s="215"/>
      <c r="Y97" s="368">
        <f>Std!C102</f>
        <v>65.013170467040538</v>
      </c>
      <c r="Z97" s="209"/>
      <c r="AA97" s="165" t="str">
        <f t="shared" si="32"/>
        <v/>
      </c>
      <c r="AB97" s="158" t="str">
        <f t="shared" si="20"/>
        <v/>
      </c>
      <c r="AC97" s="215"/>
      <c r="AD97" s="216"/>
      <c r="AE97" s="216"/>
      <c r="AF97" s="166">
        <f t="shared" si="33"/>
        <v>0</v>
      </c>
      <c r="AG97" s="209"/>
      <c r="AH97" s="216"/>
      <c r="AI97" s="371">
        <f>Std!D102</f>
        <v>1974.7958910261293</v>
      </c>
      <c r="AJ97" s="220"/>
    </row>
    <row r="98" spans="1:36" ht="15.75" customHeight="1" thickBot="1" x14ac:dyDescent="0.25">
      <c r="A98" s="442">
        <f t="shared" si="21"/>
        <v>693</v>
      </c>
      <c r="B98" s="307">
        <f t="shared" si="13"/>
        <v>47</v>
      </c>
      <c r="C98" s="307">
        <v>100</v>
      </c>
      <c r="D98" s="167">
        <f t="shared" si="25"/>
        <v>0</v>
      </c>
      <c r="E98" s="203"/>
      <c r="F98" s="204"/>
      <c r="G98" s="205"/>
      <c r="H98" s="205"/>
      <c r="I98" s="205"/>
      <c r="J98" s="205"/>
      <c r="K98" s="205"/>
      <c r="L98" s="206"/>
      <c r="M98" s="203"/>
      <c r="N98" s="168">
        <f t="shared" si="26"/>
        <v>0</v>
      </c>
      <c r="O98" s="169">
        <f t="shared" si="27"/>
        <v>0</v>
      </c>
      <c r="P98" s="298" t="e">
        <f t="shared" si="28"/>
        <v>#DIV/0!</v>
      </c>
      <c r="Q98" s="170">
        <f>'Production data'!E97/100</f>
        <v>0.69758245530496044</v>
      </c>
      <c r="R98" s="301" t="e">
        <f t="shared" si="29"/>
        <v>#DIV/0!</v>
      </c>
      <c r="S98" s="171">
        <f>'Production data'!G97</f>
        <v>460.13022063726578</v>
      </c>
      <c r="T98" s="211"/>
      <c r="U98" s="212"/>
      <c r="V98" s="168">
        <f t="shared" si="30"/>
        <v>0</v>
      </c>
      <c r="W98" s="169">
        <f t="shared" si="31"/>
        <v>0</v>
      </c>
      <c r="X98" s="217"/>
      <c r="Y98" s="369">
        <f>Std!C103</f>
        <v>65.044032185110211</v>
      </c>
      <c r="Z98" s="211"/>
      <c r="AA98" s="172" t="str">
        <f t="shared" si="32"/>
        <v/>
      </c>
      <c r="AB98" s="173" t="str">
        <f t="shared" si="20"/>
        <v/>
      </c>
      <c r="AC98" s="217"/>
      <c r="AD98" s="218"/>
      <c r="AE98" s="218"/>
      <c r="AF98" s="174">
        <f t="shared" si="33"/>
        <v>0</v>
      </c>
      <c r="AG98" s="211"/>
      <c r="AH98" s="218"/>
      <c r="AI98" s="372">
        <f>Std!D103</f>
        <v>1975.263277894571</v>
      </c>
      <c r="AJ98" s="222"/>
    </row>
    <row r="99" spans="1:36" ht="15.75" customHeight="1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</row>
    <row r="100" spans="1:36" ht="15.75" customHeight="1" x14ac:dyDescent="0.2">
      <c r="A100" s="50"/>
      <c r="B100" s="50"/>
    </row>
    <row r="101" spans="1:36" ht="15.75" customHeight="1" x14ac:dyDescent="0.2">
      <c r="A101" s="50"/>
      <c r="B101" s="50"/>
    </row>
    <row r="102" spans="1:36" ht="15.75" customHeight="1" x14ac:dyDescent="0.2">
      <c r="A102" s="50"/>
      <c r="B102" s="50"/>
    </row>
    <row r="103" spans="1:36" ht="15.75" customHeight="1" x14ac:dyDescent="0.2">
      <c r="A103" s="50"/>
      <c r="B103" s="50"/>
    </row>
    <row r="104" spans="1:36" ht="15.75" customHeight="1" x14ac:dyDescent="0.2">
      <c r="A104" s="50"/>
      <c r="B104" s="50"/>
    </row>
    <row r="105" spans="1:36" ht="15.75" customHeight="1" x14ac:dyDescent="0.2">
      <c r="A105" s="50"/>
      <c r="B105" s="50"/>
    </row>
    <row r="106" spans="1:36" ht="15.75" customHeight="1" x14ac:dyDescent="0.2">
      <c r="A106" s="50"/>
      <c r="B106" s="50"/>
    </row>
    <row r="107" spans="1:36" ht="15.75" customHeight="1" x14ac:dyDescent="0.2">
      <c r="A107" s="50"/>
      <c r="B107" s="50"/>
    </row>
    <row r="108" spans="1:36" ht="15.75" customHeight="1" x14ac:dyDescent="0.2">
      <c r="A108" s="50"/>
      <c r="B108" s="50"/>
    </row>
    <row r="109" spans="1:36" ht="15.75" customHeight="1" x14ac:dyDescent="0.2">
      <c r="A109" s="50"/>
      <c r="B109" s="50"/>
    </row>
    <row r="110" spans="1:36" ht="15.75" customHeight="1" x14ac:dyDescent="0.2">
      <c r="A110" s="50"/>
      <c r="B110" s="50"/>
    </row>
    <row r="111" spans="1:36" ht="15.75" customHeight="1" x14ac:dyDescent="0.2">
      <c r="A111" s="50"/>
      <c r="B111" s="50"/>
    </row>
    <row r="112" spans="1:36" ht="15.75" customHeight="1" x14ac:dyDescent="0.2">
      <c r="A112" s="50"/>
      <c r="B112" s="50"/>
    </row>
    <row r="113" spans="1:2" ht="15.75" customHeight="1" x14ac:dyDescent="0.2">
      <c r="A113" s="50"/>
      <c r="B113" s="50"/>
    </row>
    <row r="114" spans="1:2" ht="15.75" customHeight="1" x14ac:dyDescent="0.2">
      <c r="A114" s="50"/>
      <c r="B114" s="50"/>
    </row>
    <row r="115" spans="1:2" ht="15.75" customHeight="1" x14ac:dyDescent="0.2">
      <c r="A115" s="50"/>
      <c r="B115" s="50"/>
    </row>
    <row r="116" spans="1:2" ht="15.75" customHeight="1" x14ac:dyDescent="0.2">
      <c r="A116" s="50"/>
      <c r="B116" s="50"/>
    </row>
    <row r="117" spans="1:2" ht="15.75" customHeight="1" x14ac:dyDescent="0.2">
      <c r="A117" s="50"/>
      <c r="B117" s="50"/>
    </row>
    <row r="118" spans="1:2" ht="15.75" customHeight="1" x14ac:dyDescent="0.2">
      <c r="A118" s="50"/>
      <c r="B118" s="50"/>
    </row>
    <row r="119" spans="1:2" ht="15.75" customHeight="1" x14ac:dyDescent="0.2">
      <c r="A119" s="50"/>
      <c r="B119" s="50"/>
    </row>
    <row r="120" spans="1:2" ht="15.75" customHeight="1" x14ac:dyDescent="0.2">
      <c r="A120" s="50"/>
      <c r="B120" s="50"/>
    </row>
    <row r="121" spans="1:2" ht="15.75" customHeight="1" x14ac:dyDescent="0.2">
      <c r="A121" s="50"/>
      <c r="B121" s="50"/>
    </row>
    <row r="122" spans="1:2" ht="15.75" customHeight="1" x14ac:dyDescent="0.2">
      <c r="A122" s="50"/>
      <c r="B122" s="50"/>
    </row>
    <row r="123" spans="1:2" ht="15.75" customHeight="1" x14ac:dyDescent="0.2">
      <c r="A123" s="50"/>
      <c r="B123" s="50"/>
    </row>
    <row r="124" spans="1:2" ht="15.75" customHeight="1" x14ac:dyDescent="0.2">
      <c r="A124" s="50"/>
      <c r="B124" s="50"/>
    </row>
    <row r="125" spans="1:2" ht="15.75" customHeight="1" x14ac:dyDescent="0.2">
      <c r="A125" s="50"/>
      <c r="B125" s="50"/>
    </row>
    <row r="126" spans="1:2" ht="15.75" customHeight="1" x14ac:dyDescent="0.2">
      <c r="A126" s="50"/>
      <c r="B126" s="50"/>
    </row>
    <row r="127" spans="1:2" ht="15.75" customHeight="1" x14ac:dyDescent="0.2">
      <c r="A127" s="50"/>
      <c r="B127" s="50"/>
    </row>
    <row r="128" spans="1:2" ht="15.75" customHeight="1" x14ac:dyDescent="0.2">
      <c r="A128" s="50"/>
      <c r="B128" s="50"/>
    </row>
    <row r="129" spans="1:2" ht="15.75" customHeight="1" x14ac:dyDescent="0.2">
      <c r="A129" s="50"/>
      <c r="B129" s="50"/>
    </row>
    <row r="130" spans="1:2" ht="15.75" customHeight="1" x14ac:dyDescent="0.2">
      <c r="A130" s="50"/>
      <c r="B130" s="50"/>
    </row>
    <row r="131" spans="1:2" ht="15.75" customHeight="1" x14ac:dyDescent="0.2">
      <c r="A131" s="50"/>
      <c r="B131" s="50"/>
    </row>
    <row r="132" spans="1:2" ht="15.75" customHeight="1" x14ac:dyDescent="0.2">
      <c r="A132" s="50"/>
      <c r="B132" s="50"/>
    </row>
    <row r="133" spans="1:2" ht="15.75" customHeight="1" x14ac:dyDescent="0.2">
      <c r="A133" s="50"/>
      <c r="B133" s="50"/>
    </row>
    <row r="134" spans="1:2" ht="15.75" customHeight="1" x14ac:dyDescent="0.2">
      <c r="A134" s="50"/>
      <c r="B134" s="50"/>
    </row>
    <row r="135" spans="1:2" ht="15.75" customHeight="1" x14ac:dyDescent="0.2">
      <c r="A135" s="50"/>
      <c r="B135" s="50"/>
    </row>
    <row r="136" spans="1:2" ht="15.75" customHeight="1" x14ac:dyDescent="0.2">
      <c r="A136" s="50"/>
      <c r="B136" s="50"/>
    </row>
    <row r="137" spans="1:2" ht="15.75" customHeight="1" x14ac:dyDescent="0.2">
      <c r="A137" s="50"/>
      <c r="B137" s="50"/>
    </row>
    <row r="138" spans="1:2" ht="15.75" customHeight="1" x14ac:dyDescent="0.2">
      <c r="A138" s="50"/>
      <c r="B138" s="50"/>
    </row>
    <row r="139" spans="1:2" ht="15.75" customHeight="1" x14ac:dyDescent="0.2">
      <c r="A139" s="50"/>
      <c r="B139" s="50"/>
    </row>
    <row r="140" spans="1:2" ht="15.75" customHeight="1" x14ac:dyDescent="0.2">
      <c r="A140" s="50"/>
      <c r="B140" s="50"/>
    </row>
    <row r="141" spans="1:2" ht="15.75" customHeight="1" x14ac:dyDescent="0.2">
      <c r="A141" s="50"/>
      <c r="B141" s="50"/>
    </row>
    <row r="142" spans="1:2" ht="15.75" customHeight="1" x14ac:dyDescent="0.2">
      <c r="A142" s="50"/>
      <c r="B142" s="50"/>
    </row>
    <row r="143" spans="1:2" ht="15.75" customHeight="1" x14ac:dyDescent="0.2">
      <c r="A143" s="50"/>
      <c r="B143" s="50"/>
    </row>
    <row r="144" spans="1:2" ht="15.75" customHeight="1" x14ac:dyDescent="0.2">
      <c r="A144" s="50"/>
      <c r="B144" s="50"/>
    </row>
    <row r="145" spans="1:2" ht="15.75" customHeight="1" x14ac:dyDescent="0.2">
      <c r="A145" s="50"/>
      <c r="B145" s="50"/>
    </row>
    <row r="146" spans="1:2" ht="15.75" customHeight="1" x14ac:dyDescent="0.2">
      <c r="A146" s="50"/>
      <c r="B146" s="50"/>
    </row>
    <row r="147" spans="1:2" ht="15.75" customHeight="1" x14ac:dyDescent="0.2">
      <c r="A147" s="50"/>
      <c r="B147" s="50"/>
    </row>
    <row r="148" spans="1:2" ht="15.75" customHeight="1" x14ac:dyDescent="0.2">
      <c r="A148" s="50"/>
      <c r="B148" s="50"/>
    </row>
    <row r="149" spans="1:2" ht="15.75" customHeight="1" x14ac:dyDescent="0.2">
      <c r="A149" s="50"/>
      <c r="B149" s="50"/>
    </row>
    <row r="150" spans="1:2" ht="15.75" customHeight="1" x14ac:dyDescent="0.2">
      <c r="A150" s="50"/>
      <c r="B150" s="50"/>
    </row>
    <row r="151" spans="1:2" ht="15.75" customHeight="1" x14ac:dyDescent="0.2">
      <c r="A151" s="50"/>
      <c r="B151" s="50"/>
    </row>
    <row r="152" spans="1:2" ht="15.75" customHeight="1" x14ac:dyDescent="0.2">
      <c r="A152" s="50"/>
      <c r="B152" s="50"/>
    </row>
    <row r="153" spans="1:2" ht="15.75" customHeight="1" x14ac:dyDescent="0.2">
      <c r="A153" s="50"/>
      <c r="B153" s="50"/>
    </row>
    <row r="154" spans="1:2" ht="15.75" customHeight="1" x14ac:dyDescent="0.2">
      <c r="A154" s="50"/>
      <c r="B154" s="50"/>
    </row>
    <row r="155" spans="1:2" ht="15.75" customHeight="1" x14ac:dyDescent="0.2">
      <c r="A155" s="50"/>
      <c r="B155" s="50"/>
    </row>
    <row r="156" spans="1:2" ht="15.75" customHeight="1" x14ac:dyDescent="0.2">
      <c r="A156" s="50"/>
      <c r="B156" s="50"/>
    </row>
    <row r="157" spans="1:2" ht="15.75" customHeight="1" x14ac:dyDescent="0.2">
      <c r="A157" s="50"/>
      <c r="B157" s="50"/>
    </row>
    <row r="158" spans="1:2" ht="15.75" customHeight="1" x14ac:dyDescent="0.2">
      <c r="A158" s="50"/>
      <c r="B158" s="50"/>
    </row>
    <row r="159" spans="1:2" ht="15.75" customHeight="1" x14ac:dyDescent="0.2">
      <c r="A159" s="50"/>
      <c r="B159" s="50"/>
    </row>
    <row r="160" spans="1:2" ht="15.75" customHeight="1" x14ac:dyDescent="0.2">
      <c r="A160" s="50"/>
      <c r="B160" s="50"/>
    </row>
    <row r="161" spans="1:2" ht="15.75" customHeight="1" x14ac:dyDescent="0.2">
      <c r="A161" s="50"/>
      <c r="B161" s="50"/>
    </row>
    <row r="162" spans="1:2" ht="15.75" customHeight="1" x14ac:dyDescent="0.2">
      <c r="A162" s="50"/>
      <c r="B162" s="50"/>
    </row>
    <row r="163" spans="1:2" ht="15.75" customHeight="1" x14ac:dyDescent="0.2">
      <c r="A163" s="50"/>
      <c r="B163" s="50"/>
    </row>
    <row r="164" spans="1:2" ht="15.75" customHeight="1" x14ac:dyDescent="0.2">
      <c r="A164" s="50"/>
      <c r="B164" s="50"/>
    </row>
    <row r="165" spans="1:2" ht="15.75" customHeight="1" x14ac:dyDescent="0.2">
      <c r="A165" s="50"/>
      <c r="B165" s="50"/>
    </row>
    <row r="166" spans="1:2" ht="15.75" customHeight="1" x14ac:dyDescent="0.2">
      <c r="A166" s="50"/>
      <c r="B166" s="50"/>
    </row>
    <row r="167" spans="1:2" ht="15.75" customHeight="1" x14ac:dyDescent="0.2">
      <c r="A167" s="50"/>
      <c r="B167" s="50"/>
    </row>
    <row r="168" spans="1:2" ht="15.75" customHeight="1" x14ac:dyDescent="0.2">
      <c r="A168" s="50"/>
      <c r="B168" s="50"/>
    </row>
    <row r="169" spans="1:2" ht="15.75" customHeight="1" x14ac:dyDescent="0.2">
      <c r="A169" s="50"/>
      <c r="B169" s="50"/>
    </row>
    <row r="170" spans="1:2" ht="15.75" customHeight="1" x14ac:dyDescent="0.2">
      <c r="A170" s="50"/>
      <c r="B170" s="50"/>
    </row>
    <row r="171" spans="1:2" ht="15.75" customHeight="1" x14ac:dyDescent="0.2">
      <c r="A171" s="50"/>
      <c r="B171" s="50"/>
    </row>
    <row r="172" spans="1:2" ht="15.75" customHeight="1" x14ac:dyDescent="0.2">
      <c r="A172" s="50"/>
      <c r="B172" s="50"/>
    </row>
    <row r="173" spans="1:2" ht="15.75" customHeight="1" x14ac:dyDescent="0.2">
      <c r="A173" s="50"/>
      <c r="B173" s="50"/>
    </row>
    <row r="174" spans="1:2" ht="15.75" customHeight="1" x14ac:dyDescent="0.2">
      <c r="A174" s="50"/>
      <c r="B174" s="50"/>
    </row>
    <row r="175" spans="1:2" ht="15.75" customHeight="1" x14ac:dyDescent="0.2">
      <c r="A175" s="50"/>
      <c r="B175" s="50"/>
    </row>
    <row r="176" spans="1:2" ht="15.75" customHeight="1" x14ac:dyDescent="0.2">
      <c r="A176" s="50"/>
      <c r="B176" s="50"/>
    </row>
    <row r="177" spans="1:2" ht="15.75" customHeight="1" x14ac:dyDescent="0.2">
      <c r="A177" s="50"/>
      <c r="B177" s="50"/>
    </row>
    <row r="178" spans="1:2" ht="15.75" customHeight="1" x14ac:dyDescent="0.2">
      <c r="A178" s="50"/>
      <c r="B178" s="50"/>
    </row>
    <row r="179" spans="1:2" ht="15.75" customHeight="1" x14ac:dyDescent="0.2">
      <c r="A179" s="50"/>
      <c r="B179" s="50"/>
    </row>
    <row r="180" spans="1:2" ht="15.75" customHeight="1" x14ac:dyDescent="0.2">
      <c r="A180" s="50"/>
      <c r="B180" s="50"/>
    </row>
    <row r="181" spans="1:2" ht="15.75" customHeight="1" x14ac:dyDescent="0.2">
      <c r="A181" s="50"/>
      <c r="B181" s="50"/>
    </row>
    <row r="182" spans="1:2" ht="15.75" customHeight="1" x14ac:dyDescent="0.2">
      <c r="A182" s="50"/>
      <c r="B182" s="50"/>
    </row>
    <row r="183" spans="1:2" ht="15.75" customHeight="1" x14ac:dyDescent="0.2">
      <c r="A183" s="50"/>
      <c r="B183" s="50"/>
    </row>
    <row r="184" spans="1:2" ht="15.75" customHeight="1" x14ac:dyDescent="0.2">
      <c r="A184" s="50"/>
      <c r="B184" s="50"/>
    </row>
    <row r="185" spans="1:2" ht="15.75" customHeight="1" x14ac:dyDescent="0.2">
      <c r="A185" s="50"/>
      <c r="B185" s="50"/>
    </row>
    <row r="186" spans="1:2" ht="15.75" customHeight="1" x14ac:dyDescent="0.2">
      <c r="A186" s="50"/>
      <c r="B186" s="50"/>
    </row>
    <row r="187" spans="1:2" ht="15.75" customHeight="1" x14ac:dyDescent="0.2">
      <c r="A187" s="50"/>
      <c r="B187" s="50"/>
    </row>
    <row r="188" spans="1:2" ht="15.75" customHeight="1" x14ac:dyDescent="0.2">
      <c r="A188" s="50"/>
      <c r="B188" s="50"/>
    </row>
    <row r="189" spans="1:2" ht="15.75" customHeight="1" x14ac:dyDescent="0.2">
      <c r="A189" s="50"/>
      <c r="B189" s="50"/>
    </row>
    <row r="190" spans="1:2" ht="15.75" customHeight="1" x14ac:dyDescent="0.2">
      <c r="A190" s="50"/>
      <c r="B190" s="50"/>
    </row>
    <row r="191" spans="1:2" ht="15.75" customHeight="1" x14ac:dyDescent="0.2">
      <c r="A191" s="50"/>
      <c r="B191" s="50"/>
    </row>
    <row r="192" spans="1:2" ht="15.75" customHeight="1" x14ac:dyDescent="0.2">
      <c r="A192" s="50"/>
      <c r="B192" s="50"/>
    </row>
    <row r="193" spans="1:2" ht="15.75" customHeight="1" x14ac:dyDescent="0.2">
      <c r="A193" s="50"/>
      <c r="B193" s="50"/>
    </row>
    <row r="194" spans="1:2" ht="15.75" customHeight="1" x14ac:dyDescent="0.2">
      <c r="A194" s="50"/>
      <c r="B194" s="50"/>
    </row>
    <row r="195" spans="1:2" ht="15.75" customHeight="1" x14ac:dyDescent="0.2">
      <c r="A195" s="50"/>
      <c r="B195" s="50"/>
    </row>
    <row r="196" spans="1:2" ht="15.75" customHeight="1" x14ac:dyDescent="0.2">
      <c r="A196" s="50"/>
      <c r="B196" s="50"/>
    </row>
    <row r="197" spans="1:2" ht="15.75" customHeight="1" x14ac:dyDescent="0.2">
      <c r="A197" s="50"/>
      <c r="B197" s="50"/>
    </row>
    <row r="198" spans="1:2" ht="15.75" customHeight="1" x14ac:dyDescent="0.2">
      <c r="A198" s="50"/>
      <c r="B198" s="50"/>
    </row>
    <row r="199" spans="1:2" ht="15.75" customHeight="1" x14ac:dyDescent="0.2">
      <c r="A199" s="50"/>
      <c r="B199" s="50"/>
    </row>
    <row r="200" spans="1:2" ht="15.75" customHeight="1" x14ac:dyDescent="0.2">
      <c r="A200" s="50"/>
      <c r="B200" s="50"/>
    </row>
    <row r="201" spans="1:2" ht="15.75" customHeight="1" x14ac:dyDescent="0.2">
      <c r="A201" s="50"/>
      <c r="B201" s="50"/>
    </row>
    <row r="202" spans="1:2" ht="15.75" customHeight="1" x14ac:dyDescent="0.2">
      <c r="A202" s="50"/>
      <c r="B202" s="50"/>
    </row>
    <row r="203" spans="1:2" ht="15.75" customHeight="1" x14ac:dyDescent="0.2">
      <c r="A203" s="50"/>
      <c r="B203" s="50"/>
    </row>
    <row r="204" spans="1:2" ht="15.75" customHeight="1" x14ac:dyDescent="0.2">
      <c r="A204" s="50"/>
      <c r="B204" s="50"/>
    </row>
    <row r="205" spans="1:2" ht="15.75" customHeight="1" x14ac:dyDescent="0.2">
      <c r="A205" s="50"/>
      <c r="B205" s="50"/>
    </row>
    <row r="206" spans="1:2" ht="15.75" customHeight="1" x14ac:dyDescent="0.2">
      <c r="A206" s="50"/>
      <c r="B206" s="50"/>
    </row>
    <row r="207" spans="1:2" ht="15.75" customHeight="1" x14ac:dyDescent="0.2">
      <c r="A207" s="50"/>
      <c r="B207" s="50"/>
    </row>
    <row r="208" spans="1:2" ht="15.75" customHeight="1" x14ac:dyDescent="0.2">
      <c r="A208" s="50"/>
      <c r="B208" s="50"/>
    </row>
    <row r="209" spans="1:2" ht="15.75" customHeight="1" x14ac:dyDescent="0.2">
      <c r="A209" s="50"/>
      <c r="B209" s="50"/>
    </row>
    <row r="210" spans="1:2" ht="15.75" customHeight="1" x14ac:dyDescent="0.2">
      <c r="A210" s="50"/>
      <c r="B210" s="50"/>
    </row>
    <row r="211" spans="1:2" ht="15.75" customHeight="1" x14ac:dyDescent="0.2">
      <c r="A211" s="50"/>
      <c r="B211" s="50"/>
    </row>
    <row r="212" spans="1:2" ht="15.75" customHeight="1" x14ac:dyDescent="0.2">
      <c r="A212" s="50"/>
      <c r="B212" s="50"/>
    </row>
    <row r="213" spans="1:2" ht="15.75" customHeight="1" x14ac:dyDescent="0.2">
      <c r="A213" s="50"/>
      <c r="B213" s="50"/>
    </row>
    <row r="214" spans="1:2" ht="15.75" customHeight="1" x14ac:dyDescent="0.2">
      <c r="A214" s="50"/>
      <c r="B214" s="50"/>
    </row>
    <row r="215" spans="1:2" ht="15.75" customHeight="1" x14ac:dyDescent="0.2">
      <c r="A215" s="50"/>
      <c r="B215" s="50"/>
    </row>
    <row r="216" spans="1:2" ht="15.75" customHeight="1" x14ac:dyDescent="0.2">
      <c r="A216" s="50"/>
      <c r="B216" s="50"/>
    </row>
    <row r="217" spans="1:2" ht="15.75" customHeight="1" x14ac:dyDescent="0.2">
      <c r="A217" s="50"/>
      <c r="B217" s="50"/>
    </row>
    <row r="218" spans="1:2" ht="15.75" customHeight="1" x14ac:dyDescent="0.2">
      <c r="A218" s="50"/>
      <c r="B218" s="50"/>
    </row>
    <row r="219" spans="1:2" ht="15.75" customHeight="1" x14ac:dyDescent="0.2">
      <c r="A219" s="50"/>
      <c r="B219" s="50"/>
    </row>
    <row r="220" spans="1:2" ht="15.75" customHeight="1" x14ac:dyDescent="0.2">
      <c r="A220" s="50"/>
      <c r="B220" s="50"/>
    </row>
    <row r="221" spans="1:2" ht="15.75" customHeight="1" x14ac:dyDescent="0.2">
      <c r="A221" s="50"/>
      <c r="B221" s="50"/>
    </row>
    <row r="222" spans="1:2" ht="15.75" customHeight="1" x14ac:dyDescent="0.2">
      <c r="A222" s="50"/>
      <c r="B222" s="50"/>
    </row>
    <row r="223" spans="1:2" ht="15.75" customHeight="1" x14ac:dyDescent="0.2">
      <c r="A223" s="50"/>
      <c r="B223" s="50"/>
    </row>
    <row r="224" spans="1:2" ht="15.75" customHeight="1" x14ac:dyDescent="0.2">
      <c r="A224" s="50"/>
      <c r="B224" s="50"/>
    </row>
    <row r="225" spans="1:2" ht="15.75" customHeight="1" x14ac:dyDescent="0.2">
      <c r="A225" s="50"/>
      <c r="B225" s="50"/>
    </row>
    <row r="226" spans="1:2" ht="15.75" customHeight="1" x14ac:dyDescent="0.2">
      <c r="A226" s="50"/>
      <c r="B226" s="50"/>
    </row>
    <row r="227" spans="1:2" ht="15.75" customHeight="1" x14ac:dyDescent="0.2">
      <c r="A227" s="50"/>
      <c r="B227" s="50"/>
    </row>
    <row r="228" spans="1:2" ht="15.75" customHeight="1" x14ac:dyDescent="0.2">
      <c r="A228" s="50"/>
      <c r="B228" s="50"/>
    </row>
    <row r="229" spans="1:2" ht="15.75" customHeight="1" x14ac:dyDescent="0.2">
      <c r="A229" s="50"/>
      <c r="B229" s="50"/>
    </row>
    <row r="230" spans="1:2" ht="15.75" customHeight="1" x14ac:dyDescent="0.2">
      <c r="A230" s="50"/>
      <c r="B230" s="50"/>
    </row>
    <row r="231" spans="1:2" ht="15.75" customHeight="1" x14ac:dyDescent="0.2">
      <c r="A231" s="50"/>
      <c r="B231" s="50"/>
    </row>
    <row r="232" spans="1:2" ht="15.75" customHeight="1" x14ac:dyDescent="0.2">
      <c r="A232" s="50"/>
      <c r="B232" s="50"/>
    </row>
    <row r="233" spans="1:2" ht="15.75" customHeight="1" x14ac:dyDescent="0.2">
      <c r="A233" s="50"/>
      <c r="B233" s="50"/>
    </row>
    <row r="234" spans="1:2" ht="15.75" customHeight="1" x14ac:dyDescent="0.2">
      <c r="A234" s="50"/>
      <c r="B234" s="50"/>
    </row>
    <row r="235" spans="1:2" ht="15.75" customHeight="1" x14ac:dyDescent="0.2">
      <c r="A235" s="50"/>
      <c r="B235" s="50"/>
    </row>
    <row r="236" spans="1:2" ht="15.75" customHeight="1" x14ac:dyDescent="0.2">
      <c r="A236" s="50"/>
      <c r="B236" s="50"/>
    </row>
    <row r="237" spans="1:2" ht="15.75" customHeight="1" x14ac:dyDescent="0.2">
      <c r="A237" s="50"/>
      <c r="B237" s="50"/>
    </row>
    <row r="238" spans="1:2" ht="15.75" customHeight="1" x14ac:dyDescent="0.2">
      <c r="A238" s="50"/>
      <c r="B238" s="50"/>
    </row>
    <row r="239" spans="1:2" ht="15.75" customHeight="1" x14ac:dyDescent="0.2">
      <c r="A239" s="50"/>
      <c r="B239" s="50"/>
    </row>
    <row r="240" spans="1:2" ht="15.75" customHeight="1" x14ac:dyDescent="0.2">
      <c r="A240" s="50"/>
      <c r="B240" s="50"/>
    </row>
    <row r="241" spans="1:2" ht="15.75" customHeight="1" x14ac:dyDescent="0.2">
      <c r="A241" s="50"/>
      <c r="B241" s="50"/>
    </row>
    <row r="242" spans="1:2" ht="15.75" customHeight="1" x14ac:dyDescent="0.2">
      <c r="A242" s="50"/>
      <c r="B242" s="50"/>
    </row>
    <row r="243" spans="1:2" ht="15.75" customHeight="1" x14ac:dyDescent="0.2">
      <c r="A243" s="50"/>
      <c r="B243" s="50"/>
    </row>
    <row r="244" spans="1:2" ht="15.75" customHeight="1" x14ac:dyDescent="0.2">
      <c r="A244" s="50"/>
      <c r="B244" s="50"/>
    </row>
    <row r="245" spans="1:2" ht="15.75" customHeight="1" x14ac:dyDescent="0.2">
      <c r="A245" s="50"/>
      <c r="B245" s="50"/>
    </row>
    <row r="246" spans="1:2" ht="15.75" customHeight="1" x14ac:dyDescent="0.2">
      <c r="A246" s="50"/>
      <c r="B246" s="50"/>
    </row>
    <row r="247" spans="1:2" ht="15.75" customHeight="1" x14ac:dyDescent="0.2">
      <c r="A247" s="50"/>
      <c r="B247" s="50"/>
    </row>
    <row r="248" spans="1:2" ht="15.75" customHeight="1" x14ac:dyDescent="0.2">
      <c r="A248" s="50"/>
      <c r="B248" s="50"/>
    </row>
    <row r="249" spans="1:2" ht="15.75" customHeight="1" x14ac:dyDescent="0.2">
      <c r="A249" s="50"/>
      <c r="B249" s="50"/>
    </row>
    <row r="250" spans="1:2" ht="15.75" customHeight="1" x14ac:dyDescent="0.2">
      <c r="A250" s="50"/>
      <c r="B250" s="50"/>
    </row>
    <row r="251" spans="1:2" ht="15.75" customHeight="1" x14ac:dyDescent="0.2">
      <c r="A251" s="50"/>
      <c r="B251" s="50"/>
    </row>
    <row r="252" spans="1:2" ht="15.75" customHeight="1" x14ac:dyDescent="0.2">
      <c r="A252" s="50"/>
      <c r="B252" s="50"/>
    </row>
    <row r="253" spans="1:2" ht="15.75" customHeight="1" x14ac:dyDescent="0.2">
      <c r="A253" s="50"/>
      <c r="B253" s="50"/>
    </row>
    <row r="254" spans="1:2" ht="15.75" customHeight="1" x14ac:dyDescent="0.2">
      <c r="A254" s="50"/>
      <c r="B254" s="50"/>
    </row>
    <row r="255" spans="1:2" ht="15.75" customHeight="1" x14ac:dyDescent="0.2">
      <c r="A255" s="50"/>
      <c r="B255" s="50"/>
    </row>
    <row r="256" spans="1:2" ht="15.75" customHeight="1" x14ac:dyDescent="0.2">
      <c r="A256" s="50"/>
      <c r="B256" s="50"/>
    </row>
    <row r="257" spans="1:2" ht="15.75" customHeight="1" x14ac:dyDescent="0.2">
      <c r="A257" s="50"/>
      <c r="B257" s="50"/>
    </row>
    <row r="258" spans="1:2" ht="15.75" customHeight="1" x14ac:dyDescent="0.2">
      <c r="A258" s="50"/>
      <c r="B258" s="50"/>
    </row>
    <row r="259" spans="1:2" ht="15.75" customHeight="1" x14ac:dyDescent="0.2">
      <c r="A259" s="50"/>
      <c r="B259" s="50"/>
    </row>
    <row r="260" spans="1:2" ht="15.75" customHeight="1" x14ac:dyDescent="0.2">
      <c r="A260" s="50"/>
      <c r="B260" s="50"/>
    </row>
    <row r="261" spans="1:2" ht="15.75" customHeight="1" x14ac:dyDescent="0.2">
      <c r="A261" s="50"/>
      <c r="B261" s="50"/>
    </row>
    <row r="262" spans="1:2" ht="15.75" customHeight="1" x14ac:dyDescent="0.2">
      <c r="A262" s="50"/>
      <c r="B262" s="50"/>
    </row>
    <row r="263" spans="1:2" ht="15.75" customHeight="1" x14ac:dyDescent="0.2">
      <c r="A263" s="50"/>
      <c r="B263" s="50"/>
    </row>
    <row r="264" spans="1:2" ht="15.75" customHeight="1" x14ac:dyDescent="0.2">
      <c r="A264" s="50"/>
      <c r="B264" s="50"/>
    </row>
    <row r="265" spans="1:2" ht="15.75" customHeight="1" x14ac:dyDescent="0.2">
      <c r="A265" s="50"/>
      <c r="B265" s="50"/>
    </row>
    <row r="266" spans="1:2" ht="15.75" customHeight="1" x14ac:dyDescent="0.2">
      <c r="A266" s="50"/>
      <c r="B266" s="50"/>
    </row>
    <row r="267" spans="1:2" ht="15.75" customHeight="1" x14ac:dyDescent="0.2">
      <c r="A267" s="50"/>
      <c r="B267" s="50"/>
    </row>
    <row r="268" spans="1:2" ht="15.75" customHeight="1" x14ac:dyDescent="0.2">
      <c r="A268" s="50"/>
      <c r="B268" s="50"/>
    </row>
    <row r="269" spans="1:2" ht="15.75" customHeight="1" x14ac:dyDescent="0.2">
      <c r="A269" s="50"/>
      <c r="B269" s="50"/>
    </row>
    <row r="270" spans="1:2" ht="15.75" customHeight="1" x14ac:dyDescent="0.2">
      <c r="A270" s="50"/>
      <c r="B270" s="50"/>
    </row>
    <row r="271" spans="1:2" ht="15.75" customHeight="1" x14ac:dyDescent="0.2">
      <c r="A271" s="50"/>
      <c r="B271" s="50"/>
    </row>
    <row r="272" spans="1:2" ht="15.75" customHeight="1" x14ac:dyDescent="0.2">
      <c r="A272" s="50"/>
      <c r="B272" s="50"/>
    </row>
    <row r="273" spans="1:2" ht="15.75" customHeight="1" x14ac:dyDescent="0.2">
      <c r="A273" s="50"/>
      <c r="B273" s="50"/>
    </row>
    <row r="274" spans="1:2" ht="15.75" customHeight="1" x14ac:dyDescent="0.2">
      <c r="A274" s="50"/>
      <c r="B274" s="50"/>
    </row>
    <row r="275" spans="1:2" ht="15.75" customHeight="1" x14ac:dyDescent="0.2">
      <c r="A275" s="50"/>
      <c r="B275" s="50"/>
    </row>
    <row r="276" spans="1:2" ht="15.75" customHeight="1" x14ac:dyDescent="0.2">
      <c r="A276" s="50"/>
      <c r="B276" s="50"/>
    </row>
    <row r="277" spans="1:2" ht="15.75" customHeight="1" x14ac:dyDescent="0.2">
      <c r="A277" s="50"/>
      <c r="B277" s="50"/>
    </row>
    <row r="278" spans="1:2" ht="15.75" customHeight="1" x14ac:dyDescent="0.2">
      <c r="A278" s="50"/>
      <c r="B278" s="50"/>
    </row>
    <row r="279" spans="1:2" ht="15.75" customHeight="1" x14ac:dyDescent="0.2">
      <c r="A279" s="50"/>
      <c r="B279" s="50"/>
    </row>
    <row r="280" spans="1:2" ht="15.75" customHeight="1" x14ac:dyDescent="0.2">
      <c r="A280" s="50"/>
      <c r="B280" s="50"/>
    </row>
    <row r="281" spans="1:2" ht="15.75" customHeight="1" x14ac:dyDescent="0.2">
      <c r="A281" s="50"/>
      <c r="B281" s="50"/>
    </row>
    <row r="282" spans="1:2" ht="15.75" customHeight="1" x14ac:dyDescent="0.2">
      <c r="A282" s="50"/>
      <c r="B282" s="50"/>
    </row>
    <row r="283" spans="1:2" ht="15.75" customHeight="1" x14ac:dyDescent="0.2">
      <c r="A283" s="50"/>
      <c r="B283" s="50"/>
    </row>
    <row r="284" spans="1:2" ht="15.75" customHeight="1" x14ac:dyDescent="0.2">
      <c r="A284" s="50"/>
      <c r="B284" s="50"/>
    </row>
    <row r="285" spans="1:2" ht="15.75" customHeight="1" x14ac:dyDescent="0.2">
      <c r="A285" s="50"/>
      <c r="B285" s="50"/>
    </row>
    <row r="286" spans="1:2" ht="15.75" customHeight="1" x14ac:dyDescent="0.2">
      <c r="A286" s="50"/>
      <c r="B286" s="50"/>
    </row>
    <row r="287" spans="1:2" ht="15.75" customHeight="1" x14ac:dyDescent="0.2">
      <c r="A287" s="50"/>
      <c r="B287" s="50"/>
    </row>
    <row r="288" spans="1:2" ht="15.75" customHeight="1" x14ac:dyDescent="0.2">
      <c r="A288" s="50"/>
      <c r="B288" s="50"/>
    </row>
    <row r="289" spans="1:2" ht="15.75" customHeight="1" x14ac:dyDescent="0.2">
      <c r="A289" s="50"/>
      <c r="B289" s="50"/>
    </row>
    <row r="290" spans="1:2" ht="15.75" customHeight="1" x14ac:dyDescent="0.2">
      <c r="A290" s="50"/>
      <c r="B290" s="50"/>
    </row>
    <row r="291" spans="1:2" ht="15.75" customHeight="1" x14ac:dyDescent="0.2">
      <c r="A291" s="50"/>
      <c r="B291" s="50"/>
    </row>
    <row r="292" spans="1:2" ht="15.75" customHeight="1" x14ac:dyDescent="0.2">
      <c r="A292" s="50"/>
      <c r="B292" s="50"/>
    </row>
    <row r="293" spans="1:2" ht="15.75" customHeight="1" x14ac:dyDescent="0.2">
      <c r="A293" s="50"/>
      <c r="B293" s="50"/>
    </row>
    <row r="294" spans="1:2" ht="15.75" customHeight="1" x14ac:dyDescent="0.2">
      <c r="A294" s="50"/>
      <c r="B294" s="50"/>
    </row>
    <row r="295" spans="1:2" ht="15.75" customHeight="1" x14ac:dyDescent="0.2">
      <c r="A295" s="50"/>
      <c r="B295" s="50"/>
    </row>
    <row r="296" spans="1:2" ht="15.75" customHeight="1" x14ac:dyDescent="0.2">
      <c r="A296" s="50"/>
      <c r="B296" s="50"/>
    </row>
    <row r="297" spans="1:2" ht="15.75" customHeight="1" x14ac:dyDescent="0.2">
      <c r="A297" s="50"/>
      <c r="B297" s="50"/>
    </row>
    <row r="298" spans="1:2" ht="15.75" customHeight="1" x14ac:dyDescent="0.2">
      <c r="A298" s="50"/>
      <c r="B298" s="50"/>
    </row>
    <row r="299" spans="1:2" ht="15.75" customHeight="1" x14ac:dyDescent="0.2">
      <c r="A299" s="50"/>
      <c r="B299" s="50"/>
    </row>
    <row r="300" spans="1:2" ht="15.75" customHeight="1" x14ac:dyDescent="0.2">
      <c r="A300" s="50"/>
      <c r="B300" s="50"/>
    </row>
    <row r="301" spans="1:2" ht="15.75" customHeight="1" x14ac:dyDescent="0.2">
      <c r="A301" s="50"/>
      <c r="B301" s="50"/>
    </row>
    <row r="302" spans="1:2" ht="15.75" customHeight="1" x14ac:dyDescent="0.2">
      <c r="A302" s="50"/>
      <c r="B302" s="50"/>
    </row>
    <row r="303" spans="1:2" ht="15.75" customHeight="1" x14ac:dyDescent="0.2">
      <c r="A303" s="50"/>
      <c r="B303" s="50"/>
    </row>
    <row r="304" spans="1:2" ht="15.75" customHeight="1" x14ac:dyDescent="0.2">
      <c r="A304" s="50"/>
      <c r="B304" s="50"/>
    </row>
    <row r="305" spans="1:2" ht="15.75" customHeight="1" x14ac:dyDescent="0.2">
      <c r="A305" s="50"/>
      <c r="B305" s="50"/>
    </row>
    <row r="306" spans="1:2" ht="15.75" customHeight="1" x14ac:dyDescent="0.2">
      <c r="A306" s="50"/>
      <c r="B306" s="50"/>
    </row>
    <row r="307" spans="1:2" ht="15.75" customHeight="1" x14ac:dyDescent="0.2">
      <c r="A307" s="50"/>
      <c r="B307" s="50"/>
    </row>
    <row r="308" spans="1:2" ht="15.75" customHeight="1" x14ac:dyDescent="0.2">
      <c r="A308" s="50"/>
      <c r="B308" s="50"/>
    </row>
    <row r="309" spans="1:2" ht="15.75" customHeight="1" x14ac:dyDescent="0.2">
      <c r="A309" s="50"/>
      <c r="B309" s="50"/>
    </row>
    <row r="310" spans="1:2" ht="15.75" customHeight="1" x14ac:dyDescent="0.2">
      <c r="A310" s="50"/>
      <c r="B310" s="50"/>
    </row>
    <row r="311" spans="1:2" ht="15.75" customHeight="1" x14ac:dyDescent="0.2">
      <c r="A311" s="50"/>
      <c r="B311" s="50"/>
    </row>
    <row r="312" spans="1:2" ht="15.75" customHeight="1" x14ac:dyDescent="0.2">
      <c r="A312" s="50"/>
      <c r="B312" s="50"/>
    </row>
    <row r="313" spans="1:2" ht="15.75" customHeight="1" x14ac:dyDescent="0.2">
      <c r="A313" s="50"/>
      <c r="B313" s="50"/>
    </row>
    <row r="314" spans="1:2" ht="15.75" customHeight="1" x14ac:dyDescent="0.2">
      <c r="A314" s="50"/>
      <c r="B314" s="50"/>
    </row>
    <row r="315" spans="1:2" ht="15.75" customHeight="1" x14ac:dyDescent="0.2">
      <c r="A315" s="50"/>
      <c r="B315" s="50"/>
    </row>
    <row r="316" spans="1:2" ht="15.75" customHeight="1" x14ac:dyDescent="0.2">
      <c r="A316" s="50"/>
      <c r="B316" s="50"/>
    </row>
    <row r="317" spans="1:2" ht="15.75" customHeight="1" x14ac:dyDescent="0.2">
      <c r="A317" s="50"/>
      <c r="B317" s="50"/>
    </row>
    <row r="318" spans="1:2" ht="15.75" customHeight="1" x14ac:dyDescent="0.2">
      <c r="A318" s="50"/>
      <c r="B318" s="50"/>
    </row>
    <row r="319" spans="1:2" ht="15.75" customHeight="1" x14ac:dyDescent="0.2">
      <c r="A319" s="50"/>
      <c r="B319" s="50"/>
    </row>
    <row r="320" spans="1:2" ht="15.75" customHeight="1" x14ac:dyDescent="0.2">
      <c r="A320" s="50"/>
      <c r="B320" s="50"/>
    </row>
    <row r="321" spans="1:2" ht="15.75" customHeight="1" x14ac:dyDescent="0.2">
      <c r="A321" s="50"/>
      <c r="B321" s="50"/>
    </row>
    <row r="322" spans="1:2" ht="15.75" customHeight="1" x14ac:dyDescent="0.2">
      <c r="A322" s="50"/>
      <c r="B322" s="50"/>
    </row>
    <row r="323" spans="1:2" ht="15.75" customHeight="1" x14ac:dyDescent="0.2">
      <c r="A323" s="50"/>
      <c r="B323" s="50"/>
    </row>
    <row r="324" spans="1:2" ht="15.75" customHeight="1" x14ac:dyDescent="0.2">
      <c r="A324" s="50"/>
      <c r="B324" s="50"/>
    </row>
    <row r="325" spans="1:2" ht="15.75" customHeight="1" x14ac:dyDescent="0.2">
      <c r="A325" s="50"/>
      <c r="B325" s="50"/>
    </row>
    <row r="326" spans="1:2" ht="15.75" customHeight="1" x14ac:dyDescent="0.2">
      <c r="A326" s="50"/>
      <c r="B326" s="50"/>
    </row>
    <row r="327" spans="1:2" ht="15.75" customHeight="1" x14ac:dyDescent="0.2">
      <c r="A327" s="50"/>
      <c r="B327" s="50"/>
    </row>
    <row r="328" spans="1:2" ht="15.75" customHeight="1" x14ac:dyDescent="0.2">
      <c r="A328" s="50"/>
      <c r="B328" s="50"/>
    </row>
    <row r="329" spans="1:2" ht="15.75" customHeight="1" x14ac:dyDescent="0.2">
      <c r="A329" s="50"/>
      <c r="B329" s="50"/>
    </row>
    <row r="330" spans="1:2" ht="15.75" customHeight="1" x14ac:dyDescent="0.2">
      <c r="A330" s="50"/>
      <c r="B330" s="50"/>
    </row>
    <row r="331" spans="1:2" ht="15.75" customHeight="1" x14ac:dyDescent="0.2">
      <c r="A331" s="50"/>
      <c r="B331" s="50"/>
    </row>
    <row r="332" spans="1:2" ht="15.75" customHeight="1" x14ac:dyDescent="0.2">
      <c r="A332" s="50"/>
      <c r="B332" s="50"/>
    </row>
    <row r="333" spans="1:2" ht="15.75" customHeight="1" x14ac:dyDescent="0.2">
      <c r="A333" s="50"/>
      <c r="B333" s="50"/>
    </row>
    <row r="334" spans="1:2" ht="15.75" customHeight="1" x14ac:dyDescent="0.2">
      <c r="A334" s="50"/>
      <c r="B334" s="50"/>
    </row>
    <row r="335" spans="1:2" ht="15.75" customHeight="1" x14ac:dyDescent="0.2">
      <c r="A335" s="50"/>
      <c r="B335" s="50"/>
    </row>
    <row r="336" spans="1:2" ht="15.75" customHeight="1" x14ac:dyDescent="0.2">
      <c r="A336" s="50"/>
      <c r="B336" s="50"/>
    </row>
    <row r="337" spans="1:2" ht="15.75" customHeight="1" x14ac:dyDescent="0.2">
      <c r="A337" s="50"/>
      <c r="B337" s="50"/>
    </row>
    <row r="338" spans="1:2" ht="15.75" customHeight="1" x14ac:dyDescent="0.2">
      <c r="A338" s="50"/>
      <c r="B338" s="50"/>
    </row>
    <row r="339" spans="1:2" ht="15.75" customHeight="1" x14ac:dyDescent="0.2">
      <c r="A339" s="50"/>
      <c r="B339" s="50"/>
    </row>
    <row r="340" spans="1:2" ht="15.75" customHeight="1" x14ac:dyDescent="0.2">
      <c r="A340" s="50"/>
      <c r="B340" s="50"/>
    </row>
    <row r="341" spans="1:2" ht="15.75" customHeight="1" x14ac:dyDescent="0.2">
      <c r="A341" s="50"/>
      <c r="B341" s="50"/>
    </row>
    <row r="342" spans="1:2" ht="15.75" customHeight="1" x14ac:dyDescent="0.2">
      <c r="A342" s="50"/>
      <c r="B342" s="50"/>
    </row>
    <row r="343" spans="1:2" ht="15.75" customHeight="1" x14ac:dyDescent="0.2">
      <c r="A343" s="50"/>
      <c r="B343" s="50"/>
    </row>
    <row r="344" spans="1:2" ht="15.75" customHeight="1" x14ac:dyDescent="0.2">
      <c r="A344" s="50"/>
      <c r="B344" s="50"/>
    </row>
    <row r="345" spans="1:2" ht="15.75" customHeight="1" x14ac:dyDescent="0.2">
      <c r="A345" s="50"/>
      <c r="B345" s="50"/>
    </row>
    <row r="346" spans="1:2" ht="15.75" customHeight="1" x14ac:dyDescent="0.2">
      <c r="A346" s="50"/>
      <c r="B346" s="50"/>
    </row>
    <row r="347" spans="1:2" ht="15.75" customHeight="1" x14ac:dyDescent="0.2">
      <c r="A347" s="50"/>
      <c r="B347" s="50"/>
    </row>
    <row r="348" spans="1:2" ht="15.75" customHeight="1" x14ac:dyDescent="0.2">
      <c r="A348" s="50"/>
      <c r="B348" s="50"/>
    </row>
    <row r="349" spans="1:2" ht="15.75" customHeight="1" x14ac:dyDescent="0.2">
      <c r="A349" s="50"/>
      <c r="B349" s="50"/>
    </row>
    <row r="350" spans="1:2" ht="15.75" customHeight="1" x14ac:dyDescent="0.2">
      <c r="A350" s="50"/>
      <c r="B350" s="50"/>
    </row>
    <row r="351" spans="1:2" ht="15.75" customHeight="1" x14ac:dyDescent="0.2">
      <c r="A351" s="50"/>
      <c r="B351" s="50"/>
    </row>
    <row r="352" spans="1:2" ht="15.75" customHeight="1" x14ac:dyDescent="0.2">
      <c r="A352" s="50"/>
      <c r="B352" s="50"/>
    </row>
    <row r="353" spans="1:2" ht="15.75" customHeight="1" x14ac:dyDescent="0.2">
      <c r="A353" s="50"/>
      <c r="B353" s="50"/>
    </row>
    <row r="354" spans="1:2" ht="15.75" customHeight="1" x14ac:dyDescent="0.2">
      <c r="A354" s="50"/>
      <c r="B354" s="50"/>
    </row>
    <row r="355" spans="1:2" ht="15.75" customHeight="1" x14ac:dyDescent="0.2">
      <c r="A355" s="50"/>
      <c r="B355" s="50"/>
    </row>
    <row r="356" spans="1:2" ht="15.75" customHeight="1" x14ac:dyDescent="0.2">
      <c r="A356" s="50"/>
      <c r="B356" s="50"/>
    </row>
    <row r="357" spans="1:2" ht="15.75" customHeight="1" x14ac:dyDescent="0.2">
      <c r="A357" s="50"/>
      <c r="B357" s="50"/>
    </row>
    <row r="358" spans="1:2" ht="15.75" customHeight="1" x14ac:dyDescent="0.2">
      <c r="A358" s="50"/>
      <c r="B358" s="50"/>
    </row>
    <row r="359" spans="1:2" ht="15.75" customHeight="1" x14ac:dyDescent="0.2">
      <c r="A359" s="50"/>
      <c r="B359" s="50"/>
    </row>
    <row r="360" spans="1:2" ht="15.75" customHeight="1" x14ac:dyDescent="0.2">
      <c r="A360" s="50"/>
      <c r="B360" s="50"/>
    </row>
    <row r="361" spans="1:2" ht="15.75" customHeight="1" x14ac:dyDescent="0.2">
      <c r="A361" s="50"/>
      <c r="B361" s="50"/>
    </row>
    <row r="362" spans="1:2" ht="15.75" customHeight="1" x14ac:dyDescent="0.2">
      <c r="A362" s="50"/>
      <c r="B362" s="50"/>
    </row>
    <row r="363" spans="1:2" ht="15.75" customHeight="1" x14ac:dyDescent="0.2">
      <c r="A363" s="50"/>
      <c r="B363" s="50"/>
    </row>
    <row r="364" spans="1:2" ht="15.75" customHeight="1" x14ac:dyDescent="0.2">
      <c r="A364" s="50"/>
      <c r="B364" s="50"/>
    </row>
    <row r="365" spans="1:2" ht="15.75" customHeight="1" x14ac:dyDescent="0.2">
      <c r="A365" s="50"/>
      <c r="B365" s="50"/>
    </row>
    <row r="366" spans="1:2" ht="15.75" customHeight="1" x14ac:dyDescent="0.2">
      <c r="A366" s="50"/>
      <c r="B366" s="50"/>
    </row>
    <row r="367" spans="1:2" ht="15.75" customHeight="1" x14ac:dyDescent="0.2">
      <c r="A367" s="50"/>
      <c r="B367" s="50"/>
    </row>
    <row r="368" spans="1:2" ht="15.75" customHeight="1" x14ac:dyDescent="0.2">
      <c r="A368" s="50"/>
      <c r="B368" s="50"/>
    </row>
    <row r="369" spans="1:2" ht="15.75" customHeight="1" x14ac:dyDescent="0.2">
      <c r="A369" s="50"/>
      <c r="B369" s="50"/>
    </row>
    <row r="370" spans="1:2" ht="15.75" customHeight="1" x14ac:dyDescent="0.2">
      <c r="A370" s="50"/>
      <c r="B370" s="50"/>
    </row>
    <row r="371" spans="1:2" ht="15.75" customHeight="1" x14ac:dyDescent="0.2">
      <c r="A371" s="50"/>
      <c r="B371" s="50"/>
    </row>
    <row r="372" spans="1:2" ht="15.75" customHeight="1" x14ac:dyDescent="0.2">
      <c r="A372" s="50"/>
      <c r="B372" s="50"/>
    </row>
    <row r="373" spans="1:2" ht="15.75" customHeight="1" x14ac:dyDescent="0.2">
      <c r="A373" s="50"/>
      <c r="B373" s="50"/>
    </row>
    <row r="374" spans="1:2" ht="15.75" customHeight="1" x14ac:dyDescent="0.2">
      <c r="A374" s="50"/>
      <c r="B374" s="50"/>
    </row>
    <row r="375" spans="1:2" ht="15.75" customHeight="1" x14ac:dyDescent="0.2">
      <c r="A375" s="50"/>
      <c r="B375" s="50"/>
    </row>
    <row r="376" spans="1:2" ht="15.75" customHeight="1" x14ac:dyDescent="0.2">
      <c r="A376" s="50"/>
      <c r="B376" s="50"/>
    </row>
    <row r="377" spans="1:2" ht="15.75" customHeight="1" x14ac:dyDescent="0.2">
      <c r="A377" s="50"/>
      <c r="B377" s="50"/>
    </row>
    <row r="378" spans="1:2" ht="15.75" customHeight="1" x14ac:dyDescent="0.2">
      <c r="A378" s="50"/>
      <c r="B378" s="50"/>
    </row>
    <row r="379" spans="1:2" ht="15.75" customHeight="1" x14ac:dyDescent="0.2">
      <c r="A379" s="50"/>
      <c r="B379" s="50"/>
    </row>
    <row r="380" spans="1:2" ht="15.75" customHeight="1" x14ac:dyDescent="0.2">
      <c r="A380" s="50"/>
      <c r="B380" s="50"/>
    </row>
    <row r="381" spans="1:2" ht="15.75" customHeight="1" x14ac:dyDescent="0.2">
      <c r="A381" s="50"/>
      <c r="B381" s="50"/>
    </row>
    <row r="382" spans="1:2" ht="15.75" customHeight="1" x14ac:dyDescent="0.2">
      <c r="A382" s="50"/>
      <c r="B382" s="50"/>
    </row>
    <row r="383" spans="1:2" ht="15.75" customHeight="1" x14ac:dyDescent="0.2">
      <c r="A383" s="50"/>
      <c r="B383" s="50"/>
    </row>
    <row r="384" spans="1:2" ht="15.75" customHeight="1" x14ac:dyDescent="0.2">
      <c r="A384" s="50"/>
      <c r="B384" s="50"/>
    </row>
    <row r="385" spans="1:2" ht="15.75" customHeight="1" x14ac:dyDescent="0.2">
      <c r="A385" s="50"/>
      <c r="B385" s="50"/>
    </row>
    <row r="386" spans="1:2" ht="15.75" customHeight="1" x14ac:dyDescent="0.2">
      <c r="A386" s="50"/>
      <c r="B386" s="50"/>
    </row>
    <row r="387" spans="1:2" ht="15.75" customHeight="1" x14ac:dyDescent="0.2">
      <c r="A387" s="50"/>
      <c r="B387" s="50"/>
    </row>
    <row r="388" spans="1:2" ht="15.75" customHeight="1" x14ac:dyDescent="0.2">
      <c r="A388" s="50"/>
      <c r="B388" s="50"/>
    </row>
    <row r="389" spans="1:2" ht="15.75" customHeight="1" x14ac:dyDescent="0.2">
      <c r="A389" s="50"/>
      <c r="B389" s="50"/>
    </row>
    <row r="390" spans="1:2" ht="15.75" customHeight="1" x14ac:dyDescent="0.2">
      <c r="A390" s="50"/>
      <c r="B390" s="50"/>
    </row>
    <row r="391" spans="1:2" ht="15.75" customHeight="1" x14ac:dyDescent="0.2">
      <c r="A391" s="50"/>
      <c r="B391" s="50"/>
    </row>
    <row r="392" spans="1:2" ht="15.75" customHeight="1" x14ac:dyDescent="0.2">
      <c r="A392" s="50"/>
      <c r="B392" s="50"/>
    </row>
    <row r="393" spans="1:2" ht="15.75" customHeight="1" x14ac:dyDescent="0.2">
      <c r="A393" s="50"/>
      <c r="B393" s="50"/>
    </row>
    <row r="394" spans="1:2" ht="15.75" customHeight="1" x14ac:dyDescent="0.2">
      <c r="A394" s="50"/>
      <c r="B394" s="50"/>
    </row>
    <row r="395" spans="1:2" ht="15.75" customHeight="1" x14ac:dyDescent="0.2">
      <c r="A395" s="50"/>
      <c r="B395" s="50"/>
    </row>
    <row r="396" spans="1:2" ht="15.75" customHeight="1" x14ac:dyDescent="0.2">
      <c r="A396" s="50"/>
      <c r="B396" s="50"/>
    </row>
    <row r="397" spans="1:2" ht="15.75" customHeight="1" x14ac:dyDescent="0.2">
      <c r="A397" s="50"/>
      <c r="B397" s="50"/>
    </row>
    <row r="398" spans="1:2" ht="15.75" customHeight="1" x14ac:dyDescent="0.2">
      <c r="A398" s="50"/>
      <c r="B398" s="50"/>
    </row>
    <row r="399" spans="1:2" ht="15.75" customHeight="1" x14ac:dyDescent="0.2">
      <c r="A399" s="50"/>
      <c r="B399" s="50"/>
    </row>
    <row r="400" spans="1:2" ht="15.75" customHeight="1" x14ac:dyDescent="0.2">
      <c r="A400" s="50"/>
      <c r="B400" s="50"/>
    </row>
    <row r="401" spans="1:2" ht="15.75" customHeight="1" x14ac:dyDescent="0.2">
      <c r="A401" s="50"/>
      <c r="B401" s="50"/>
    </row>
    <row r="402" spans="1:2" ht="15.75" customHeight="1" x14ac:dyDescent="0.2">
      <c r="A402" s="50"/>
      <c r="B402" s="50"/>
    </row>
    <row r="403" spans="1:2" ht="15.75" customHeight="1" x14ac:dyDescent="0.2">
      <c r="A403" s="50"/>
      <c r="B403" s="50"/>
    </row>
    <row r="404" spans="1:2" ht="15.75" customHeight="1" x14ac:dyDescent="0.2">
      <c r="A404" s="50"/>
      <c r="B404" s="50"/>
    </row>
    <row r="405" spans="1:2" ht="15.75" customHeight="1" x14ac:dyDescent="0.2">
      <c r="A405" s="50"/>
      <c r="B405" s="50"/>
    </row>
    <row r="406" spans="1:2" ht="15.75" customHeight="1" x14ac:dyDescent="0.2">
      <c r="A406" s="50"/>
      <c r="B406" s="50"/>
    </row>
    <row r="407" spans="1:2" ht="15.75" customHeight="1" x14ac:dyDescent="0.2">
      <c r="A407" s="50"/>
      <c r="B407" s="50"/>
    </row>
    <row r="408" spans="1:2" ht="15.75" customHeight="1" x14ac:dyDescent="0.2">
      <c r="A408" s="50"/>
      <c r="B408" s="50"/>
    </row>
    <row r="409" spans="1:2" ht="15.75" customHeight="1" x14ac:dyDescent="0.2">
      <c r="A409" s="50"/>
      <c r="B409" s="50"/>
    </row>
    <row r="410" spans="1:2" ht="15.75" customHeight="1" x14ac:dyDescent="0.2">
      <c r="A410" s="50"/>
      <c r="B410" s="50"/>
    </row>
    <row r="411" spans="1:2" ht="15.75" customHeight="1" x14ac:dyDescent="0.2">
      <c r="A411" s="50"/>
      <c r="B411" s="50"/>
    </row>
    <row r="412" spans="1:2" ht="15.75" customHeight="1" x14ac:dyDescent="0.2">
      <c r="A412" s="50"/>
      <c r="B412" s="50"/>
    </row>
    <row r="413" spans="1:2" ht="15.75" customHeight="1" x14ac:dyDescent="0.2">
      <c r="A413" s="50"/>
      <c r="B413" s="50"/>
    </row>
    <row r="414" spans="1:2" ht="15.75" customHeight="1" x14ac:dyDescent="0.2">
      <c r="A414" s="50"/>
      <c r="B414" s="50"/>
    </row>
    <row r="415" spans="1:2" ht="15.75" customHeight="1" x14ac:dyDescent="0.2">
      <c r="A415" s="50"/>
      <c r="B415" s="50"/>
    </row>
    <row r="416" spans="1:2" ht="15.75" customHeight="1" x14ac:dyDescent="0.2">
      <c r="A416" s="50"/>
      <c r="B416" s="50"/>
    </row>
    <row r="417" spans="1:2" ht="15.75" customHeight="1" x14ac:dyDescent="0.2">
      <c r="A417" s="50"/>
      <c r="B417" s="50"/>
    </row>
    <row r="418" spans="1:2" ht="15.75" customHeight="1" x14ac:dyDescent="0.2">
      <c r="A418" s="50"/>
      <c r="B418" s="50"/>
    </row>
    <row r="419" spans="1:2" ht="15.75" customHeight="1" x14ac:dyDescent="0.2">
      <c r="A419" s="50"/>
      <c r="B419" s="50"/>
    </row>
    <row r="420" spans="1:2" ht="15.75" customHeight="1" x14ac:dyDescent="0.2">
      <c r="A420" s="50"/>
      <c r="B420" s="50"/>
    </row>
    <row r="421" spans="1:2" ht="15.75" customHeight="1" x14ac:dyDescent="0.2">
      <c r="A421" s="50"/>
      <c r="B421" s="50"/>
    </row>
    <row r="422" spans="1:2" ht="15.75" customHeight="1" x14ac:dyDescent="0.2">
      <c r="A422" s="50"/>
      <c r="B422" s="50"/>
    </row>
    <row r="423" spans="1:2" ht="15.75" customHeight="1" x14ac:dyDescent="0.2">
      <c r="A423" s="50"/>
      <c r="B423" s="50"/>
    </row>
    <row r="424" spans="1:2" ht="15.75" customHeight="1" x14ac:dyDescent="0.2">
      <c r="A424" s="50"/>
      <c r="B424" s="50"/>
    </row>
    <row r="425" spans="1:2" ht="15.75" customHeight="1" x14ac:dyDescent="0.2">
      <c r="A425" s="50"/>
      <c r="B425" s="50"/>
    </row>
    <row r="426" spans="1:2" ht="15.75" customHeight="1" x14ac:dyDescent="0.2">
      <c r="A426" s="50"/>
      <c r="B426" s="50"/>
    </row>
    <row r="427" spans="1:2" ht="15.75" customHeight="1" x14ac:dyDescent="0.2">
      <c r="A427" s="50"/>
      <c r="B427" s="50"/>
    </row>
    <row r="428" spans="1:2" ht="15.75" customHeight="1" x14ac:dyDescent="0.2">
      <c r="A428" s="50"/>
      <c r="B428" s="50"/>
    </row>
    <row r="429" spans="1:2" ht="15.75" customHeight="1" x14ac:dyDescent="0.2">
      <c r="A429" s="50"/>
      <c r="B429" s="50"/>
    </row>
    <row r="430" spans="1:2" ht="15.75" customHeight="1" x14ac:dyDescent="0.2">
      <c r="A430" s="50"/>
      <c r="B430" s="50"/>
    </row>
    <row r="431" spans="1:2" ht="15.75" customHeight="1" x14ac:dyDescent="0.2">
      <c r="A431" s="50"/>
      <c r="B431" s="50"/>
    </row>
    <row r="432" spans="1:2" ht="15.75" customHeight="1" x14ac:dyDescent="0.2">
      <c r="A432" s="50"/>
      <c r="B432" s="50"/>
    </row>
    <row r="433" spans="1:2" ht="15.75" customHeight="1" x14ac:dyDescent="0.2">
      <c r="A433" s="50"/>
      <c r="B433" s="50"/>
    </row>
    <row r="434" spans="1:2" ht="15.75" customHeight="1" x14ac:dyDescent="0.2">
      <c r="A434" s="50"/>
      <c r="B434" s="50"/>
    </row>
    <row r="435" spans="1:2" ht="15.75" customHeight="1" x14ac:dyDescent="0.2">
      <c r="A435" s="50"/>
      <c r="B435" s="50"/>
    </row>
    <row r="436" spans="1:2" ht="15.75" customHeight="1" x14ac:dyDescent="0.2">
      <c r="A436" s="50"/>
      <c r="B436" s="50"/>
    </row>
    <row r="437" spans="1:2" ht="15.75" customHeight="1" x14ac:dyDescent="0.2">
      <c r="A437" s="50"/>
      <c r="B437" s="50"/>
    </row>
    <row r="438" spans="1:2" ht="15.75" customHeight="1" x14ac:dyDescent="0.2">
      <c r="A438" s="50"/>
      <c r="B438" s="50"/>
    </row>
    <row r="439" spans="1:2" ht="15.75" customHeight="1" x14ac:dyDescent="0.2">
      <c r="A439" s="50"/>
      <c r="B439" s="50"/>
    </row>
    <row r="440" spans="1:2" ht="15.75" customHeight="1" x14ac:dyDescent="0.2">
      <c r="A440" s="50"/>
      <c r="B440" s="50"/>
    </row>
    <row r="441" spans="1:2" ht="15.75" customHeight="1" x14ac:dyDescent="0.2">
      <c r="A441" s="50"/>
      <c r="B441" s="50"/>
    </row>
    <row r="442" spans="1:2" ht="15.75" customHeight="1" x14ac:dyDescent="0.2">
      <c r="A442" s="50"/>
      <c r="B442" s="50"/>
    </row>
    <row r="443" spans="1:2" ht="15.75" customHeight="1" x14ac:dyDescent="0.2">
      <c r="A443" s="50"/>
      <c r="B443" s="50"/>
    </row>
    <row r="444" spans="1:2" ht="15.75" customHeight="1" x14ac:dyDescent="0.2">
      <c r="A444" s="50"/>
      <c r="B444" s="50"/>
    </row>
    <row r="445" spans="1:2" ht="15.75" customHeight="1" x14ac:dyDescent="0.2">
      <c r="A445" s="50"/>
      <c r="B445" s="50"/>
    </row>
    <row r="446" spans="1:2" ht="15.75" customHeight="1" x14ac:dyDescent="0.2">
      <c r="A446" s="50"/>
      <c r="B446" s="50"/>
    </row>
    <row r="447" spans="1:2" ht="15.75" customHeight="1" x14ac:dyDescent="0.2">
      <c r="A447" s="50"/>
      <c r="B447" s="50"/>
    </row>
    <row r="448" spans="1:2" ht="15.75" customHeight="1" x14ac:dyDescent="0.2">
      <c r="A448" s="50"/>
      <c r="B448" s="50"/>
    </row>
    <row r="449" spans="1:2" ht="15.75" customHeight="1" x14ac:dyDescent="0.2">
      <c r="A449" s="50"/>
      <c r="B449" s="50"/>
    </row>
    <row r="450" spans="1:2" ht="15.75" customHeight="1" x14ac:dyDescent="0.2">
      <c r="A450" s="50"/>
      <c r="B450" s="50"/>
    </row>
    <row r="451" spans="1:2" ht="15.75" customHeight="1" x14ac:dyDescent="0.2">
      <c r="A451" s="50"/>
      <c r="B451" s="50"/>
    </row>
    <row r="452" spans="1:2" ht="15.75" customHeight="1" x14ac:dyDescent="0.2">
      <c r="A452" s="50"/>
      <c r="B452" s="50"/>
    </row>
    <row r="453" spans="1:2" ht="15.75" customHeight="1" x14ac:dyDescent="0.2">
      <c r="A453" s="50"/>
      <c r="B453" s="50"/>
    </row>
    <row r="454" spans="1:2" ht="15.75" customHeight="1" x14ac:dyDescent="0.2">
      <c r="A454" s="50"/>
      <c r="B454" s="50"/>
    </row>
    <row r="455" spans="1:2" ht="15.75" customHeight="1" x14ac:dyDescent="0.2">
      <c r="A455" s="50"/>
      <c r="B455" s="50"/>
    </row>
    <row r="456" spans="1:2" ht="15.75" customHeight="1" x14ac:dyDescent="0.2">
      <c r="A456" s="50"/>
      <c r="B456" s="50"/>
    </row>
    <row r="457" spans="1:2" ht="15.75" customHeight="1" x14ac:dyDescent="0.2">
      <c r="A457" s="50"/>
      <c r="B457" s="50"/>
    </row>
    <row r="458" spans="1:2" ht="15.75" customHeight="1" x14ac:dyDescent="0.2">
      <c r="A458" s="50"/>
      <c r="B458" s="50"/>
    </row>
    <row r="459" spans="1:2" ht="15.75" customHeight="1" x14ac:dyDescent="0.2">
      <c r="A459" s="50"/>
      <c r="B459" s="50"/>
    </row>
    <row r="460" spans="1:2" ht="15.75" customHeight="1" x14ac:dyDescent="0.2">
      <c r="A460" s="50"/>
      <c r="B460" s="50"/>
    </row>
    <row r="461" spans="1:2" ht="15.75" customHeight="1" x14ac:dyDescent="0.2">
      <c r="A461" s="50"/>
      <c r="B461" s="50"/>
    </row>
    <row r="462" spans="1:2" ht="15.75" customHeight="1" x14ac:dyDescent="0.2">
      <c r="A462" s="50"/>
      <c r="B462" s="50"/>
    </row>
    <row r="463" spans="1:2" ht="15.75" customHeight="1" x14ac:dyDescent="0.2">
      <c r="A463" s="50"/>
      <c r="B463" s="50"/>
    </row>
    <row r="464" spans="1:2" ht="15.75" customHeight="1" x14ac:dyDescent="0.2">
      <c r="A464" s="50"/>
      <c r="B464" s="50"/>
    </row>
    <row r="465" spans="1:2" ht="15.75" customHeight="1" x14ac:dyDescent="0.2">
      <c r="A465" s="50"/>
      <c r="B465" s="50"/>
    </row>
    <row r="466" spans="1:2" ht="15.75" customHeight="1" x14ac:dyDescent="0.2">
      <c r="A466" s="50"/>
      <c r="B466" s="50"/>
    </row>
    <row r="467" spans="1:2" ht="15.75" customHeight="1" x14ac:dyDescent="0.2">
      <c r="A467" s="50"/>
      <c r="B467" s="50"/>
    </row>
    <row r="468" spans="1:2" ht="15.75" customHeight="1" x14ac:dyDescent="0.2">
      <c r="A468" s="50"/>
      <c r="B468" s="50"/>
    </row>
    <row r="469" spans="1:2" ht="15.75" customHeight="1" x14ac:dyDescent="0.2">
      <c r="A469" s="50"/>
      <c r="B469" s="50"/>
    </row>
    <row r="470" spans="1:2" ht="15.75" customHeight="1" x14ac:dyDescent="0.2">
      <c r="A470" s="50"/>
      <c r="B470" s="50"/>
    </row>
    <row r="471" spans="1:2" ht="15.75" customHeight="1" x14ac:dyDescent="0.2">
      <c r="A471" s="50"/>
      <c r="B471" s="50"/>
    </row>
    <row r="472" spans="1:2" ht="15.75" customHeight="1" x14ac:dyDescent="0.2">
      <c r="A472" s="50"/>
      <c r="B472" s="50"/>
    </row>
    <row r="473" spans="1:2" ht="15.75" customHeight="1" x14ac:dyDescent="0.2">
      <c r="A473" s="50"/>
      <c r="B473" s="50"/>
    </row>
    <row r="474" spans="1:2" ht="15.75" customHeight="1" x14ac:dyDescent="0.2">
      <c r="A474" s="50"/>
      <c r="B474" s="50"/>
    </row>
    <row r="475" spans="1:2" ht="15.75" customHeight="1" x14ac:dyDescent="0.2">
      <c r="A475" s="50"/>
      <c r="B475" s="50"/>
    </row>
    <row r="476" spans="1:2" ht="15.75" customHeight="1" x14ac:dyDescent="0.2">
      <c r="A476" s="50"/>
      <c r="B476" s="50"/>
    </row>
    <row r="477" spans="1:2" ht="15.75" customHeight="1" x14ac:dyDescent="0.2">
      <c r="A477" s="50"/>
      <c r="B477" s="50"/>
    </row>
    <row r="478" spans="1:2" ht="15.75" customHeight="1" x14ac:dyDescent="0.2">
      <c r="A478" s="50"/>
      <c r="B478" s="50"/>
    </row>
    <row r="479" spans="1:2" ht="15.75" customHeight="1" x14ac:dyDescent="0.2">
      <c r="A479" s="50"/>
      <c r="B479" s="50"/>
    </row>
    <row r="480" spans="1:2" ht="15.75" customHeight="1" x14ac:dyDescent="0.2">
      <c r="A480" s="50"/>
      <c r="B480" s="50"/>
    </row>
    <row r="481" spans="1:2" ht="15.75" customHeight="1" x14ac:dyDescent="0.2">
      <c r="A481" s="50"/>
      <c r="B481" s="50"/>
    </row>
    <row r="482" spans="1:2" ht="15.75" customHeight="1" x14ac:dyDescent="0.2">
      <c r="A482" s="50"/>
      <c r="B482" s="50"/>
    </row>
    <row r="483" spans="1:2" ht="15.75" customHeight="1" x14ac:dyDescent="0.2">
      <c r="A483" s="50"/>
      <c r="B483" s="50"/>
    </row>
    <row r="484" spans="1:2" ht="15.75" customHeight="1" x14ac:dyDescent="0.2">
      <c r="A484" s="50"/>
      <c r="B484" s="50"/>
    </row>
    <row r="485" spans="1:2" ht="15.75" customHeight="1" x14ac:dyDescent="0.2">
      <c r="A485" s="50"/>
      <c r="B485" s="50"/>
    </row>
    <row r="486" spans="1:2" ht="15.75" customHeight="1" x14ac:dyDescent="0.2">
      <c r="A486" s="50"/>
      <c r="B486" s="50"/>
    </row>
    <row r="487" spans="1:2" ht="15.75" customHeight="1" x14ac:dyDescent="0.2">
      <c r="A487" s="50"/>
      <c r="B487" s="50"/>
    </row>
    <row r="488" spans="1:2" ht="15.75" customHeight="1" x14ac:dyDescent="0.2">
      <c r="A488" s="50"/>
      <c r="B488" s="50"/>
    </row>
    <row r="489" spans="1:2" ht="15.75" customHeight="1" x14ac:dyDescent="0.2">
      <c r="A489" s="50"/>
      <c r="B489" s="50"/>
    </row>
    <row r="490" spans="1:2" ht="15.75" customHeight="1" x14ac:dyDescent="0.2">
      <c r="A490" s="50"/>
      <c r="B490" s="50"/>
    </row>
    <row r="491" spans="1:2" ht="15.75" customHeight="1" x14ac:dyDescent="0.2">
      <c r="A491" s="50"/>
      <c r="B491" s="50"/>
    </row>
    <row r="492" spans="1:2" ht="15.75" customHeight="1" x14ac:dyDescent="0.2">
      <c r="A492" s="50"/>
      <c r="B492" s="50"/>
    </row>
    <row r="493" spans="1:2" ht="15.75" customHeight="1" x14ac:dyDescent="0.2">
      <c r="A493" s="50"/>
      <c r="B493" s="50"/>
    </row>
    <row r="494" spans="1:2" ht="15.75" customHeight="1" x14ac:dyDescent="0.2">
      <c r="A494" s="50"/>
      <c r="B494" s="50"/>
    </row>
    <row r="495" spans="1:2" ht="15.75" customHeight="1" x14ac:dyDescent="0.2">
      <c r="A495" s="50"/>
      <c r="B495" s="50"/>
    </row>
    <row r="496" spans="1:2" ht="15.75" customHeight="1" x14ac:dyDescent="0.2">
      <c r="A496" s="50"/>
      <c r="B496" s="50"/>
    </row>
    <row r="497" spans="1:2" ht="15.75" customHeight="1" x14ac:dyDescent="0.2">
      <c r="A497" s="50"/>
      <c r="B497" s="50"/>
    </row>
    <row r="498" spans="1:2" ht="15.75" customHeight="1" x14ac:dyDescent="0.2">
      <c r="A498" s="50"/>
      <c r="B498" s="50"/>
    </row>
    <row r="499" spans="1:2" ht="15.75" customHeight="1" x14ac:dyDescent="0.2">
      <c r="A499" s="50"/>
      <c r="B499" s="50"/>
    </row>
    <row r="500" spans="1:2" ht="15.75" customHeight="1" x14ac:dyDescent="0.2">
      <c r="A500" s="50"/>
      <c r="B500" s="50"/>
    </row>
    <row r="501" spans="1:2" ht="15.75" customHeight="1" x14ac:dyDescent="0.2">
      <c r="A501" s="50"/>
      <c r="B501" s="50"/>
    </row>
    <row r="502" spans="1:2" ht="15.75" customHeight="1" x14ac:dyDescent="0.2">
      <c r="A502" s="50"/>
      <c r="B502" s="50"/>
    </row>
    <row r="503" spans="1:2" ht="15.75" customHeight="1" x14ac:dyDescent="0.2">
      <c r="A503" s="50"/>
      <c r="B503" s="50"/>
    </row>
    <row r="504" spans="1:2" ht="15.75" customHeight="1" x14ac:dyDescent="0.2">
      <c r="A504" s="50"/>
      <c r="B504" s="50"/>
    </row>
    <row r="505" spans="1:2" ht="15.75" customHeight="1" x14ac:dyDescent="0.2">
      <c r="A505" s="50"/>
      <c r="B505" s="50"/>
    </row>
    <row r="506" spans="1:2" ht="15.75" customHeight="1" x14ac:dyDescent="0.2">
      <c r="A506" s="50"/>
      <c r="B506" s="50"/>
    </row>
    <row r="507" spans="1:2" ht="15.75" customHeight="1" x14ac:dyDescent="0.2">
      <c r="A507" s="50"/>
      <c r="B507" s="50"/>
    </row>
    <row r="508" spans="1:2" ht="15.75" customHeight="1" x14ac:dyDescent="0.2">
      <c r="A508" s="50"/>
      <c r="B508" s="50"/>
    </row>
    <row r="509" spans="1:2" ht="15.75" customHeight="1" x14ac:dyDescent="0.2">
      <c r="A509" s="50"/>
      <c r="B509" s="50"/>
    </row>
    <row r="510" spans="1:2" ht="15.75" customHeight="1" x14ac:dyDescent="0.2">
      <c r="A510" s="50"/>
      <c r="B510" s="50"/>
    </row>
    <row r="511" spans="1:2" ht="15.75" customHeight="1" x14ac:dyDescent="0.2">
      <c r="A511" s="50"/>
      <c r="B511" s="50"/>
    </row>
    <row r="512" spans="1:2" ht="15.75" customHeight="1" x14ac:dyDescent="0.2">
      <c r="A512" s="50"/>
      <c r="B512" s="50"/>
    </row>
    <row r="513" spans="1:2" ht="15.75" customHeight="1" x14ac:dyDescent="0.2">
      <c r="A513" s="50"/>
      <c r="B513" s="50"/>
    </row>
    <row r="514" spans="1:2" ht="15.75" customHeight="1" x14ac:dyDescent="0.2">
      <c r="A514" s="50"/>
      <c r="B514" s="50"/>
    </row>
    <row r="515" spans="1:2" ht="15.75" customHeight="1" x14ac:dyDescent="0.2">
      <c r="A515" s="50"/>
      <c r="B515" s="50"/>
    </row>
    <row r="516" spans="1:2" ht="15.75" customHeight="1" x14ac:dyDescent="0.2">
      <c r="A516" s="50"/>
      <c r="B516" s="50"/>
    </row>
    <row r="517" spans="1:2" ht="15.75" customHeight="1" x14ac:dyDescent="0.2">
      <c r="A517" s="50"/>
      <c r="B517" s="50"/>
    </row>
    <row r="518" spans="1:2" ht="15.75" customHeight="1" x14ac:dyDescent="0.2">
      <c r="A518" s="50"/>
      <c r="B518" s="50"/>
    </row>
    <row r="519" spans="1:2" ht="15.75" customHeight="1" x14ac:dyDescent="0.2">
      <c r="A519" s="50"/>
      <c r="B519" s="50"/>
    </row>
    <row r="520" spans="1:2" ht="15.75" customHeight="1" x14ac:dyDescent="0.2">
      <c r="A520" s="50"/>
      <c r="B520" s="50"/>
    </row>
    <row r="521" spans="1:2" ht="15.75" customHeight="1" x14ac:dyDescent="0.2">
      <c r="A521" s="50"/>
      <c r="B521" s="50"/>
    </row>
    <row r="522" spans="1:2" ht="15.75" customHeight="1" x14ac:dyDescent="0.2">
      <c r="A522" s="50"/>
      <c r="B522" s="50"/>
    </row>
    <row r="523" spans="1:2" ht="15.75" customHeight="1" x14ac:dyDescent="0.2">
      <c r="A523" s="50"/>
      <c r="B523" s="50"/>
    </row>
    <row r="524" spans="1:2" ht="15.75" customHeight="1" x14ac:dyDescent="0.2">
      <c r="A524" s="50"/>
      <c r="B524" s="50"/>
    </row>
    <row r="525" spans="1:2" ht="15.75" customHeight="1" x14ac:dyDescent="0.2">
      <c r="A525" s="50"/>
      <c r="B525" s="50"/>
    </row>
    <row r="526" spans="1:2" ht="15.75" customHeight="1" x14ac:dyDescent="0.2">
      <c r="A526" s="50"/>
      <c r="B526" s="50"/>
    </row>
    <row r="527" spans="1:2" ht="15.75" customHeight="1" x14ac:dyDescent="0.2">
      <c r="A527" s="50"/>
      <c r="B527" s="50"/>
    </row>
    <row r="528" spans="1:2" ht="15.75" customHeight="1" x14ac:dyDescent="0.2">
      <c r="A528" s="50"/>
      <c r="B528" s="50"/>
    </row>
    <row r="529" spans="1:2" ht="15.75" customHeight="1" x14ac:dyDescent="0.2">
      <c r="A529" s="50"/>
      <c r="B529" s="50"/>
    </row>
    <row r="530" spans="1:2" ht="15.75" customHeight="1" x14ac:dyDescent="0.2">
      <c r="A530" s="50"/>
      <c r="B530" s="50"/>
    </row>
    <row r="531" spans="1:2" ht="15.75" customHeight="1" x14ac:dyDescent="0.2">
      <c r="A531" s="50"/>
      <c r="B531" s="50"/>
    </row>
    <row r="532" spans="1:2" ht="15.75" customHeight="1" x14ac:dyDescent="0.2">
      <c r="A532" s="50"/>
      <c r="B532" s="50"/>
    </row>
    <row r="533" spans="1:2" ht="15.75" customHeight="1" x14ac:dyDescent="0.2">
      <c r="A533" s="50"/>
      <c r="B533" s="50"/>
    </row>
    <row r="534" spans="1:2" ht="15.75" customHeight="1" x14ac:dyDescent="0.2">
      <c r="A534" s="50"/>
      <c r="B534" s="50"/>
    </row>
    <row r="535" spans="1:2" ht="15.75" customHeight="1" x14ac:dyDescent="0.2">
      <c r="A535" s="50"/>
      <c r="B535" s="50"/>
    </row>
    <row r="536" spans="1:2" ht="15.75" customHeight="1" x14ac:dyDescent="0.2">
      <c r="A536" s="50"/>
      <c r="B536" s="50"/>
    </row>
    <row r="537" spans="1:2" ht="15.75" customHeight="1" x14ac:dyDescent="0.2">
      <c r="A537" s="50"/>
      <c r="B537" s="50"/>
    </row>
    <row r="538" spans="1:2" ht="15.75" customHeight="1" x14ac:dyDescent="0.2">
      <c r="A538" s="50"/>
      <c r="B538" s="50"/>
    </row>
    <row r="539" spans="1:2" ht="15.75" customHeight="1" x14ac:dyDescent="0.2">
      <c r="A539" s="50"/>
      <c r="B539" s="50"/>
    </row>
    <row r="540" spans="1:2" ht="15.75" customHeight="1" x14ac:dyDescent="0.2">
      <c r="A540" s="50"/>
      <c r="B540" s="50"/>
    </row>
    <row r="541" spans="1:2" ht="15.75" customHeight="1" x14ac:dyDescent="0.2">
      <c r="A541" s="50"/>
      <c r="B541" s="50"/>
    </row>
    <row r="542" spans="1:2" ht="15.75" customHeight="1" x14ac:dyDescent="0.2">
      <c r="A542" s="50"/>
      <c r="B542" s="50"/>
    </row>
    <row r="543" spans="1:2" ht="15.75" customHeight="1" x14ac:dyDescent="0.2">
      <c r="A543" s="50"/>
      <c r="B543" s="50"/>
    </row>
    <row r="544" spans="1:2" ht="15.75" customHeight="1" x14ac:dyDescent="0.2">
      <c r="A544" s="50"/>
      <c r="B544" s="50"/>
    </row>
    <row r="545" spans="1:2" ht="15.75" customHeight="1" x14ac:dyDescent="0.2">
      <c r="A545" s="50"/>
      <c r="B545" s="50"/>
    </row>
    <row r="546" spans="1:2" ht="15.75" customHeight="1" x14ac:dyDescent="0.2">
      <c r="A546" s="50"/>
      <c r="B546" s="50"/>
    </row>
    <row r="547" spans="1:2" ht="15.75" customHeight="1" x14ac:dyDescent="0.2">
      <c r="A547" s="50"/>
      <c r="B547" s="50"/>
    </row>
    <row r="548" spans="1:2" ht="15.75" customHeight="1" x14ac:dyDescent="0.2">
      <c r="A548" s="50"/>
      <c r="B548" s="50"/>
    </row>
    <row r="549" spans="1:2" ht="15.75" customHeight="1" x14ac:dyDescent="0.2">
      <c r="A549" s="50"/>
      <c r="B549" s="50"/>
    </row>
    <row r="550" spans="1:2" ht="15.75" customHeight="1" x14ac:dyDescent="0.2">
      <c r="A550" s="50"/>
      <c r="B550" s="50"/>
    </row>
    <row r="551" spans="1:2" ht="15.75" customHeight="1" x14ac:dyDescent="0.2">
      <c r="A551" s="50"/>
      <c r="B551" s="50"/>
    </row>
    <row r="552" spans="1:2" ht="15.75" customHeight="1" x14ac:dyDescent="0.2">
      <c r="A552" s="50"/>
      <c r="B552" s="50"/>
    </row>
    <row r="553" spans="1:2" ht="15.75" customHeight="1" x14ac:dyDescent="0.2">
      <c r="A553" s="50"/>
      <c r="B553" s="50"/>
    </row>
    <row r="554" spans="1:2" ht="15.75" customHeight="1" x14ac:dyDescent="0.2">
      <c r="A554" s="50"/>
      <c r="B554" s="50"/>
    </row>
    <row r="555" spans="1:2" ht="15.75" customHeight="1" x14ac:dyDescent="0.2">
      <c r="A555" s="50"/>
      <c r="B555" s="50"/>
    </row>
    <row r="556" spans="1:2" ht="15.75" customHeight="1" x14ac:dyDescent="0.2">
      <c r="A556" s="50"/>
      <c r="B556" s="50"/>
    </row>
    <row r="557" spans="1:2" ht="15.75" customHeight="1" x14ac:dyDescent="0.2">
      <c r="A557" s="50"/>
      <c r="B557" s="50"/>
    </row>
    <row r="558" spans="1:2" ht="15.75" customHeight="1" x14ac:dyDescent="0.2">
      <c r="A558" s="50"/>
      <c r="B558" s="50"/>
    </row>
    <row r="559" spans="1:2" ht="15.75" customHeight="1" x14ac:dyDescent="0.2">
      <c r="A559" s="50"/>
      <c r="B559" s="50"/>
    </row>
    <row r="560" spans="1:2" ht="15.75" customHeight="1" x14ac:dyDescent="0.2">
      <c r="A560" s="50"/>
      <c r="B560" s="50"/>
    </row>
    <row r="561" spans="1:2" ht="15.75" customHeight="1" x14ac:dyDescent="0.2">
      <c r="A561" s="50"/>
      <c r="B561" s="50"/>
    </row>
    <row r="562" spans="1:2" ht="15.75" customHeight="1" x14ac:dyDescent="0.2">
      <c r="A562" s="50"/>
      <c r="B562" s="50"/>
    </row>
    <row r="563" spans="1:2" ht="15.75" customHeight="1" x14ac:dyDescent="0.2">
      <c r="A563" s="50"/>
      <c r="B563" s="50"/>
    </row>
    <row r="564" spans="1:2" ht="15.75" customHeight="1" x14ac:dyDescent="0.2">
      <c r="A564" s="50"/>
      <c r="B564" s="50"/>
    </row>
    <row r="565" spans="1:2" ht="15.75" customHeight="1" x14ac:dyDescent="0.2">
      <c r="A565" s="50"/>
      <c r="B565" s="50"/>
    </row>
    <row r="566" spans="1:2" ht="15.75" customHeight="1" x14ac:dyDescent="0.2">
      <c r="A566" s="50"/>
      <c r="B566" s="50"/>
    </row>
    <row r="567" spans="1:2" ht="15.75" customHeight="1" x14ac:dyDescent="0.2">
      <c r="A567" s="50"/>
      <c r="B567" s="50"/>
    </row>
    <row r="568" spans="1:2" ht="15.75" customHeight="1" x14ac:dyDescent="0.2">
      <c r="A568" s="50"/>
      <c r="B568" s="50"/>
    </row>
    <row r="569" spans="1:2" ht="15.75" customHeight="1" x14ac:dyDescent="0.2">
      <c r="A569" s="50"/>
      <c r="B569" s="50"/>
    </row>
    <row r="570" spans="1:2" ht="15.75" customHeight="1" x14ac:dyDescent="0.2">
      <c r="A570" s="50"/>
      <c r="B570" s="50"/>
    </row>
    <row r="571" spans="1:2" ht="15.75" customHeight="1" x14ac:dyDescent="0.2">
      <c r="A571" s="50"/>
      <c r="B571" s="50"/>
    </row>
    <row r="572" spans="1:2" ht="15.75" customHeight="1" x14ac:dyDescent="0.2">
      <c r="A572" s="50"/>
      <c r="B572" s="50"/>
    </row>
    <row r="573" spans="1:2" ht="15.75" customHeight="1" x14ac:dyDescent="0.2">
      <c r="A573" s="50"/>
      <c r="B573" s="50"/>
    </row>
    <row r="574" spans="1:2" ht="15.75" customHeight="1" x14ac:dyDescent="0.2">
      <c r="A574" s="50"/>
      <c r="B574" s="50"/>
    </row>
    <row r="575" spans="1:2" ht="15.75" customHeight="1" x14ac:dyDescent="0.2">
      <c r="A575" s="50"/>
      <c r="B575" s="50"/>
    </row>
    <row r="576" spans="1:2" ht="15.75" customHeight="1" x14ac:dyDescent="0.2">
      <c r="A576" s="50"/>
      <c r="B576" s="50"/>
    </row>
    <row r="577" spans="1:2" ht="15.75" customHeight="1" x14ac:dyDescent="0.2">
      <c r="A577" s="50"/>
      <c r="B577" s="50"/>
    </row>
    <row r="578" spans="1:2" ht="15.75" customHeight="1" x14ac:dyDescent="0.2">
      <c r="A578" s="50"/>
      <c r="B578" s="50"/>
    </row>
    <row r="579" spans="1:2" ht="15.75" customHeight="1" x14ac:dyDescent="0.2">
      <c r="A579" s="50"/>
      <c r="B579" s="50"/>
    </row>
    <row r="580" spans="1:2" ht="15.75" customHeight="1" x14ac:dyDescent="0.2">
      <c r="A580" s="50"/>
      <c r="B580" s="50"/>
    </row>
    <row r="581" spans="1:2" ht="15.75" customHeight="1" x14ac:dyDescent="0.2">
      <c r="A581" s="50"/>
      <c r="B581" s="50"/>
    </row>
    <row r="582" spans="1:2" ht="15.75" customHeight="1" x14ac:dyDescent="0.2">
      <c r="A582" s="50"/>
      <c r="B582" s="50"/>
    </row>
    <row r="583" spans="1:2" ht="15.75" customHeight="1" x14ac:dyDescent="0.2">
      <c r="A583" s="50"/>
      <c r="B583" s="50"/>
    </row>
    <row r="584" spans="1:2" ht="15.75" customHeight="1" x14ac:dyDescent="0.2">
      <c r="A584" s="50"/>
      <c r="B584" s="50"/>
    </row>
    <row r="585" spans="1:2" ht="15.75" customHeight="1" x14ac:dyDescent="0.2">
      <c r="A585" s="50"/>
      <c r="B585" s="50"/>
    </row>
    <row r="586" spans="1:2" ht="15.75" customHeight="1" x14ac:dyDescent="0.2">
      <c r="A586" s="50"/>
      <c r="B586" s="50"/>
    </row>
    <row r="587" spans="1:2" ht="15.75" customHeight="1" x14ac:dyDescent="0.2">
      <c r="A587" s="50"/>
      <c r="B587" s="50"/>
    </row>
    <row r="588" spans="1:2" ht="15.75" customHeight="1" x14ac:dyDescent="0.2">
      <c r="A588" s="50"/>
      <c r="B588" s="50"/>
    </row>
    <row r="589" spans="1:2" ht="15.75" customHeight="1" x14ac:dyDescent="0.2">
      <c r="A589" s="50"/>
      <c r="B589" s="50"/>
    </row>
    <row r="590" spans="1:2" ht="15.75" customHeight="1" x14ac:dyDescent="0.2">
      <c r="A590" s="50"/>
      <c r="B590" s="50"/>
    </row>
    <row r="591" spans="1:2" ht="15.75" customHeight="1" x14ac:dyDescent="0.2">
      <c r="A591" s="50"/>
      <c r="B591" s="50"/>
    </row>
    <row r="592" spans="1:2" ht="15.75" customHeight="1" x14ac:dyDescent="0.2">
      <c r="A592" s="50"/>
      <c r="B592" s="50"/>
    </row>
    <row r="593" spans="1:2" ht="15.75" customHeight="1" x14ac:dyDescent="0.2">
      <c r="A593" s="50"/>
      <c r="B593" s="50"/>
    </row>
    <row r="594" spans="1:2" ht="15.75" customHeight="1" x14ac:dyDescent="0.2">
      <c r="A594" s="50"/>
      <c r="B594" s="50"/>
    </row>
    <row r="595" spans="1:2" ht="15.75" customHeight="1" x14ac:dyDescent="0.2">
      <c r="A595" s="50"/>
      <c r="B595" s="50"/>
    </row>
    <row r="596" spans="1:2" ht="15.75" customHeight="1" x14ac:dyDescent="0.2">
      <c r="A596" s="50"/>
      <c r="B596" s="50"/>
    </row>
    <row r="597" spans="1:2" ht="15.75" customHeight="1" x14ac:dyDescent="0.2">
      <c r="A597" s="50"/>
      <c r="B597" s="50"/>
    </row>
    <row r="598" spans="1:2" ht="15.75" customHeight="1" x14ac:dyDescent="0.2">
      <c r="A598" s="50"/>
      <c r="B598" s="50"/>
    </row>
    <row r="599" spans="1:2" ht="15.75" customHeight="1" x14ac:dyDescent="0.2">
      <c r="A599" s="50"/>
      <c r="B599" s="50"/>
    </row>
    <row r="600" spans="1:2" ht="15.75" customHeight="1" x14ac:dyDescent="0.2">
      <c r="A600" s="50"/>
      <c r="B600" s="50"/>
    </row>
    <row r="601" spans="1:2" ht="15.75" customHeight="1" x14ac:dyDescent="0.2">
      <c r="A601" s="50"/>
      <c r="B601" s="50"/>
    </row>
    <row r="602" spans="1:2" ht="15.75" customHeight="1" x14ac:dyDescent="0.2">
      <c r="A602" s="50"/>
      <c r="B602" s="50"/>
    </row>
    <row r="603" spans="1:2" ht="15.75" customHeight="1" x14ac:dyDescent="0.2">
      <c r="A603" s="50"/>
      <c r="B603" s="50"/>
    </row>
    <row r="604" spans="1:2" ht="15.75" customHeight="1" x14ac:dyDescent="0.2">
      <c r="A604" s="50"/>
      <c r="B604" s="50"/>
    </row>
    <row r="605" spans="1:2" ht="15.75" customHeight="1" x14ac:dyDescent="0.2">
      <c r="A605" s="50"/>
      <c r="B605" s="50"/>
    </row>
    <row r="606" spans="1:2" ht="15.75" customHeight="1" x14ac:dyDescent="0.2">
      <c r="A606" s="50"/>
      <c r="B606" s="50"/>
    </row>
    <row r="607" spans="1:2" ht="15.75" customHeight="1" x14ac:dyDescent="0.2">
      <c r="A607" s="50"/>
      <c r="B607" s="50"/>
    </row>
    <row r="608" spans="1:2" ht="15.75" customHeight="1" x14ac:dyDescent="0.2">
      <c r="A608" s="50"/>
      <c r="B608" s="50"/>
    </row>
    <row r="609" spans="1:2" ht="15.75" customHeight="1" x14ac:dyDescent="0.2">
      <c r="A609" s="50"/>
      <c r="B609" s="50"/>
    </row>
    <row r="610" spans="1:2" ht="15.75" customHeight="1" x14ac:dyDescent="0.2">
      <c r="A610" s="50"/>
      <c r="B610" s="50"/>
    </row>
    <row r="611" spans="1:2" ht="15.75" customHeight="1" x14ac:dyDescent="0.2">
      <c r="A611" s="50"/>
      <c r="B611" s="50"/>
    </row>
    <row r="612" spans="1:2" ht="15.75" customHeight="1" x14ac:dyDescent="0.2">
      <c r="A612" s="50"/>
      <c r="B612" s="50"/>
    </row>
    <row r="613" spans="1:2" ht="15.75" customHeight="1" x14ac:dyDescent="0.2">
      <c r="A613" s="50"/>
      <c r="B613" s="50"/>
    </row>
    <row r="614" spans="1:2" ht="15.75" customHeight="1" x14ac:dyDescent="0.2">
      <c r="A614" s="50"/>
      <c r="B614" s="50"/>
    </row>
    <row r="615" spans="1:2" ht="15.75" customHeight="1" x14ac:dyDescent="0.2">
      <c r="A615" s="50"/>
      <c r="B615" s="50"/>
    </row>
    <row r="616" spans="1:2" ht="15.75" customHeight="1" x14ac:dyDescent="0.2">
      <c r="A616" s="50"/>
      <c r="B616" s="50"/>
    </row>
    <row r="617" spans="1:2" ht="15.75" customHeight="1" x14ac:dyDescent="0.2">
      <c r="A617" s="50"/>
      <c r="B617" s="50"/>
    </row>
    <row r="618" spans="1:2" ht="15.75" customHeight="1" x14ac:dyDescent="0.2">
      <c r="A618" s="50"/>
      <c r="B618" s="50"/>
    </row>
    <row r="619" spans="1:2" ht="15.75" customHeight="1" x14ac:dyDescent="0.2">
      <c r="A619" s="50"/>
      <c r="B619" s="50"/>
    </row>
    <row r="620" spans="1:2" ht="15.75" customHeight="1" x14ac:dyDescent="0.2">
      <c r="A620" s="50"/>
      <c r="B620" s="50"/>
    </row>
  </sheetData>
  <sheetProtection selectLockedCells="1"/>
  <mergeCells count="64">
    <mergeCell ref="O11:O13"/>
    <mergeCell ref="N11:N13"/>
    <mergeCell ref="U11:U13"/>
    <mergeCell ref="R11:R13"/>
    <mergeCell ref="P7:Q10"/>
    <mergeCell ref="P11:P13"/>
    <mergeCell ref="S11:S13"/>
    <mergeCell ref="Q11:Q13"/>
    <mergeCell ref="T11:T13"/>
    <mergeCell ref="AD1:AG3"/>
    <mergeCell ref="G1:L1"/>
    <mergeCell ref="X7:Y10"/>
    <mergeCell ref="P1:Y6"/>
    <mergeCell ref="T7:W8"/>
    <mergeCell ref="G6:L6"/>
    <mergeCell ref="N7:O10"/>
    <mergeCell ref="Z9:AB10"/>
    <mergeCell ref="R7:S10"/>
    <mergeCell ref="T9:U10"/>
    <mergeCell ref="V9:W10"/>
    <mergeCell ref="A1:F1"/>
    <mergeCell ref="G4:L4"/>
    <mergeCell ref="A2:F2"/>
    <mergeCell ref="G3:L3"/>
    <mergeCell ref="G5:L5"/>
    <mergeCell ref="A5:F5"/>
    <mergeCell ref="G2:L2"/>
    <mergeCell ref="A7:A13"/>
    <mergeCell ref="M11:M13"/>
    <mergeCell ref="A3:F3"/>
    <mergeCell ref="A4:F4"/>
    <mergeCell ref="C7:C13"/>
    <mergeCell ref="E7:E13"/>
    <mergeCell ref="D7:D13"/>
    <mergeCell ref="B7:B13"/>
    <mergeCell ref="G12:G13"/>
    <mergeCell ref="A6:F6"/>
    <mergeCell ref="F11:L11"/>
    <mergeCell ref="F7:M10"/>
    <mergeCell ref="L12:L13"/>
    <mergeCell ref="H12:H13"/>
    <mergeCell ref="F12:F13"/>
    <mergeCell ref="J12:J13"/>
    <mergeCell ref="Z11:Z13"/>
    <mergeCell ref="Y11:Y13"/>
    <mergeCell ref="AC11:AC13"/>
    <mergeCell ref="W11:W13"/>
    <mergeCell ref="V11:V13"/>
    <mergeCell ref="I12:I13"/>
    <mergeCell ref="K12:K13"/>
    <mergeCell ref="AK7:AK13"/>
    <mergeCell ref="AJ7:AJ13"/>
    <mergeCell ref="AF11:AF13"/>
    <mergeCell ref="AG7:AI8"/>
    <mergeCell ref="AI9:AI13"/>
    <mergeCell ref="Z7:AF8"/>
    <mergeCell ref="AC9:AF10"/>
    <mergeCell ref="AE11:AE13"/>
    <mergeCell ref="AA11:AA13"/>
    <mergeCell ref="AG9:AG13"/>
    <mergeCell ref="AH9:AH13"/>
    <mergeCell ref="AB11:AB13"/>
    <mergeCell ref="AD11:AD13"/>
    <mergeCell ref="X11:X13"/>
  </mergeCells>
  <phoneticPr fontId="0" type="noConversion"/>
  <dataValidations count="2">
    <dataValidation type="decimal" operator="greaterThanOrEqual" allowBlank="1" showInputMessage="1" showErrorMessage="1" sqref="E15:M98" xr:uid="{00000000-0002-0000-0900-000000000000}">
      <formula1>0</formula1>
    </dataValidation>
    <dataValidation type="date" allowBlank="1" showInputMessage="1" showErrorMessage="1" sqref="G5:L5" xr:uid="{00000000-0002-0000-0900-000001000000}">
      <formula1>1</formula1>
      <formula2>2958101</formula2>
    </dataValidation>
  </dataValidations>
  <printOptions horizontalCentered="1" verticalCentered="1"/>
  <pageMargins left="0" right="0" top="0" bottom="0" header="0" footer="0"/>
  <pageSetup paperSize="9" fitToHeight="2" orientation="landscape" horizontalDpi="4294967292" verticalDpi="300" r:id="rId1"/>
  <headerFooter alignWithMargins="0"/>
  <ignoredErrors>
    <ignoredError sqref="AA15:AA88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02">
    <tabColor theme="0" tint="-0.499984740745262"/>
    <pageSetUpPr fitToPage="1"/>
  </sheetPr>
  <dimension ref="A1:AB96"/>
  <sheetViews>
    <sheetView zoomScale="85" zoomScaleNormal="85" workbookViewId="0">
      <pane ySplit="10" topLeftCell="A11" activePane="bottomLeft" state="frozen"/>
      <selection pane="bottomLeft" activeCell="G1" sqref="G1"/>
    </sheetView>
  </sheetViews>
  <sheetFormatPr defaultColWidth="10.7109375" defaultRowHeight="15.75" customHeight="1" x14ac:dyDescent="0.2"/>
  <cols>
    <col min="1" max="1" width="15.7109375" style="12" customWidth="1"/>
    <col min="2" max="3" width="10.7109375" style="13"/>
    <col min="4" max="4" width="10.7109375" style="13" customWidth="1"/>
    <col min="5" max="16384" width="10.7109375" style="13"/>
  </cols>
  <sheetData>
    <row r="1" spans="1:28" ht="15.75" customHeight="1" x14ac:dyDescent="0.2">
      <c r="A1" s="730" t="str">
        <f>Language!B149</f>
        <v>S</v>
      </c>
      <c r="B1" s="731"/>
      <c r="C1" s="730" t="str">
        <f>Language!B150</f>
        <v>M</v>
      </c>
      <c r="D1" s="731"/>
      <c r="E1" s="730" t="str">
        <f>Language!B151</f>
        <v>L</v>
      </c>
      <c r="F1" s="731"/>
      <c r="G1" s="325"/>
      <c r="H1" s="325"/>
      <c r="I1" s="325"/>
      <c r="J1" s="729" t="str">
        <f>Language!B148&amp;" - "&amp;Std!B1</f>
        <v>Egg weight distribution - ISA BROWN Baiada ALT 2021</v>
      </c>
      <c r="K1" s="729"/>
      <c r="L1" s="729"/>
      <c r="M1" s="729"/>
      <c r="N1" s="729"/>
      <c r="O1" s="729"/>
      <c r="P1" s="729"/>
      <c r="Q1" s="729"/>
      <c r="R1" s="729"/>
      <c r="S1" s="729"/>
      <c r="T1" s="729"/>
      <c r="U1" s="729"/>
      <c r="V1" s="729"/>
      <c r="W1" s="729"/>
      <c r="X1" s="729"/>
      <c r="Y1" s="729"/>
      <c r="Z1" s="729"/>
      <c r="AA1" s="729"/>
      <c r="AB1" s="729"/>
    </row>
    <row r="2" spans="1:28" ht="15.75" customHeight="1" x14ac:dyDescent="0.2">
      <c r="A2" s="735" t="str">
        <f>CONCATENATE(" &lt; ", A4," g")</f>
        <v xml:space="preserve"> &lt; 53 g</v>
      </c>
      <c r="B2" s="736"/>
      <c r="C2" s="735" t="str">
        <f>CONCATENATE(A4," - ", C4," g")</f>
        <v>53 - 63 g</v>
      </c>
      <c r="D2" s="736"/>
      <c r="E2" s="735" t="str">
        <f>CONCATENATE(C4," - ", E4," g")</f>
        <v>63 - 73 g</v>
      </c>
      <c r="F2" s="736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  <c r="Y2" s="729"/>
      <c r="Z2" s="729"/>
      <c r="AA2" s="729"/>
      <c r="AB2" s="729"/>
    </row>
    <row r="3" spans="1:28" ht="15.75" customHeight="1" x14ac:dyDescent="0.2">
      <c r="A3" s="737" t="str">
        <f>Language!B153</f>
        <v>max.</v>
      </c>
      <c r="B3" s="738"/>
      <c r="C3" s="737" t="str">
        <f>Language!B153</f>
        <v>max.</v>
      </c>
      <c r="D3" s="738"/>
      <c r="E3" s="737" t="str">
        <f>Language!B153</f>
        <v>max.</v>
      </c>
      <c r="F3" s="738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29"/>
      <c r="U3" s="729"/>
      <c r="V3" s="729"/>
      <c r="W3" s="729"/>
      <c r="X3" s="729"/>
      <c r="Y3" s="729"/>
      <c r="Z3" s="729"/>
      <c r="AA3" s="729"/>
      <c r="AB3" s="729"/>
    </row>
    <row r="4" spans="1:28" ht="15.75" customHeight="1" thickBot="1" x14ac:dyDescent="0.25">
      <c r="A4" s="719">
        <v>53</v>
      </c>
      <c r="B4" s="720"/>
      <c r="C4" s="719">
        <v>63</v>
      </c>
      <c r="D4" s="720"/>
      <c r="E4" s="719">
        <v>73</v>
      </c>
      <c r="F4" s="720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29"/>
      <c r="U4" s="729"/>
      <c r="V4" s="729"/>
      <c r="W4" s="729"/>
      <c r="X4" s="729"/>
      <c r="Y4" s="729"/>
      <c r="Z4" s="729"/>
      <c r="AA4" s="729"/>
      <c r="AB4" s="729"/>
    </row>
    <row r="5" spans="1:28" ht="15.75" customHeight="1" thickBot="1" x14ac:dyDescent="0.25">
      <c r="A5" s="732" t="str">
        <f>Language!B154</f>
        <v>Table of egg weight distribution</v>
      </c>
      <c r="B5" s="733"/>
      <c r="C5" s="733"/>
      <c r="D5" s="733"/>
      <c r="E5" s="733"/>
      <c r="F5" s="733"/>
      <c r="G5" s="734"/>
      <c r="H5" s="732" t="str">
        <f>Language!B161</f>
        <v>Table of egg weight distribution in volume per grade</v>
      </c>
      <c r="I5" s="733"/>
      <c r="J5" s="733"/>
      <c r="K5" s="733"/>
      <c r="L5" s="733"/>
      <c r="M5" s="733"/>
      <c r="N5" s="734"/>
    </row>
    <row r="6" spans="1:28" ht="15.75" customHeight="1" x14ac:dyDescent="0.2">
      <c r="A6" s="716" t="str">
        <f>Language!B155</f>
        <v>Age</v>
      </c>
      <c r="B6" s="712" t="str">
        <f>Language!B156</f>
        <v>Average weight week</v>
      </c>
      <c r="C6" s="713"/>
      <c r="D6" s="727" t="str">
        <f>Language!B159</f>
        <v>Percentage grade</v>
      </c>
      <c r="E6" s="728"/>
      <c r="F6" s="728"/>
      <c r="G6" s="721"/>
      <c r="H6" s="721" t="str">
        <f>Language!B162</f>
        <v>Week of the year</v>
      </c>
      <c r="I6" s="716" t="str">
        <f>Language!B163</f>
        <v>Age</v>
      </c>
      <c r="J6" s="724" t="str">
        <f>Language!B164</f>
        <v>Weekly produced eggs</v>
      </c>
      <c r="K6" s="727" t="str">
        <f>Language!B165</f>
        <v>Eggs repartition per grading</v>
      </c>
      <c r="L6" s="728"/>
      <c r="M6" s="728"/>
      <c r="N6" s="721"/>
    </row>
    <row r="7" spans="1:28" ht="15.75" customHeight="1" x14ac:dyDescent="0.2">
      <c r="A7" s="717"/>
      <c r="B7" s="714" t="str">
        <f>Language!B157</f>
        <v>Standard</v>
      </c>
      <c r="C7" s="714" t="str">
        <f>Language!B158</f>
        <v>Current average weight</v>
      </c>
      <c r="D7" s="311" t="str">
        <f>$A$1</f>
        <v>S</v>
      </c>
      <c r="E7" s="310" t="str">
        <f>$C$1</f>
        <v>M</v>
      </c>
      <c r="F7" s="310" t="str">
        <f>$E$1</f>
        <v>L</v>
      </c>
      <c r="G7" s="309" t="str">
        <f>Language!$B$152</f>
        <v>XL</v>
      </c>
      <c r="H7" s="722"/>
      <c r="I7" s="717"/>
      <c r="J7" s="725"/>
      <c r="K7" s="311" t="str">
        <f>$A$1</f>
        <v>S</v>
      </c>
      <c r="L7" s="310" t="str">
        <f>$C$1</f>
        <v>M</v>
      </c>
      <c r="M7" s="310" t="str">
        <f>$E$1</f>
        <v>L</v>
      </c>
      <c r="N7" s="309" t="str">
        <f>Language!$B$152</f>
        <v>XL</v>
      </c>
    </row>
    <row r="8" spans="1:28" ht="15.75" hidden="1" customHeight="1" thickBot="1" x14ac:dyDescent="0.25">
      <c r="A8" s="717"/>
      <c r="B8" s="714"/>
      <c r="C8" s="714"/>
      <c r="D8" s="326"/>
      <c r="E8" s="327"/>
      <c r="F8" s="327"/>
      <c r="G8" s="328"/>
      <c r="H8" s="722"/>
      <c r="I8" s="717"/>
      <c r="J8" s="725"/>
      <c r="K8" s="311"/>
      <c r="L8" s="310"/>
      <c r="M8" s="310"/>
      <c r="N8" s="309"/>
    </row>
    <row r="9" spans="1:28" ht="15.75" customHeight="1" thickBot="1" x14ac:dyDescent="0.25">
      <c r="A9" s="718"/>
      <c r="B9" s="715"/>
      <c r="C9" s="715"/>
      <c r="D9" s="131" t="str">
        <f>$A$2</f>
        <v xml:space="preserve"> &lt; 53 g</v>
      </c>
      <c r="E9" s="132" t="str">
        <f>$C$2</f>
        <v>53 - 63 g</v>
      </c>
      <c r="F9" s="312" t="str">
        <f>$E$2</f>
        <v>63 - 73 g</v>
      </c>
      <c r="G9" s="133" t="str">
        <f>CONCATENATE($E$4," g +")</f>
        <v>73 g +</v>
      </c>
      <c r="H9" s="723"/>
      <c r="I9" s="718"/>
      <c r="J9" s="726"/>
      <c r="K9" s="131" t="str">
        <f>$A$2</f>
        <v xml:space="preserve"> &lt; 53 g</v>
      </c>
      <c r="L9" s="132" t="str">
        <f>$C$2</f>
        <v>53 - 63 g</v>
      </c>
      <c r="M9" s="132" t="str">
        <f>$E$2</f>
        <v>63 - 73 g</v>
      </c>
      <c r="N9" s="308" t="str">
        <f>CONCATENATE($E$4," g +")</f>
        <v>73 g +</v>
      </c>
    </row>
    <row r="10" spans="1:28" ht="0.2" customHeight="1" thickBot="1" x14ac:dyDescent="0.25">
      <c r="A10" s="63">
        <v>16</v>
      </c>
      <c r="B10" s="64"/>
      <c r="C10" s="64"/>
      <c r="D10" s="65" t="str">
        <f>IF('Graph values'!BA6=0,"",IF('Graph values'!BA6="","",(1-NORMSDIST(12.5-(12.5*$A$4/'Graph values'!BA6)))*100))</f>
        <v/>
      </c>
      <c r="E10" s="65" t="str">
        <f>IF('Graph values'!BA6=0,"",IF('Graph values'!BA6="","",(NORMSDIST(12.5-(12.5*$A$4/'Graph values'!BA6))-NORMSDIST(12.5-(12.5*$C$4/'Graph values'!BA6)))*100))</f>
        <v/>
      </c>
      <c r="F10" s="65" t="str">
        <f>IF('Graph values'!BA6=0,"",IF('Graph values'!BA6="","",(NORMSDIST(12.5-(12.5*$C$4/'Graph values'!BA6))-NORMSDIST(12.5-(12.5*$E$4/'Graph values'!BA6)))*100))</f>
        <v/>
      </c>
      <c r="G10" s="66" t="str">
        <f>IF('Graph values'!BA6=0,"",IF('Graph values'!BA6="","",100-SUM(D10:F10)))</f>
        <v/>
      </c>
      <c r="H10" s="67">
        <v>34</v>
      </c>
      <c r="I10" s="68">
        <v>16</v>
      </c>
      <c r="J10" s="69"/>
      <c r="K10" s="70" t="str">
        <f>IF($J10=0,"",IF($J10="","",IF('Graph values'!$BA6="","",$J10*$D10%)))</f>
        <v/>
      </c>
      <c r="L10" s="71" t="str">
        <f>IF($J10=0,"",IF($J10="","",IF('Graph values'!$BA6="","",$J10*$E10%)))</f>
        <v/>
      </c>
      <c r="M10" s="71" t="str">
        <f>IF($J10=0,"",IF($J10="","",IF('Graph values'!$BA6="","",$J10*$F10%)))</f>
        <v/>
      </c>
      <c r="N10" s="72" t="str">
        <f>IF($J10=0,"",IF($J10="","",IF('Graph values'!$BA6="","",$J10*$G10%)))</f>
        <v/>
      </c>
    </row>
    <row r="11" spans="1:28" ht="15.75" customHeight="1" x14ac:dyDescent="0.2">
      <c r="A11" s="134">
        <v>17</v>
      </c>
      <c r="B11" s="135" t="str">
        <f>IF(Std!C20=0,"",Std!C20)</f>
        <v/>
      </c>
      <c r="C11" s="135" t="str">
        <f>IF('Input Laying'!X15=0,"",'Input Laying'!X15)</f>
        <v/>
      </c>
      <c r="D11" s="136" t="str">
        <f>IF('Graph values'!BA7=0,"",IF('Graph values'!BA7="","",(1-NORMSDIST(12.5-(12.5*$A$4/'Graph values'!BA7)))*100))</f>
        <v/>
      </c>
      <c r="E11" s="137" t="str">
        <f>IF('Graph values'!BA7=0,"",IF('Graph values'!BA7="","",(NORMSDIST(12.5-(12.5*$A$4/'Graph values'!BA7))-NORMSDIST(12.5-(12.5*$C$4/'Graph values'!BA7)))*100))</f>
        <v/>
      </c>
      <c r="F11" s="137" t="str">
        <f>IF('Graph values'!BA7=0,"",IF('Graph values'!BA7="","",(NORMSDIST(12.5-(12.5*$C$4/'Graph values'!BA7))-NORMSDIST(12.5-(12.5*$E$4/'Graph values'!BA7)))*100))</f>
        <v/>
      </c>
      <c r="G11" s="138" t="str">
        <f>IF('Graph values'!BA7=0,"",IF('Graph values'!BA7="","",100-SUM(D11:F11)))</f>
        <v/>
      </c>
      <c r="H11" s="134">
        <f>WEEKNUM('Input Laying'!G3+112)</f>
        <v>16</v>
      </c>
      <c r="I11" s="134">
        <v>17</v>
      </c>
      <c r="J11" s="139" t="str">
        <f>IF('Input Laying'!N15=0,"",'Input Laying'!N15)</f>
        <v/>
      </c>
      <c r="K11" s="140" t="str">
        <f>IF($D11="","",IF($J11="","",IF('Graph values'!$BA7="","",$J11*$D11%)))</f>
        <v/>
      </c>
      <c r="L11" s="141" t="str">
        <f>IF($E11="","",IF($J11="","",IF('Graph values'!$BA7="","",$J11*$E11%)))</f>
        <v/>
      </c>
      <c r="M11" s="141" t="str">
        <f>IF($F11="","",IF($J11="","",IF('Graph values'!$BA7="","",$J11*$F11%)))</f>
        <v/>
      </c>
      <c r="N11" s="142" t="str">
        <f>IF($G11="","",IF($J11="","",IF('Graph values'!$BA7="","",$J11*$G11%)))</f>
        <v/>
      </c>
    </row>
    <row r="12" spans="1:28" ht="15.75" customHeight="1" x14ac:dyDescent="0.2">
      <c r="A12" s="279">
        <v>18</v>
      </c>
      <c r="B12" s="280">
        <f>IF(Std!C21=0,"",Std!C21)</f>
        <v>42.492229512069038</v>
      </c>
      <c r="C12" s="280" t="str">
        <f>IF('Input Laying'!X16=0,"",'Input Laying'!X16)</f>
        <v/>
      </c>
      <c r="D12" s="281">
        <f>IF('Graph values'!BA8=0,"",IF('Graph values'!BA8="","",(1-NORMSDIST(12.5-(12.5*$A$4/'Graph values'!BA8)))*100))</f>
        <v>99.900287030759131</v>
      </c>
      <c r="E12" s="282">
        <f>IF('Graph values'!BA8=0,"",IF('Graph values'!BA8="","",(NORMSDIST(12.5-(12.5*$A$4/'Graph values'!BA8))-NORMSDIST(12.5-(12.5*$C$4/'Graph values'!BA8)))*100))</f>
        <v>9.9712888669569136E-2</v>
      </c>
      <c r="F12" s="282">
        <f>IF('Graph values'!BA8=0,"",IF('Graph values'!BA8="","",(NORMSDIST(12.5-(12.5*$C$4/'Graph values'!BA8))-NORMSDIST(12.5-(12.5*$E$4/'Graph values'!BA8)))*100))</f>
        <v>8.0571298623490877E-8</v>
      </c>
      <c r="G12" s="283">
        <f>IF('Graph values'!BA8=0,"",IF('Graph values'!BA8="","",100-SUM(D12:F12)))</f>
        <v>0</v>
      </c>
      <c r="H12" s="279">
        <f>IF(H11=52,1,H11+1)</f>
        <v>17</v>
      </c>
      <c r="I12" s="279">
        <v>18</v>
      </c>
      <c r="J12" s="284" t="str">
        <f>IF('Input Laying'!N16=0,"",'Input Laying'!N16)</f>
        <v/>
      </c>
      <c r="K12" s="285" t="str">
        <f>IF($D12="","",IF($J12="","",IF('Graph values'!$BA8="","",$J12*$D12%)))</f>
        <v/>
      </c>
      <c r="L12" s="286" t="str">
        <f>IF($E12="","",IF($J12="","",IF('Graph values'!$BA8="","",$J12*$E12%)))</f>
        <v/>
      </c>
      <c r="M12" s="286" t="str">
        <f>IF($F12="","",IF($J12="","",IF('Graph values'!$BA8="","",$J12*$F12%)))</f>
        <v/>
      </c>
      <c r="N12" s="287" t="str">
        <f>IF($G12="","",IF($J12="","",IF('Graph values'!$BA8="","",$J12*$G12%)))</f>
        <v/>
      </c>
    </row>
    <row r="13" spans="1:28" ht="15.75" customHeight="1" x14ac:dyDescent="0.2">
      <c r="A13" s="143">
        <v>19</v>
      </c>
      <c r="B13" s="144">
        <f>IF(Std!C22=0,"",Std!C22)</f>
        <v>46.165713667956219</v>
      </c>
      <c r="C13" s="144" t="str">
        <f>IF('Input Laying'!X17=0,"",'Input Laying'!X17)</f>
        <v/>
      </c>
      <c r="D13" s="145">
        <f>IF('Graph values'!BA9=0,"",IF('Graph values'!BA9="","",(1-NORMSDIST(12.5-(12.5*$A$4/'Graph values'!BA9)))*100))</f>
        <v>96.787756598833155</v>
      </c>
      <c r="E13" s="146">
        <f>IF('Graph values'!BA9=0,"",IF('Graph values'!BA9="","",(NORMSDIST(12.5-(12.5*$A$4/'Graph values'!BA9))-NORMSDIST(12.5-(12.5*$C$4/'Graph values'!BA9)))*100))</f>
        <v>3.2119853258869049</v>
      </c>
      <c r="F13" s="146">
        <f>IF('Graph values'!BA9=0,"",IF('Graph values'!BA9="","",(NORMSDIST(12.5-(12.5*$C$4/'Graph values'!BA9))-NORMSDIST(12.5-(12.5*$E$4/'Graph values'!BA9)))*100))</f>
        <v>2.5807526139091133E-4</v>
      </c>
      <c r="G13" s="147">
        <f>IF('Graph values'!BA9=0,"",IF('Graph values'!BA9="","",100-SUM(D13:F13)))</f>
        <v>1.8559376258053817E-11</v>
      </c>
      <c r="H13" s="143">
        <f t="shared" ref="H13:H76" si="0">IF(H12=52,1,H12+1)</f>
        <v>18</v>
      </c>
      <c r="I13" s="143">
        <v>19</v>
      </c>
      <c r="J13" s="148" t="str">
        <f>IF('Input Laying'!N17=0,"",'Input Laying'!N17)</f>
        <v/>
      </c>
      <c r="K13" s="149" t="str">
        <f>IF($D13="","",IF($J13="","",IF('Graph values'!$BA9="","",$J13*$D13%)))</f>
        <v/>
      </c>
      <c r="L13" s="150" t="str">
        <f>IF($E13="","",IF($J13="","",IF('Graph values'!$BA9="","",$J13*$E13%)))</f>
        <v/>
      </c>
      <c r="M13" s="150" t="str">
        <f>IF($F13="","",IF($J13="","",IF('Graph values'!$BA9="","",$J13*$F13%)))</f>
        <v/>
      </c>
      <c r="N13" s="151" t="str">
        <f>IF($G13="","",IF($J13="","",IF('Graph values'!$BA9="","",$J13*$G13%)))</f>
        <v/>
      </c>
    </row>
    <row r="14" spans="1:28" ht="15.75" customHeight="1" x14ac:dyDescent="0.2">
      <c r="A14" s="279">
        <v>20</v>
      </c>
      <c r="B14" s="280">
        <f>IF(Std!C23=0,"",Std!C23)</f>
        <v>49.278198677597565</v>
      </c>
      <c r="C14" s="280" t="str">
        <f>IF('Input Laying'!X18=0,"",'Input Laying'!X18)</f>
        <v/>
      </c>
      <c r="D14" s="281">
        <f>IF('Graph values'!BA10=0,"",IF('Graph values'!BA10="","",(1-NORMSDIST(12.5-(12.5*$A$4/'Graph values'!BA10)))*100))</f>
        <v>82.743538088280829</v>
      </c>
      <c r="E14" s="282">
        <f>IF('Graph values'!BA10=0,"",IF('Graph values'!BA10="","",(NORMSDIST(12.5-(12.5*$A$4/'Graph values'!BA10))-NORMSDIST(12.5-(12.5*$C$4/'Graph values'!BA10)))*100))</f>
        <v>17.231456439284013</v>
      </c>
      <c r="F14" s="282">
        <f>IF('Graph values'!BA10=0,"",IF('Graph values'!BA10="","",(NORMSDIST(12.5-(12.5*$C$4/'Graph values'!BA10))-NORMSDIST(12.5-(12.5*$E$4/'Graph values'!BA10)))*100))</f>
        <v>2.5005383769064068E-2</v>
      </c>
      <c r="G14" s="283">
        <f>IF('Graph values'!BA10=0,"",IF('Graph values'!BA10="","",100-SUM(D14:F14)))</f>
        <v>8.8666084252508881E-8</v>
      </c>
      <c r="H14" s="279">
        <f t="shared" si="0"/>
        <v>19</v>
      </c>
      <c r="I14" s="279">
        <v>20</v>
      </c>
      <c r="J14" s="284" t="str">
        <f>IF('Input Laying'!N18=0,"",'Input Laying'!N18)</f>
        <v/>
      </c>
      <c r="K14" s="285" t="str">
        <f>IF($D14="","",IF($J14="","",IF('Graph values'!$BA10="","",$J14*$D14%)))</f>
        <v/>
      </c>
      <c r="L14" s="286" t="str">
        <f>IF($E14="","",IF($J14="","",IF('Graph values'!$BA10="","",$J14*$E14%)))</f>
        <v/>
      </c>
      <c r="M14" s="286" t="str">
        <f>IF($F14="","",IF($J14="","",IF('Graph values'!$BA10="","",$J14*$F14%)))</f>
        <v/>
      </c>
      <c r="N14" s="287" t="str">
        <f>IF($G14="","",IF($J14="","",IF('Graph values'!$BA10="","",$J14*$G14%)))</f>
        <v/>
      </c>
    </row>
    <row r="15" spans="1:28" ht="15.75" customHeight="1" x14ac:dyDescent="0.2">
      <c r="A15" s="143">
        <v>21</v>
      </c>
      <c r="B15" s="144">
        <f>IF(Std!C24=0,"",Std!C24)</f>
        <v>51.892660224258563</v>
      </c>
      <c r="C15" s="144" t="str">
        <f>IF('Input Laying'!X19=0,"",'Input Laying'!X19)</f>
        <v/>
      </c>
      <c r="D15" s="145">
        <f>IF('Graph values'!BA11=0,"",IF('Graph values'!BA11="","",(1-NORMSDIST(12.5-(12.5*$A$4/'Graph values'!BA11)))*100))</f>
        <v>60.516457382660782</v>
      </c>
      <c r="E15" s="146">
        <f>IF('Graph values'!BA11=0,"",IF('Graph values'!BA11="","",(NORMSDIST(12.5-(12.5*$A$4/'Graph values'!BA11))-NORMSDIST(12.5-(12.5*$C$4/'Graph values'!BA11)))*100))</f>
        <v>39.110516193165118</v>
      </c>
      <c r="F15" s="146">
        <f>IF('Graph values'!BA11=0,"",IF('Graph values'!BA11="","",(NORMSDIST(12.5-(12.5*$C$4/'Graph values'!BA11))-NORMSDIST(12.5-(12.5*$E$4/'Graph values'!BA11)))*100))</f>
        <v>0.37300798225051968</v>
      </c>
      <c r="G15" s="147">
        <f>IF('Graph values'!BA11=0,"",IF('Graph values'!BA11="","",100-SUM(D15:F15)))</f>
        <v>1.8441923586465236E-5</v>
      </c>
      <c r="H15" s="143">
        <f t="shared" si="0"/>
        <v>20</v>
      </c>
      <c r="I15" s="143">
        <v>21</v>
      </c>
      <c r="J15" s="148" t="str">
        <f>IF('Input Laying'!N19=0,"",'Input Laying'!N19)</f>
        <v/>
      </c>
      <c r="K15" s="149" t="str">
        <f>IF($D15="","",IF($J15="","",IF('Graph values'!$BA11="","",$J15*$D15%)))</f>
        <v/>
      </c>
      <c r="L15" s="150" t="str">
        <f>IF($E15="","",IF($J15="","",IF('Graph values'!$BA11="","",$J15*$E15%)))</f>
        <v/>
      </c>
      <c r="M15" s="150" t="str">
        <f>IF($F15="","",IF($J15="","",IF('Graph values'!$BA11="","",$J15*$F15%)))</f>
        <v/>
      </c>
      <c r="N15" s="151" t="str">
        <f>IF($G15="","",IF($J15="","",IF('Graph values'!$BA11="","",$J15*$G15%)))</f>
        <v/>
      </c>
    </row>
    <row r="16" spans="1:28" ht="15.75" customHeight="1" x14ac:dyDescent="0.2">
      <c r="A16" s="279">
        <v>22</v>
      </c>
      <c r="B16" s="280">
        <f>IF(Std!C25=0,"",Std!C25)</f>
        <v>54.068332197003436</v>
      </c>
      <c r="C16" s="280" t="str">
        <f>IF('Input Laying'!X20=0,"",'Input Laying'!X20)</f>
        <v/>
      </c>
      <c r="D16" s="281">
        <f>IF('Graph values'!BA12=0,"",IF('Graph values'!BA12="","",(1-NORMSDIST(12.5-(12.5*$A$4/'Graph values'!BA12)))*100))</f>
        <v>40.245930495215319</v>
      </c>
      <c r="E16" s="282">
        <f>IF('Graph values'!BA12=0,"",IF('Graph values'!BA12="","",(NORMSDIST(12.5-(12.5*$A$4/'Graph values'!BA12))-NORMSDIST(12.5-(12.5*$C$4/'Graph values'!BA12)))*100))</f>
        <v>57.807459335535839</v>
      </c>
      <c r="F16" s="282">
        <f>IF('Graph values'!BA12=0,"",IF('Graph values'!BA12="","",(NORMSDIST(12.5-(12.5*$C$4/'Graph values'!BA12))-NORMSDIST(12.5-(12.5*$E$4/'Graph values'!BA12)))*100))</f>
        <v>1.9460079754028068</v>
      </c>
      <c r="G16" s="283">
        <f>IF('Graph values'!BA12=0,"",IF('Graph values'!BA12="","",100-SUM(D16:F16)))</f>
        <v>6.0219384603499293E-4</v>
      </c>
      <c r="H16" s="279">
        <f t="shared" si="0"/>
        <v>21</v>
      </c>
      <c r="I16" s="279">
        <v>22</v>
      </c>
      <c r="J16" s="284" t="str">
        <f>IF('Input Laying'!N20=0,"",'Input Laying'!N20)</f>
        <v/>
      </c>
      <c r="K16" s="285" t="str">
        <f>IF($D16="","",IF($J16="","",IF('Graph values'!$BA12="","",$J16*$D16%)))</f>
        <v/>
      </c>
      <c r="L16" s="286" t="str">
        <f>IF($E16="","",IF($J16="","",IF('Graph values'!$BA12="","",$J16*$E16%)))</f>
        <v/>
      </c>
      <c r="M16" s="286" t="str">
        <f>IF($F16="","",IF($J16="","",IF('Graph values'!$BA12="","",$J16*$F16%)))</f>
        <v/>
      </c>
      <c r="N16" s="287" t="str">
        <f>IF($G16="","",IF($J16="","",IF('Graph values'!$BA12="","",$J16*$G16%)))</f>
        <v/>
      </c>
    </row>
    <row r="17" spans="1:14" ht="15.75" customHeight="1" x14ac:dyDescent="0.2">
      <c r="A17" s="143">
        <v>23</v>
      </c>
      <c r="B17" s="144">
        <f>IF(Std!C26=0,"",Std!C26)</f>
        <v>55.86070669069413</v>
      </c>
      <c r="C17" s="144" t="str">
        <f>IF('Input Laying'!X21=0,"",'Input Laying'!X21)</f>
        <v/>
      </c>
      <c r="D17" s="145">
        <f>IF('Graph values'!BA13=0,"",IF('Graph values'!BA13="","",(1-NORMSDIST(12.5-(12.5*$A$4/'Graph values'!BA13)))*100))</f>
        <v>26.103985707229427</v>
      </c>
      <c r="E17" s="146">
        <f>IF('Graph values'!BA13=0,"",IF('Graph values'!BA13="","",(NORMSDIST(12.5-(12.5*$A$4/'Graph values'!BA13))-NORMSDIST(12.5-(12.5*$C$4/'Graph values'!BA13)))*100))</f>
        <v>68.389034503168347</v>
      </c>
      <c r="F17" s="146">
        <f>IF('Graph values'!BA13=0,"",IF('Graph values'!BA13="","",(NORMSDIST(12.5-(12.5*$C$4/'Graph values'!BA13))-NORMSDIST(12.5-(12.5*$E$4/'Graph values'!BA13)))*100))</f>
        <v>5.5007085930736723</v>
      </c>
      <c r="G17" s="147">
        <f>IF('Graph values'!BA13=0,"",IF('Graph values'!BA13="","",100-SUM(D17:F17)))</f>
        <v>6.2711965285586757E-3</v>
      </c>
      <c r="H17" s="143">
        <f t="shared" si="0"/>
        <v>22</v>
      </c>
      <c r="I17" s="143">
        <v>23</v>
      </c>
      <c r="J17" s="148" t="str">
        <f>IF('Input Laying'!N21=0,"",'Input Laying'!N21)</f>
        <v/>
      </c>
      <c r="K17" s="149" t="str">
        <f>IF($D17="","",IF($J17="","",IF('Graph values'!$BA13="","",$J17*$D17%)))</f>
        <v/>
      </c>
      <c r="L17" s="150" t="str">
        <f>IF($E17="","",IF($J17="","",IF('Graph values'!$BA13="","",$J17*$E17%)))</f>
        <v/>
      </c>
      <c r="M17" s="150" t="str">
        <f>IF($F17="","",IF($J17="","",IF('Graph values'!$BA13="","",$J17*$F17%)))</f>
        <v/>
      </c>
      <c r="N17" s="151" t="str">
        <f>IF($G17="","",IF($J17="","",IF('Graph values'!$BA13="","",$J17*$G17%)))</f>
        <v/>
      </c>
    </row>
    <row r="18" spans="1:14" ht="15.75" customHeight="1" x14ac:dyDescent="0.2">
      <c r="A18" s="279">
        <v>24</v>
      </c>
      <c r="B18" s="280">
        <f>IF(Std!C27=0,"",Std!C27)</f>
        <v>57.32153400599077</v>
      </c>
      <c r="C18" s="280" t="str">
        <f>IF('Input Laying'!X22=0,"",'Input Laying'!X22)</f>
        <v/>
      </c>
      <c r="D18" s="281">
        <f>IF('Graph values'!BA14=0,"",IF('Graph values'!BA14="","",(1-NORMSDIST(12.5-(12.5*$A$4/'Graph values'!BA14)))*100))</f>
        <v>17.299679432456184</v>
      </c>
      <c r="E18" s="282">
        <f>IF('Graph values'!BA14=0,"",IF('Graph values'!BA14="","",(NORMSDIST(12.5-(12.5*$A$4/'Graph values'!BA14))-NORMSDIST(12.5-(12.5*$C$4/'Graph values'!BA14)))*100))</f>
        <v>71.919939147274533</v>
      </c>
      <c r="F18" s="282">
        <f>IF('Graph values'!BA14=0,"",IF('Graph values'!BA14="","",(NORMSDIST(12.5-(12.5*$C$4/'Graph values'!BA14))-NORMSDIST(12.5-(12.5*$E$4/'Graph values'!BA14)))*100))</f>
        <v>10.748952534997064</v>
      </c>
      <c r="G18" s="283">
        <f>IF('Graph values'!BA14=0,"",IF('Graph values'!BA14="","",100-SUM(D18:F18)))</f>
        <v>3.1428885272219986E-2</v>
      </c>
      <c r="H18" s="279">
        <f t="shared" si="0"/>
        <v>23</v>
      </c>
      <c r="I18" s="279">
        <v>24</v>
      </c>
      <c r="J18" s="284" t="str">
        <f>IF('Input Laying'!N22=0,"",'Input Laying'!N22)</f>
        <v/>
      </c>
      <c r="K18" s="285" t="str">
        <f>IF($D18="","",IF($J18="","",IF('Graph values'!$BA14="","",$J18*$D18%)))</f>
        <v/>
      </c>
      <c r="L18" s="286" t="str">
        <f>IF($E18="","",IF($J18="","",IF('Graph values'!$BA14="","",$J18*$E18%)))</f>
        <v/>
      </c>
      <c r="M18" s="286" t="str">
        <f>IF($F18="","",IF($J18="","",IF('Graph values'!$BA14="","",$J18*$F18%)))</f>
        <v/>
      </c>
      <c r="N18" s="287" t="str">
        <f>IF($G18="","",IF($J18="","",IF('Graph values'!$BA14="","",$J18*$G18%)))</f>
        <v/>
      </c>
    </row>
    <row r="19" spans="1:14" ht="15.75" customHeight="1" x14ac:dyDescent="0.2">
      <c r="A19" s="143">
        <v>25</v>
      </c>
      <c r="B19" s="144">
        <f>IF(Std!C28=0,"",Std!C28)</f>
        <v>58.498822649351531</v>
      </c>
      <c r="C19" s="144" t="str">
        <f>IF('Input Laying'!X23=0,"",'Input Laying'!X23)</f>
        <v/>
      </c>
      <c r="D19" s="145">
        <f>IF('Graph values'!BA15=0,"",IF('Graph values'!BA15="","",(1-NORMSDIST(12.5-(12.5*$A$4/'Graph values'!BA15)))*100))</f>
        <v>12.000020807210031</v>
      </c>
      <c r="E19" s="146">
        <f>IF('Graph values'!BA15=0,"",IF('Graph values'!BA15="","",(NORMSDIST(12.5-(12.5*$A$4/'Graph values'!BA15))-NORMSDIST(12.5-(12.5*$C$4/'Graph values'!BA15)))*100))</f>
        <v>71.192711155188078</v>
      </c>
      <c r="F19" s="146">
        <f>IF('Graph values'!BA15=0,"",IF('Graph values'!BA15="","",(NORMSDIST(12.5-(12.5*$C$4/'Graph values'!BA15))-NORMSDIST(12.5-(12.5*$E$4/'Graph values'!BA15)))*100))</f>
        <v>16.710050854283136</v>
      </c>
      <c r="G19" s="147">
        <f>IF('Graph values'!BA15=0,"",IF('Graph values'!BA15="","",100-SUM(D19:F19)))</f>
        <v>9.7217183318747402E-2</v>
      </c>
      <c r="H19" s="143">
        <f t="shared" si="0"/>
        <v>24</v>
      </c>
      <c r="I19" s="143">
        <v>25</v>
      </c>
      <c r="J19" s="148" t="str">
        <f>IF('Input Laying'!N23=0,"",'Input Laying'!N23)</f>
        <v/>
      </c>
      <c r="K19" s="149" t="str">
        <f>IF($D19="","",IF($J19="","",IF('Graph values'!$BA15="","",$J19*$D19%)))</f>
        <v/>
      </c>
      <c r="L19" s="150" t="str">
        <f>IF($E19="","",IF($J19="","",IF('Graph values'!$BA15="","",$J19*$E19%)))</f>
        <v/>
      </c>
      <c r="M19" s="150" t="str">
        <f>IF($F19="","",IF($J19="","",IF('Graph values'!$BA15="","",$J19*$F19%)))</f>
        <v/>
      </c>
      <c r="N19" s="151" t="str">
        <f>IF($G19="","",IF($J19="","",IF('Graph values'!$BA15="","",$J19*$G19%)))</f>
        <v/>
      </c>
    </row>
    <row r="20" spans="1:14" ht="15.75" customHeight="1" x14ac:dyDescent="0.2">
      <c r="A20" s="279">
        <v>26</v>
      </c>
      <c r="B20" s="280">
        <f>IF(Std!C29=0,"",Std!C29)</f>
        <v>59.436839333032999</v>
      </c>
      <c r="C20" s="280" t="str">
        <f>IF('Input Laying'!X24=0,"",'Input Laying'!X24)</f>
        <v/>
      </c>
      <c r="D20" s="281">
        <f>IF('Graph values'!BA16=0,"",IF('Graph values'!BA16="","",(1-NORMSDIST(12.5-(12.5*$A$4/'Graph values'!BA16)))*100))</f>
        <v>8.7913792700327509</v>
      </c>
      <c r="E20" s="282">
        <f>IF('Graph values'!BA16=0,"",IF('Graph values'!BA16="","",(NORMSDIST(12.5-(12.5*$A$4/'Graph values'!BA16))-NORMSDIST(12.5-(12.5*$C$4/'Graph values'!BA16)))*100))</f>
        <v>68.526566716474179</v>
      </c>
      <c r="F20" s="282">
        <f>IF('Graph values'!BA16=0,"",IF('Graph values'!BA16="","",(NORMSDIST(12.5-(12.5*$C$4/'Graph values'!BA16))-NORMSDIST(12.5-(12.5*$E$4/'Graph values'!BA16)))*100))</f>
        <v>22.465123151766971</v>
      </c>
      <c r="G20" s="283">
        <f>IF('Graph values'!BA16=0,"",IF('Graph values'!BA16="","",100-SUM(D20:F20)))</f>
        <v>0.2169308617260981</v>
      </c>
      <c r="H20" s="279">
        <f t="shared" si="0"/>
        <v>25</v>
      </c>
      <c r="I20" s="279">
        <v>26</v>
      </c>
      <c r="J20" s="284" t="str">
        <f>IF('Input Laying'!N24=0,"",'Input Laying'!N24)</f>
        <v/>
      </c>
      <c r="K20" s="285" t="str">
        <f>IF($D20="","",IF($J20="","",IF('Graph values'!$BA16="","",$J20*$D20%)))</f>
        <v/>
      </c>
      <c r="L20" s="286" t="str">
        <f>IF($E20="","",IF($J20="","",IF('Graph values'!$BA16="","",$J20*$E20%)))</f>
        <v/>
      </c>
      <c r="M20" s="286" t="str">
        <f>IF($F20="","",IF($J20="","",IF('Graph values'!$BA16="","",$J20*$F20%)))</f>
        <v/>
      </c>
      <c r="N20" s="287" t="str">
        <f>IF($G20="","",IF($J20="","",IF('Graph values'!$BA16="","",$J20*$G20%)))</f>
        <v/>
      </c>
    </row>
    <row r="21" spans="1:14" ht="15.75" customHeight="1" x14ac:dyDescent="0.2">
      <c r="A21" s="143">
        <v>27</v>
      </c>
      <c r="B21" s="144">
        <f>IF(Std!C30=0,"",Std!C30)</f>
        <v>60.176108975089896</v>
      </c>
      <c r="C21" s="144" t="str">
        <f>IF('Input Laying'!X25=0,"",'Input Laying'!X25)</f>
        <v/>
      </c>
      <c r="D21" s="145">
        <f>IF('Graph values'!BA17=0,"",IF('Graph values'!BA17="","",(1-NORMSDIST(12.5-(12.5*$A$4/'Graph values'!BA17)))*100))</f>
        <v>6.8027042414108285</v>
      </c>
      <c r="E21" s="146">
        <f>IF('Graph values'!BA17=0,"",IF('Graph values'!BA17="","",(NORMSDIST(12.5-(12.5*$A$4/'Graph values'!BA17))-NORMSDIST(12.5-(12.5*$C$4/'Graph values'!BA17)))*100))</f>
        <v>65.323303926329103</v>
      </c>
      <c r="F21" s="146">
        <f>IF('Graph values'!BA17=0,"",IF('Graph values'!BA17="","",(NORMSDIST(12.5-(12.5*$C$4/'Graph values'!BA17))-NORMSDIST(12.5-(12.5*$E$4/'Graph values'!BA17)))*100))</f>
        <v>27.487703392952579</v>
      </c>
      <c r="G21" s="147">
        <f>IF('Graph values'!BA17=0,"",IF('Graph values'!BA17="","",100-SUM(D21:F21)))</f>
        <v>0.38628843930749213</v>
      </c>
      <c r="H21" s="143">
        <f t="shared" si="0"/>
        <v>26</v>
      </c>
      <c r="I21" s="143">
        <v>27</v>
      </c>
      <c r="J21" s="148" t="str">
        <f>IF('Input Laying'!N25=0,"",'Input Laying'!N25)</f>
        <v/>
      </c>
      <c r="K21" s="149" t="str">
        <f>IF($D21="","",IF($J21="","",IF('Graph values'!$BA17="","",$J21*$D21%)))</f>
        <v/>
      </c>
      <c r="L21" s="150" t="str">
        <f>IF($E21="","",IF($J21="","",IF('Graph values'!$BA17="","",$J21*$E21%)))</f>
        <v/>
      </c>
      <c r="M21" s="150" t="str">
        <f>IF($F21="","",IF($J21="","",IF('Graph values'!$BA17="","",$J21*$F21%)))</f>
        <v/>
      </c>
      <c r="N21" s="151" t="str">
        <f>IF($G21="","",IF($J21="","",IF('Graph values'!$BA17="","",$J21*$G21%)))</f>
        <v/>
      </c>
    </row>
    <row r="22" spans="1:14" ht="15.75" customHeight="1" x14ac:dyDescent="0.2">
      <c r="A22" s="279">
        <v>28</v>
      </c>
      <c r="B22" s="280">
        <f>IF(Std!C31=0,"",Std!C31)</f>
        <v>60.753414699374538</v>
      </c>
      <c r="C22" s="280" t="str">
        <f>IF('Input Laying'!X26=0,"",'Input Laying'!X26)</f>
        <v/>
      </c>
      <c r="D22" s="281">
        <f>IF('Graph values'!BA18=0,"",IF('Graph values'!BA18="","",(1-NORMSDIST(12.5-(12.5*$A$4/'Graph values'!BA18)))*100))</f>
        <v>5.5326701104323694</v>
      </c>
      <c r="E22" s="282">
        <f>IF('Graph values'!BA18=0,"",IF('Graph values'!BA18="","",(NORMSDIST(12.5-(12.5*$A$4/'Graph values'!BA18))-NORMSDIST(12.5-(12.5*$C$4/'Graph values'!BA18)))*100))</f>
        <v>62.271666906647361</v>
      </c>
      <c r="F22" s="282">
        <f>IF('Graph values'!BA18=0,"",IF('Graph values'!BA18="","",(NORMSDIST(12.5-(12.5*$C$4/'Graph values'!BA18))-NORMSDIST(12.5-(12.5*$E$4/'Graph values'!BA18)))*100))</f>
        <v>31.608441713176155</v>
      </c>
      <c r="G22" s="283">
        <f>IF('Graph values'!BA18=0,"",IF('Graph values'!BA18="","",100-SUM(D22:F22)))</f>
        <v>0.58722126974410571</v>
      </c>
      <c r="H22" s="279">
        <f t="shared" si="0"/>
        <v>27</v>
      </c>
      <c r="I22" s="279">
        <v>28</v>
      </c>
      <c r="J22" s="284" t="str">
        <f>IF('Input Laying'!N26=0,"",'Input Laying'!N26)</f>
        <v/>
      </c>
      <c r="K22" s="285" t="str">
        <f>IF($D22="","",IF($J22="","",IF('Graph values'!$BA18="","",$J22*$D22%)))</f>
        <v/>
      </c>
      <c r="L22" s="286" t="str">
        <f>IF($E22="","",IF($J22="","",IF('Graph values'!$BA18="","",$J22*$E22%)))</f>
        <v/>
      </c>
      <c r="M22" s="286" t="str">
        <f>IF($F22="","",IF($J22="","",IF('Graph values'!$BA18="","",$J22*$F22%)))</f>
        <v/>
      </c>
      <c r="N22" s="287" t="str">
        <f>IF($G22="","",IF($J22="","",IF('Graph values'!$BA18="","",$J22*$G22%)))</f>
        <v/>
      </c>
    </row>
    <row r="23" spans="1:14" ht="15.75" customHeight="1" x14ac:dyDescent="0.2">
      <c r="A23" s="143">
        <v>29</v>
      </c>
      <c r="B23" s="144">
        <f>IF(Std!C32=0,"",Std!C32)</f>
        <v>61.201797835538144</v>
      </c>
      <c r="C23" s="144" t="str">
        <f>IF('Input Laying'!X27=0,"",'Input Laying'!X27)</f>
        <v/>
      </c>
      <c r="D23" s="145">
        <f>IF('Graph values'!BA19=0,"",IF('Graph values'!BA19="","",(1-NORMSDIST(12.5-(12.5*$A$4/'Graph values'!BA19)))*100))</f>
        <v>4.6951951644126684</v>
      </c>
      <c r="E23" s="146">
        <f>IF('Graph values'!BA19=0,"",IF('Graph values'!BA19="","",(NORMSDIST(12.5-(12.5*$A$4/'Graph values'!BA19))-NORMSDIST(12.5-(12.5*$C$4/'Graph values'!BA19)))*100))</f>
        <v>59.63388849171313</v>
      </c>
      <c r="F23" s="146">
        <f>IF('Graph values'!BA19=0,"",IF('Graph values'!BA19="","",(NORMSDIST(12.5-(12.5*$C$4/'Graph values'!BA19))-NORMSDIST(12.5-(12.5*$E$4/'Graph values'!BA19)))*100))</f>
        <v>34.872618295089715</v>
      </c>
      <c r="G23" s="147">
        <f>IF('Graph values'!BA19=0,"",IF('Graph values'!BA19="","",100-SUM(D23:F23)))</f>
        <v>0.7982980487844884</v>
      </c>
      <c r="H23" s="143">
        <f t="shared" si="0"/>
        <v>28</v>
      </c>
      <c r="I23" s="143">
        <v>29</v>
      </c>
      <c r="J23" s="148" t="str">
        <f>IF('Input Laying'!N27=0,"",'Input Laying'!N27)</f>
        <v/>
      </c>
      <c r="K23" s="149" t="str">
        <f>IF($D23="","",IF($J23="","",IF('Graph values'!$BA19="","",$J23*$D23%)))</f>
        <v/>
      </c>
      <c r="L23" s="150" t="str">
        <f>IF($E23="","",IF($J23="","",IF('Graph values'!$BA19="","",$J23*$E23%)))</f>
        <v/>
      </c>
      <c r="M23" s="150" t="str">
        <f>IF($F23="","",IF($J23="","",IF('Graph values'!$BA19="","",$J23*$F23%)))</f>
        <v/>
      </c>
      <c r="N23" s="151" t="str">
        <f>IF($G23="","",IF($J23="","",IF('Graph values'!$BA19="","",$J23*$G23%)))</f>
        <v/>
      </c>
    </row>
    <row r="24" spans="1:14" ht="15.75" customHeight="1" x14ac:dyDescent="0.2">
      <c r="A24" s="279">
        <v>30</v>
      </c>
      <c r="B24" s="280">
        <f>IF(Std!C33=0,"",Std!C33)</f>
        <v>61.550557919029799</v>
      </c>
      <c r="C24" s="280" t="str">
        <f>IF('Input Laying'!X28=0,"",'Input Laying'!X28)</f>
        <v/>
      </c>
      <c r="D24" s="281">
        <f>IF('Graph values'!BA20=0,"",IF('Graph values'!BA20="","",(1-NORMSDIST(12.5-(12.5*$A$4/'Graph values'!BA20)))*100))</f>
        <v>4.1238549972361422</v>
      </c>
      <c r="E24" s="282">
        <f>IF('Graph values'!BA20=0,"",IF('Graph values'!BA20="","",(NORMSDIST(12.5-(12.5*$A$4/'Graph values'!BA20))-NORMSDIST(12.5-(12.5*$C$4/'Graph values'!BA20)))*100))</f>
        <v>57.452005904040625</v>
      </c>
      <c r="F24" s="282">
        <f>IF('Graph values'!BA20=0,"",IF('Graph values'!BA20="","",(NORMSDIST(12.5-(12.5*$C$4/'Graph values'!BA20))-NORMSDIST(12.5-(12.5*$E$4/'Graph values'!BA20)))*100))</f>
        <v>37.421104715042432</v>
      </c>
      <c r="G24" s="283">
        <f>IF('Graph values'!BA20=0,"",IF('Graph values'!BA20="","",100-SUM(D24:F24)))</f>
        <v>1.0030343836807987</v>
      </c>
      <c r="H24" s="279">
        <f t="shared" si="0"/>
        <v>29</v>
      </c>
      <c r="I24" s="279">
        <v>30</v>
      </c>
      <c r="J24" s="284" t="str">
        <f>IF('Input Laying'!N28=0,"",'Input Laying'!N28)</f>
        <v/>
      </c>
      <c r="K24" s="285" t="str">
        <f>IF($D24="","",IF($J24="","",IF('Graph values'!$BA20="","",$J24*$D24%)))</f>
        <v/>
      </c>
      <c r="L24" s="286" t="str">
        <f>IF($E24="","",IF($J24="","",IF('Graph values'!$BA20="","",$J24*$E24%)))</f>
        <v/>
      </c>
      <c r="M24" s="286" t="str">
        <f>IF($F24="","",IF($J24="","",IF('Graph values'!$BA20="","",$J24*$F24%)))</f>
        <v/>
      </c>
      <c r="N24" s="287" t="str">
        <f>IF($G24="","",IF($J24="","",IF('Graph values'!$BA20="","",$J24*$G24%)))</f>
        <v/>
      </c>
    </row>
    <row r="25" spans="1:14" ht="15.75" customHeight="1" x14ac:dyDescent="0.2">
      <c r="A25" s="143">
        <v>31</v>
      </c>
      <c r="B25" s="144">
        <f>IF(Std!C34=0,"",Std!C34)</f>
        <v>61.825252691096402</v>
      </c>
      <c r="C25" s="144" t="str">
        <f>IF('Input Laying'!X29=0,"",'Input Laying'!X29)</f>
        <v/>
      </c>
      <c r="D25" s="145">
        <f>IF('Graph values'!BA21=0,"",IF('Graph values'!BA21="","",(1-NORMSDIST(12.5-(12.5*$A$4/'Graph values'!BA21)))*100))</f>
        <v>3.718633524756898</v>
      </c>
      <c r="E25" s="146">
        <f>IF('Graph values'!BA21=0,"",IF('Graph values'!BA21="","",(NORMSDIST(12.5-(12.5*$A$4/'Graph values'!BA21))-NORMSDIST(12.5-(12.5*$C$4/'Graph values'!BA21)))*100))</f>
        <v>55.668449884518182</v>
      </c>
      <c r="F25" s="146">
        <f>IF('Graph values'!BA21=0,"",IF('Graph values'!BA21="","",(NORMSDIST(12.5-(12.5*$C$4/'Graph values'!BA21))-NORMSDIST(12.5-(12.5*$E$4/'Graph values'!BA21)))*100))</f>
        <v>39.419808180636053</v>
      </c>
      <c r="G25" s="147">
        <f>IF('Graph values'!BA21=0,"",IF('Graph values'!BA21="","",100-SUM(D25:F25)))</f>
        <v>1.1931084100888683</v>
      </c>
      <c r="H25" s="143">
        <f t="shared" si="0"/>
        <v>30</v>
      </c>
      <c r="I25" s="143">
        <v>31</v>
      </c>
      <c r="J25" s="148" t="str">
        <f>IF('Input Laying'!N29=0,"",'Input Laying'!N29)</f>
        <v/>
      </c>
      <c r="K25" s="149" t="str">
        <f>IF($D25="","",IF($J25="","",IF('Graph values'!$BA21="","",$J25*$D25%)))</f>
        <v/>
      </c>
      <c r="L25" s="150" t="str">
        <f>IF($E25="","",IF($J25="","",IF('Graph values'!$BA21="","",$J25*$E25%)))</f>
        <v/>
      </c>
      <c r="M25" s="150" t="str">
        <f>IF($F25="","",IF($J25="","",IF('Graph values'!$BA21="","",$J25*$F25%)))</f>
        <v/>
      </c>
      <c r="N25" s="151" t="str">
        <f>IF($G25="","",IF($J25="","",IF('Graph values'!$BA21="","",$J25*$G25%)))</f>
        <v/>
      </c>
    </row>
    <row r="26" spans="1:14" ht="15.75" customHeight="1" x14ac:dyDescent="0.2">
      <c r="A26" s="279">
        <v>32</v>
      </c>
      <c r="B26" s="280">
        <f>IF(Std!C35=0,"",Std!C35)</f>
        <v>62.047698098783528</v>
      </c>
      <c r="C26" s="280" t="str">
        <f>IF('Input Laying'!X30=0,"",'Input Laying'!X30)</f>
        <v/>
      </c>
      <c r="D26" s="281">
        <f>IF('Graph values'!BA22=0,"",IF('Graph values'!BA22="","",(1-NORMSDIST(12.5-(12.5*$A$4/'Graph values'!BA22)))*100))</f>
        <v>3.4172116013695408</v>
      </c>
      <c r="E26" s="282">
        <f>IF('Graph values'!BA22=0,"",IF('Graph values'!BA22="","",(NORMSDIST(12.5-(12.5*$A$4/'Graph values'!BA22))-NORMSDIST(12.5-(12.5*$C$4/'Graph values'!BA22)))*100))</f>
        <v>54.189754520031165</v>
      </c>
      <c r="F26" s="282">
        <f>IF('Graph values'!BA22=0,"",IF('Graph values'!BA22="","",(NORMSDIST(12.5-(12.5*$C$4/'Graph values'!BA22))-NORMSDIST(12.5-(12.5*$E$4/'Graph values'!BA22)))*100))</f>
        <v>41.025331299157877</v>
      </c>
      <c r="G26" s="283">
        <f>IF('Graph values'!BA22=0,"",IF('Graph values'!BA22="","",100-SUM(D26:F26)))</f>
        <v>1.3677025794414135</v>
      </c>
      <c r="H26" s="279">
        <f t="shared" si="0"/>
        <v>31</v>
      </c>
      <c r="I26" s="279">
        <v>32</v>
      </c>
      <c r="J26" s="284" t="str">
        <f>IF('Input Laying'!N30=0,"",'Input Laying'!N30)</f>
        <v/>
      </c>
      <c r="K26" s="285" t="str">
        <f>IF($D26="","",IF($J26="","",IF('Graph values'!$BA22="","",$J26*$D26%)))</f>
        <v/>
      </c>
      <c r="L26" s="286" t="str">
        <f>IF($E26="","",IF($J26="","",IF('Graph values'!$BA22="","",$J26*$E26%)))</f>
        <v/>
      </c>
      <c r="M26" s="286" t="str">
        <f>IF($F26="","",IF($J26="","",IF('Graph values'!$BA22="","",$J26*$F26%)))</f>
        <v/>
      </c>
      <c r="N26" s="287" t="str">
        <f>IF($G26="","",IF($J26="","",IF('Graph values'!$BA22="","",$J26*$G26%)))</f>
        <v/>
      </c>
    </row>
    <row r="27" spans="1:14" ht="15.75" customHeight="1" x14ac:dyDescent="0.2">
      <c r="A27" s="143">
        <v>33</v>
      </c>
      <c r="B27" s="144">
        <f>IF(Std!C36=0,"",Std!C36)</f>
        <v>62.235968294934345</v>
      </c>
      <c r="C27" s="144" t="str">
        <f>IF('Input Laying'!X31=0,"",'Input Laying'!X31)</f>
        <v/>
      </c>
      <c r="D27" s="145">
        <f>IF('Graph values'!BA23=0,"",IF('Graph values'!BA23="","",(1-NORMSDIST(12.5-(12.5*$A$4/'Graph values'!BA23)))*100))</f>
        <v>3.1795953644276786</v>
      </c>
      <c r="E27" s="146">
        <f>IF('Graph values'!BA23=0,"",IF('Graph values'!BA23="","",(NORMSDIST(12.5-(12.5*$A$4/'Graph values'!BA23))-NORMSDIST(12.5-(12.5*$C$4/'Graph values'!BA23)))*100))</f>
        <v>52.918415567779888</v>
      </c>
      <c r="F27" s="146">
        <f>IF('Graph values'!BA23=0,"",IF('Graph values'!BA23="","",(NORMSDIST(12.5-(12.5*$C$4/'Graph values'!BA23))-NORMSDIST(12.5-(12.5*$E$4/'Graph values'!BA23)))*100))</f>
        <v>42.370846960913966</v>
      </c>
      <c r="G27" s="147">
        <f>IF('Graph values'!BA23=0,"",IF('Graph values'!BA23="","",100-SUM(D27:F27)))</f>
        <v>1.5311421068784625</v>
      </c>
      <c r="H27" s="143">
        <f t="shared" si="0"/>
        <v>32</v>
      </c>
      <c r="I27" s="143">
        <v>33</v>
      </c>
      <c r="J27" s="148" t="str">
        <f>IF('Input Laying'!N31=0,"",'Input Laying'!N31)</f>
        <v/>
      </c>
      <c r="K27" s="149" t="str">
        <f>IF($D27="","",IF($J27="","",IF('Graph values'!$BA23="","",$J27*$D27%)))</f>
        <v/>
      </c>
      <c r="L27" s="150" t="str">
        <f>IF($E27="","",IF($J27="","",IF('Graph values'!$BA23="","",$J27*$E27%)))</f>
        <v/>
      </c>
      <c r="M27" s="150" t="str">
        <f>IF($F27="","",IF($J27="","",IF('Graph values'!$BA23="","",$J27*$F27%)))</f>
        <v/>
      </c>
      <c r="N27" s="151" t="str">
        <f>IF($G27="","",IF($J27="","",IF('Graph values'!$BA23="","",$J27*$G27%)))</f>
        <v/>
      </c>
    </row>
    <row r="28" spans="1:14" ht="15.75" customHeight="1" x14ac:dyDescent="0.2">
      <c r="A28" s="279">
        <v>34</v>
      </c>
      <c r="B28" s="280">
        <f>IF(Std!C37=0,"",Std!C37)</f>
        <v>62.404395638190486</v>
      </c>
      <c r="C28" s="280" t="str">
        <f>IF('Input Laying'!X32=0,"",'Input Laying'!X32)</f>
        <v/>
      </c>
      <c r="D28" s="281">
        <f>IF('Graph values'!BA24=0,"",IF('Graph values'!BA24="","",(1-NORMSDIST(12.5-(12.5*$A$4/'Graph values'!BA24)))*100))</f>
        <v>2.9798678588865202</v>
      </c>
      <c r="E28" s="282">
        <f>IF('Graph values'!BA24=0,"",IF('Graph values'!BA24="","",(NORMSDIST(12.5-(12.5*$A$4/'Graph values'!BA24))-NORMSDIST(12.5-(12.5*$C$4/'Graph values'!BA24)))*100))</f>
        <v>51.768381342139037</v>
      </c>
      <c r="F28" s="282">
        <f>IF('Graph values'!BA24=0,"",IF('Graph values'!BA24="","",(NORMSDIST(12.5-(12.5*$C$4/'Graph values'!BA24))-NORMSDIST(12.5-(12.5*$E$4/'Graph values'!BA24)))*100))</f>
        <v>43.561405893992969</v>
      </c>
      <c r="G28" s="283">
        <f>IF('Graph values'!BA24=0,"",IF('Graph values'!BA24="","",100-SUM(D28:F28)))</f>
        <v>1.6903449049814725</v>
      </c>
      <c r="H28" s="279">
        <f t="shared" si="0"/>
        <v>33</v>
      </c>
      <c r="I28" s="279">
        <v>34</v>
      </c>
      <c r="J28" s="284" t="str">
        <f>IF('Input Laying'!N32=0,"",'Input Laying'!N32)</f>
        <v/>
      </c>
      <c r="K28" s="285" t="str">
        <f>IF($D28="","",IF($J28="","",IF('Graph values'!$BA24="","",$J28*$D28%)))</f>
        <v/>
      </c>
      <c r="L28" s="286" t="str">
        <f>IF($E28="","",IF($J28="","",IF('Graph values'!$BA24="","",$J28*$E28%)))</f>
        <v/>
      </c>
      <c r="M28" s="286" t="str">
        <f>IF($F28="","",IF($J28="","",IF('Graph values'!$BA24="","",$J28*$F28%)))</f>
        <v/>
      </c>
      <c r="N28" s="287" t="str">
        <f>IF($G28="","",IF($J28="","",IF('Graph values'!$BA24="","",$J28*$G28%)))</f>
        <v/>
      </c>
    </row>
    <row r="29" spans="1:14" ht="15.75" customHeight="1" x14ac:dyDescent="0.2">
      <c r="A29" s="143">
        <v>35</v>
      </c>
      <c r="B29" s="144">
        <f>IF(Std!C38=0,"",Std!C38)</f>
        <v>62.563570692991696</v>
      </c>
      <c r="C29" s="144" t="str">
        <f>IF('Input Laying'!X33=0,"",'Input Laying'!X33)</f>
        <v/>
      </c>
      <c r="D29" s="145">
        <f>IF('Graph values'!BA25=0,"",IF('Graph values'!BA25="","",(1-NORMSDIST(12.5-(12.5*$A$4/'Graph values'!BA25)))*100))</f>
        <v>2.8017031517032276</v>
      </c>
      <c r="E29" s="146">
        <f>IF('Graph values'!BA25=0,"",IF('Graph values'!BA25="","",(NORMSDIST(12.5-(12.5*$A$4/'Graph values'!BA25))-NORMSDIST(12.5-(12.5*$C$4/'Graph values'!BA25)))*100))</f>
        <v>50.672557425977601</v>
      </c>
      <c r="F29" s="146">
        <f>IF('Graph values'!BA25=0,"",IF('Graph values'!BA25="","",(NORMSDIST(12.5-(12.5*$C$4/'Graph values'!BA25))-NORMSDIST(12.5-(12.5*$E$4/'Graph values'!BA25)))*100))</f>
        <v>44.67302302411774</v>
      </c>
      <c r="G29" s="147">
        <f>IF('Graph values'!BA25=0,"",IF('Graph values'!BA25="","",100-SUM(D29:F29)))</f>
        <v>1.8527163982014372</v>
      </c>
      <c r="H29" s="143">
        <f t="shared" si="0"/>
        <v>34</v>
      </c>
      <c r="I29" s="143">
        <v>35</v>
      </c>
      <c r="J29" s="148" t="str">
        <f>IF('Input Laying'!N33=0,"",'Input Laying'!N33)</f>
        <v/>
      </c>
      <c r="K29" s="149" t="str">
        <f>IF($D29="","",IF($J29="","",IF('Graph values'!$BA25="","",$J29*$D29%)))</f>
        <v/>
      </c>
      <c r="L29" s="150" t="str">
        <f>IF($E29="","",IF($J29="","",IF('Graph values'!$BA25="","",$J29*$E29%)))</f>
        <v/>
      </c>
      <c r="M29" s="150" t="str">
        <f>IF($F29="","",IF($J29="","",IF('Graph values'!$BA25="","",$J29*$F29%)))</f>
        <v/>
      </c>
      <c r="N29" s="151" t="str">
        <f>IF($G29="","",IF($J29="","",IF('Graph values'!$BA25="","",$J29*$G29%)))</f>
        <v/>
      </c>
    </row>
    <row r="30" spans="1:14" ht="15.75" customHeight="1" x14ac:dyDescent="0.2">
      <c r="A30" s="279">
        <v>36</v>
      </c>
      <c r="B30" s="280">
        <f>IF(Std!C39=0,"",Std!C39)</f>
        <v>62.720342229576147</v>
      </c>
      <c r="C30" s="280" t="str">
        <f>IF('Input Laying'!X34=0,"",'Input Laying'!X34)</f>
        <v/>
      </c>
      <c r="D30" s="281">
        <f>IF('Graph values'!BA26=0,"",IF('Graph values'!BA26="","",(1-NORMSDIST(12.5-(12.5*$A$4/'Graph values'!BA26)))*100))</f>
        <v>2.6358082281095929</v>
      </c>
      <c r="E30" s="282">
        <f>IF('Graph values'!BA26=0,"",IF('Graph values'!BA26="","",(NORMSDIST(12.5-(12.5*$A$4/'Graph values'!BA26))-NORMSDIST(12.5-(12.5*$C$4/'Graph values'!BA26)))*100))</f>
        <v>49.586548377927173</v>
      </c>
      <c r="F30" s="282">
        <f>IF('Graph values'!BA26=0,"",IF('Graph values'!BA26="","",(NORMSDIST(12.5-(12.5*$C$4/'Graph values'!BA26))-NORMSDIST(12.5-(12.5*$E$4/'Graph values'!BA26)))*100))</f>
        <v>45.753113879497185</v>
      </c>
      <c r="G30" s="283">
        <f>IF('Graph values'!BA26=0,"",IF('Graph values'!BA26="","",100-SUM(D30:F30)))</f>
        <v>2.0245295144660531</v>
      </c>
      <c r="H30" s="279">
        <f t="shared" si="0"/>
        <v>35</v>
      </c>
      <c r="I30" s="279">
        <v>36</v>
      </c>
      <c r="J30" s="284" t="str">
        <f>IF('Input Laying'!N34=0,"",'Input Laying'!N34)</f>
        <v/>
      </c>
      <c r="K30" s="285" t="str">
        <f>IF($D30="","",IF($J30="","",IF('Graph values'!$BA26="","",$J30*$D30%)))</f>
        <v/>
      </c>
      <c r="L30" s="286" t="str">
        <f>IF($E30="","",IF($J30="","",IF('Graph values'!$BA26="","",$J30*$E30%)))</f>
        <v/>
      </c>
      <c r="M30" s="286" t="str">
        <f>IF($F30="","",IF($J30="","",IF('Graph values'!$BA26="","",$J30*$F30%)))</f>
        <v/>
      </c>
      <c r="N30" s="287" t="str">
        <f>IF($G30="","",IF($J30="","",IF('Graph values'!$BA26="","",$J30*$G30%)))</f>
        <v/>
      </c>
    </row>
    <row r="31" spans="1:14" ht="15.75" customHeight="1" x14ac:dyDescent="0.2">
      <c r="A31" s="143">
        <v>37</v>
      </c>
      <c r="B31" s="144">
        <f>IF(Std!C40=0,"",Std!C40)</f>
        <v>62.877817223979292</v>
      </c>
      <c r="C31" s="144" t="str">
        <f>IF('Input Laying'!X35=0,"",'Input Laying'!X35)</f>
        <v/>
      </c>
      <c r="D31" s="145">
        <f>IF('Graph values'!BA27=0,"",IF('Graph values'!BA27="","",(1-NORMSDIST(12.5-(12.5*$A$4/'Graph values'!BA27)))*100))</f>
        <v>2.4782865577077096</v>
      </c>
      <c r="E31" s="146">
        <f>IF('Graph values'!BA27=0,"",IF('Graph values'!BA27="","",(NORMSDIST(12.5-(12.5*$A$4/'Graph values'!BA27))-NORMSDIST(12.5-(12.5*$C$4/'Graph values'!BA27)))*100))</f>
        <v>48.49063787375519</v>
      </c>
      <c r="F31" s="146">
        <f>IF('Graph values'!BA27=0,"",IF('Graph values'!BA27="","",(NORMSDIST(12.5-(12.5*$C$4/'Graph values'!BA27))-NORMSDIST(12.5-(12.5*$E$4/'Graph values'!BA27)))*100))</f>
        <v>46.821513098192149</v>
      </c>
      <c r="G31" s="147">
        <f>IF('Graph values'!BA27=0,"",IF('Graph values'!BA27="","",100-SUM(D31:F31)))</f>
        <v>2.2095624703449488</v>
      </c>
      <c r="H31" s="143">
        <f t="shared" si="0"/>
        <v>36</v>
      </c>
      <c r="I31" s="143">
        <v>37</v>
      </c>
      <c r="J31" s="148" t="str">
        <f>IF('Input Laying'!N35=0,"",'Input Laying'!N35)</f>
        <v/>
      </c>
      <c r="K31" s="149" t="str">
        <f>IF($D31="","",IF($J31="","",IF('Graph values'!$BA27="","",$J31*$D31%)))</f>
        <v/>
      </c>
      <c r="L31" s="150" t="str">
        <f>IF($E31="","",IF($J31="","",IF('Graph values'!$BA27="","",$J31*$E31%)))</f>
        <v/>
      </c>
      <c r="M31" s="150" t="str">
        <f>IF($F31="","",IF($J31="","",IF('Graph values'!$BA27="","",$J31*$F31%)))</f>
        <v/>
      </c>
      <c r="N31" s="151" t="str">
        <f>IF($G31="","",IF($J31="","",IF('Graph values'!$BA27="","",$J31*$G31%)))</f>
        <v/>
      </c>
    </row>
    <row r="32" spans="1:14" ht="15.75" customHeight="1" x14ac:dyDescent="0.2">
      <c r="A32" s="279">
        <v>38</v>
      </c>
      <c r="B32" s="280">
        <f>IF(Std!C41=0,"",Std!C41)</f>
        <v>63.035360858035659</v>
      </c>
      <c r="C32" s="280" t="str">
        <f>IF('Input Laying'!X36=0,"",'Input Laying'!X36)</f>
        <v/>
      </c>
      <c r="D32" s="281">
        <f>IF('Graph values'!BA28=0,"",IF('Graph values'!BA28="","",(1-NORMSDIST(12.5-(12.5*$A$4/'Graph values'!BA28)))*100))</f>
        <v>2.3294032504233564</v>
      </c>
      <c r="E32" s="282">
        <f>IF('Graph values'!BA28=0,"",IF('Graph values'!BA28="","",(NORMSDIST(12.5-(12.5*$A$4/'Graph values'!BA28))-NORMSDIST(12.5-(12.5*$C$4/'Graph values'!BA28)))*100))</f>
        <v>47.390856427141671</v>
      </c>
      <c r="F32" s="282">
        <f>IF('Graph values'!BA28=0,"",IF('Graph values'!BA28="","",(NORMSDIST(12.5-(12.5*$C$4/'Graph values'!BA28))-NORMSDIST(12.5-(12.5*$E$4/'Graph values'!BA28)))*100))</f>
        <v>47.872011903119535</v>
      </c>
      <c r="G32" s="283">
        <f>IF('Graph values'!BA28=0,"",IF('Graph values'!BA28="","",100-SUM(D32:F32)))</f>
        <v>2.4077284193154469</v>
      </c>
      <c r="H32" s="279">
        <f t="shared" si="0"/>
        <v>37</v>
      </c>
      <c r="I32" s="279">
        <v>38</v>
      </c>
      <c r="J32" s="284" t="str">
        <f>IF('Input Laying'!N36=0,"",'Input Laying'!N36)</f>
        <v/>
      </c>
      <c r="K32" s="285" t="str">
        <f>IF($D32="","",IF($J32="","",IF('Graph values'!$BA28="","",$J32*$D32%)))</f>
        <v/>
      </c>
      <c r="L32" s="286" t="str">
        <f>IF($E32="","",IF($J32="","",IF('Graph values'!$BA28="","",$J32*$E32%)))</f>
        <v/>
      </c>
      <c r="M32" s="286" t="str">
        <f>IF($F32="","",IF($J32="","",IF('Graph values'!$BA28="","",$J32*$F32%)))</f>
        <v/>
      </c>
      <c r="N32" s="287" t="str">
        <f>IF($G32="","",IF($J32="","",IF('Graph values'!$BA28="","",$J32*$G32%)))</f>
        <v/>
      </c>
    </row>
    <row r="33" spans="1:14" ht="15.75" customHeight="1" x14ac:dyDescent="0.2">
      <c r="A33" s="143">
        <v>39</v>
      </c>
      <c r="B33" s="144">
        <f>IF(Std!C42=0,"",Std!C42)</f>
        <v>63.188596519377562</v>
      </c>
      <c r="C33" s="144" t="str">
        <f>IF('Input Laying'!X37=0,"",'Input Laying'!X37)</f>
        <v/>
      </c>
      <c r="D33" s="145">
        <f>IF('Graph values'!BA29=0,"",IF('Graph values'!BA29="","",(1-NORMSDIST(12.5-(12.5*$A$4/'Graph values'!BA29)))*100))</f>
        <v>2.1925447129296782</v>
      </c>
      <c r="E33" s="146">
        <f>IF('Graph values'!BA29=0,"",IF('Graph values'!BA29="","",(NORMSDIST(12.5-(12.5*$A$4/'Graph values'!BA29))-NORMSDIST(12.5-(12.5*$C$4/'Graph values'!BA29)))*100))</f>
        <v>46.319416325077178</v>
      </c>
      <c r="F33" s="146">
        <f>IF('Graph values'!BA29=0,"",IF('Graph values'!BA29="","",(NORMSDIST(12.5-(12.5*$C$4/'Graph values'!BA29))-NORMSDIST(12.5-(12.5*$E$4/'Graph values'!BA29)))*100))</f>
        <v>48.874499027667902</v>
      </c>
      <c r="G33" s="147">
        <f>IF('Graph values'!BA29=0,"",IF('Graph values'!BA29="","",100-SUM(D33:F33)))</f>
        <v>2.6135399343252459</v>
      </c>
      <c r="H33" s="143">
        <f t="shared" si="0"/>
        <v>38</v>
      </c>
      <c r="I33" s="143">
        <v>39</v>
      </c>
      <c r="J33" s="148" t="str">
        <f>IF('Input Laying'!N37=0,"",'Input Laying'!N37)</f>
        <v/>
      </c>
      <c r="K33" s="149" t="str">
        <f>IF($D33="","",IF($J33="","",IF('Graph values'!$BA29="","",$J33*$D33%)))</f>
        <v/>
      </c>
      <c r="L33" s="150" t="str">
        <f>IF($E33="","",IF($J33="","",IF('Graph values'!$BA29="","",$J33*$E33%)))</f>
        <v/>
      </c>
      <c r="M33" s="150" t="str">
        <f>IF($F33="","",IF($J33="","",IF('Graph values'!$BA29="","",$J33*$F33%)))</f>
        <v/>
      </c>
      <c r="N33" s="151" t="str">
        <f>IF($G33="","",IF($J33="","",IF('Graph values'!$BA29="","",$J33*$G33%)))</f>
        <v/>
      </c>
    </row>
    <row r="34" spans="1:14" ht="15.75" customHeight="1" x14ac:dyDescent="0.2">
      <c r="A34" s="279">
        <v>40</v>
      </c>
      <c r="B34" s="280">
        <f>IF(Std!C43=0,"",Std!C43)</f>
        <v>63.3</v>
      </c>
      <c r="C34" s="280" t="str">
        <f>IF('Input Laying'!X38=0,"",'Input Laying'!X38)</f>
        <v/>
      </c>
      <c r="D34" s="281">
        <f>IF('Graph values'!BA30=0,"",IF('Graph values'!BA30="","",(1-NORMSDIST(12.5-(12.5*$A$4/'Graph values'!BA30)))*100))</f>
        <v>2.0977549880597302</v>
      </c>
      <c r="E34" s="282">
        <f>IF('Graph values'!BA30=0,"",IF('Graph values'!BA30="","",(NORMSDIST(12.5-(12.5*$A$4/'Graph values'!BA30))-NORMSDIST(12.5-(12.5*$C$4/'Graph values'!BA30)))*100))</f>
        <v>45.540224574117175</v>
      </c>
      <c r="F34" s="282">
        <f>IF('Graph values'!BA30=0,"",IF('Graph values'!BA30="","",(NORMSDIST(12.5-(12.5*$C$4/'Graph values'!BA30))-NORMSDIST(12.5-(12.5*$E$4/'Graph values'!BA30)))*100))</f>
        <v>49.590466244725548</v>
      </c>
      <c r="G34" s="283">
        <f>IF('Graph values'!BA30=0,"",IF('Graph values'!BA30="","",100-SUM(D34:F34)))</f>
        <v>2.7715541930975434</v>
      </c>
      <c r="H34" s="279">
        <f t="shared" si="0"/>
        <v>39</v>
      </c>
      <c r="I34" s="279">
        <v>40</v>
      </c>
      <c r="J34" s="284" t="str">
        <f>IF('Input Laying'!N38=0,"",'Input Laying'!N38)</f>
        <v/>
      </c>
      <c r="K34" s="285" t="str">
        <f>IF($D34="","",IF($J34="","",IF('Graph values'!$BA30="","",$J34*$D34%)))</f>
        <v/>
      </c>
      <c r="L34" s="286" t="str">
        <f>IF($E34="","",IF($J34="","",IF('Graph values'!$BA30="","",$J34*$E34%)))</f>
        <v/>
      </c>
      <c r="M34" s="286" t="str">
        <f>IF($F34="","",IF($J34="","",IF('Graph values'!$BA30="","",$J34*$F34%)))</f>
        <v/>
      </c>
      <c r="N34" s="287" t="str">
        <f>IF($G34="","",IF($J34="","",IF('Graph values'!$BA30="","",$J34*$G34%)))</f>
        <v/>
      </c>
    </row>
    <row r="35" spans="1:14" ht="15.75" customHeight="1" x14ac:dyDescent="0.2">
      <c r="A35" s="143">
        <v>41</v>
      </c>
      <c r="B35" s="144">
        <f>IF(Std!C44=0,"",Std!C44)</f>
        <v>63.34</v>
      </c>
      <c r="C35" s="144" t="str">
        <f>IF('Input Laying'!X39=0,"",'Input Laying'!X39)</f>
        <v/>
      </c>
      <c r="D35" s="145">
        <f>IF('Graph values'!BA31=0,"",IF('Graph values'!BA31="","",(1-NORMSDIST(12.5-(12.5*$A$4/'Graph values'!BA31)))*100))</f>
        <v>2.064656070400428</v>
      </c>
      <c r="E35" s="146">
        <f>IF('Graph values'!BA31=0,"",IF('Graph values'!BA31="","",(NORMSDIST(12.5-(12.5*$A$4/'Graph values'!BA31))-NORMSDIST(12.5-(12.5*$C$4/'Graph values'!BA31)))*100))</f>
        <v>45.260520265044924</v>
      </c>
      <c r="F35" s="146">
        <f>IF('Graph values'!BA31=0,"",IF('Graph values'!BA31="","",(NORMSDIST(12.5-(12.5*$C$4/'Graph values'!BA31))-NORMSDIST(12.5-(12.5*$E$4/'Graph values'!BA31)))*100))</f>
        <v>49.844766406671496</v>
      </c>
      <c r="G35" s="147">
        <f>IF('Graph values'!BA31=0,"",IF('Graph values'!BA31="","",100-SUM(D35:F35)))</f>
        <v>2.8300572578831549</v>
      </c>
      <c r="H35" s="143">
        <f t="shared" si="0"/>
        <v>40</v>
      </c>
      <c r="I35" s="143">
        <v>41</v>
      </c>
      <c r="J35" s="148" t="str">
        <f>IF('Input Laying'!N39=0,"",'Input Laying'!N39)</f>
        <v/>
      </c>
      <c r="K35" s="149" t="str">
        <f>IF($D35="","",IF($J35="","",IF('Graph values'!$BA31="","",$J35*$D35%)))</f>
        <v/>
      </c>
      <c r="L35" s="150" t="str">
        <f>IF($E35="","",IF($J35="","",IF('Graph values'!$BA31="","",$J35*$E35%)))</f>
        <v/>
      </c>
      <c r="M35" s="150" t="str">
        <f>IF($F35="","",IF($J35="","",IF('Graph values'!$BA31="","",$J35*$F35%)))</f>
        <v/>
      </c>
      <c r="N35" s="151" t="str">
        <f>IF($G35="","",IF($J35="","",IF('Graph values'!$BA31="","",$J35*$G35%)))</f>
        <v/>
      </c>
    </row>
    <row r="36" spans="1:14" ht="15.75" customHeight="1" x14ac:dyDescent="0.2">
      <c r="A36" s="279">
        <v>42</v>
      </c>
      <c r="B36" s="280">
        <f>IF(Std!C45=0,"",Std!C45)</f>
        <v>63.42</v>
      </c>
      <c r="C36" s="280" t="str">
        <f>IF('Input Laying'!X40=0,"",'Input Laying'!X40)</f>
        <v/>
      </c>
      <c r="D36" s="281">
        <f>IF('Graph values'!BA32=0,"",IF('Graph values'!BA32="","",(1-NORMSDIST(12.5-(12.5*$A$4/'Graph values'!BA32)))*100))</f>
        <v>1.9999050217670011</v>
      </c>
      <c r="E36" s="282">
        <f>IF('Graph values'!BA32=0,"",IF('Graph values'!BA32="","",(NORMSDIST(12.5-(12.5*$A$4/'Graph values'!BA32))-NORMSDIST(12.5-(12.5*$C$4/'Graph values'!BA32)))*100))</f>
        <v>44.701360664275199</v>
      </c>
      <c r="F36" s="282">
        <f>IF('Graph values'!BA32=0,"",IF('Graph values'!BA32="","",(NORMSDIST(12.5-(12.5*$C$4/'Graph values'!BA32))-NORMSDIST(12.5-(12.5*$E$4/'Graph values'!BA32)))*100))</f>
        <v>50.348816687173525</v>
      </c>
      <c r="G36" s="283">
        <f>IF('Graph values'!BA32=0,"",IF('Graph values'!BA32="","",100-SUM(D36:F36)))</f>
        <v>2.9499176267842699</v>
      </c>
      <c r="H36" s="279">
        <f t="shared" si="0"/>
        <v>41</v>
      </c>
      <c r="I36" s="279">
        <v>42</v>
      </c>
      <c r="J36" s="284" t="str">
        <f>IF('Input Laying'!N40=0,"",'Input Laying'!N40)</f>
        <v/>
      </c>
      <c r="K36" s="285" t="str">
        <f>IF($D36="","",IF($J36="","",IF('Graph values'!$BA32="","",$J36*$D36%)))</f>
        <v/>
      </c>
      <c r="L36" s="286" t="str">
        <f>IF($E36="","",IF($J36="","",IF('Graph values'!$BA32="","",$J36*$E36%)))</f>
        <v/>
      </c>
      <c r="M36" s="286" t="str">
        <f>IF($F36="","",IF($J36="","",IF('Graph values'!$BA32="","",$J36*$F36%)))</f>
        <v/>
      </c>
      <c r="N36" s="287" t="str">
        <f>IF($G36="","",IF($J36="","",IF('Graph values'!$BA32="","",$J36*$G36%)))</f>
        <v/>
      </c>
    </row>
    <row r="37" spans="1:14" ht="15.75" customHeight="1" x14ac:dyDescent="0.2">
      <c r="A37" s="143">
        <v>43</v>
      </c>
      <c r="B37" s="144">
        <f>IF(Std!C46=0,"",Std!C46)</f>
        <v>63.44</v>
      </c>
      <c r="C37" s="144" t="str">
        <f>IF('Input Laying'!X41=0,"",'Input Laying'!X41)</f>
        <v/>
      </c>
      <c r="D37" s="145">
        <f>IF('Graph values'!BA33=0,"",IF('Graph values'!BA33="","",(1-NORMSDIST(12.5-(12.5*$A$4/'Graph values'!BA33)))*100))</f>
        <v>1.9840141259176325</v>
      </c>
      <c r="E37" s="146">
        <f>IF('Graph values'!BA33=0,"",IF('Graph values'!BA33="","",(NORMSDIST(12.5-(12.5*$A$4/'Graph values'!BA33))-NORMSDIST(12.5-(12.5*$C$4/'Graph values'!BA33)))*100))</f>
        <v>44.561640064745752</v>
      </c>
      <c r="F37" s="146">
        <f>IF('Graph values'!BA33=0,"",IF('Graph values'!BA33="","",(NORMSDIST(12.5-(12.5*$C$4/'Graph values'!BA33))-NORMSDIST(12.5-(12.5*$E$4/'Graph values'!BA33)))*100))</f>
        <v>50.473861823691458</v>
      </c>
      <c r="G37" s="147">
        <f>IF('Graph values'!BA33=0,"",IF('Graph values'!BA33="","",100-SUM(D37:F37)))</f>
        <v>2.9804839856451508</v>
      </c>
      <c r="H37" s="143">
        <f t="shared" si="0"/>
        <v>42</v>
      </c>
      <c r="I37" s="143">
        <v>43</v>
      </c>
      <c r="J37" s="148" t="str">
        <f>IF('Input Laying'!N41=0,"",'Input Laying'!N41)</f>
        <v/>
      </c>
      <c r="K37" s="149" t="str">
        <f>IF($D37="","",IF($J37="","",IF('Graph values'!$BA33="","",$J37*$D37%)))</f>
        <v/>
      </c>
      <c r="L37" s="150" t="str">
        <f>IF($E37="","",IF($J37="","",IF('Graph values'!$BA33="","",$J37*$E37%)))</f>
        <v/>
      </c>
      <c r="M37" s="150" t="str">
        <f>IF($F37="","",IF($J37="","",IF('Graph values'!$BA33="","",$J37*$F37%)))</f>
        <v/>
      </c>
      <c r="N37" s="151" t="str">
        <f>IF($G37="","",IF($J37="","",IF('Graph values'!$BA33="","",$J37*$G37%)))</f>
        <v/>
      </c>
    </row>
    <row r="38" spans="1:14" ht="15.75" customHeight="1" x14ac:dyDescent="0.2">
      <c r="A38" s="279">
        <v>44</v>
      </c>
      <c r="B38" s="280">
        <f>IF(Std!C47=0,"",Std!C47)</f>
        <v>63.45</v>
      </c>
      <c r="C38" s="280" t="str">
        <f>IF('Input Laying'!X42=0,"",'Input Laying'!X42)</f>
        <v/>
      </c>
      <c r="D38" s="281">
        <f>IF('Graph values'!BA34=0,"",IF('Graph values'!BA34="","",(1-NORMSDIST(12.5-(12.5*$A$4/'Graph values'!BA34)))*100))</f>
        <v>1.9761126770585613</v>
      </c>
      <c r="E38" s="282">
        <f>IF('Graph values'!BA34=0,"",IF('Graph values'!BA34="","",(NORMSDIST(12.5-(12.5*$A$4/'Graph values'!BA34))-NORMSDIST(12.5-(12.5*$C$4/'Graph values'!BA34)))*100))</f>
        <v>44.491792194270431</v>
      </c>
      <c r="F38" s="282">
        <f>IF('Graph values'!BA34=0,"",IF('Graph values'!BA34="","",(NORMSDIST(12.5-(12.5*$C$4/'Graph values'!BA34))-NORMSDIST(12.5-(12.5*$E$4/'Graph values'!BA34)))*100))</f>
        <v>50.536236994412796</v>
      </c>
      <c r="G38" s="283">
        <f>IF('Graph values'!BA34=0,"",IF('Graph values'!BA34="","",100-SUM(D38:F38)))</f>
        <v>2.9958581342582136</v>
      </c>
      <c r="H38" s="279">
        <f t="shared" si="0"/>
        <v>43</v>
      </c>
      <c r="I38" s="279">
        <v>44</v>
      </c>
      <c r="J38" s="284" t="str">
        <f>IF('Input Laying'!N42=0,"",'Input Laying'!N42)</f>
        <v/>
      </c>
      <c r="K38" s="285" t="str">
        <f>IF($D38="","",IF($J38="","",IF('Graph values'!$BA34="","",$J38*$D38%)))</f>
        <v/>
      </c>
      <c r="L38" s="286" t="str">
        <f>IF($E38="","",IF($J38="","",IF('Graph values'!$BA34="","",$J38*$E38%)))</f>
        <v/>
      </c>
      <c r="M38" s="286" t="str">
        <f>IF($F38="","",IF($J38="","",IF('Graph values'!$BA34="","",$J38*$F38%)))</f>
        <v/>
      </c>
      <c r="N38" s="287" t="str">
        <f>IF($G38="","",IF($J38="","",IF('Graph values'!$BA34="","",$J38*$G38%)))</f>
        <v/>
      </c>
    </row>
    <row r="39" spans="1:14" ht="15.75" customHeight="1" x14ac:dyDescent="0.2">
      <c r="A39" s="143">
        <v>45</v>
      </c>
      <c r="B39" s="144">
        <f>IF(Std!C48=0,"",Std!C48)</f>
        <v>63.49</v>
      </c>
      <c r="C39" s="144" t="str">
        <f>IF('Input Laying'!X43=0,"",'Input Laying'!X43)</f>
        <v/>
      </c>
      <c r="D39" s="145">
        <f>IF('Graph values'!BA35=0,"",IF('Graph values'!BA35="","",(1-NORMSDIST(12.5-(12.5*$A$4/'Graph values'!BA35)))*100))</f>
        <v>1.9447979779936619</v>
      </c>
      <c r="E39" s="146">
        <f>IF('Graph values'!BA35=0,"",IF('Graph values'!BA35="","",(NORMSDIST(12.5-(12.5*$A$4/'Graph values'!BA35))-NORMSDIST(12.5-(12.5*$C$4/'Graph values'!BA35)))*100))</f>
        <v>44.212492122461136</v>
      </c>
      <c r="F39" s="146">
        <f>IF('Graph values'!BA35=0,"",IF('Graph values'!BA35="","",(NORMSDIST(12.5-(12.5*$C$4/'Graph values'!BA35))-NORMSDIST(12.5-(12.5*$E$4/'Graph values'!BA35)))*100))</f>
        <v>50.784745415832589</v>
      </c>
      <c r="G39" s="147">
        <f>IF('Graph values'!BA35=0,"",IF('Graph values'!BA35="","",100-SUM(D39:F39)))</f>
        <v>3.0579644837126239</v>
      </c>
      <c r="H39" s="143">
        <f t="shared" si="0"/>
        <v>44</v>
      </c>
      <c r="I39" s="143">
        <v>45</v>
      </c>
      <c r="J39" s="148" t="str">
        <f>IF('Input Laying'!N43=0,"",'Input Laying'!N43)</f>
        <v/>
      </c>
      <c r="K39" s="149" t="str">
        <f>IF($D39="","",IF($J39="","",IF('Graph values'!$BA35="","",$J39*$D39%)))</f>
        <v/>
      </c>
      <c r="L39" s="150" t="str">
        <f>IF($E39="","",IF($J39="","",IF('Graph values'!$BA35="","",$J39*$E39%)))</f>
        <v/>
      </c>
      <c r="M39" s="150" t="str">
        <f>IF($F39="","",IF($J39="","",IF('Graph values'!$BA35="","",$J39*$F39%)))</f>
        <v/>
      </c>
      <c r="N39" s="151" t="str">
        <f>IF($G39="","",IF($J39="","",IF('Graph values'!$BA35="","",$J39*$G39%)))</f>
        <v/>
      </c>
    </row>
    <row r="40" spans="1:14" ht="15.75" customHeight="1" x14ac:dyDescent="0.2">
      <c r="A40" s="279">
        <v>46</v>
      </c>
      <c r="B40" s="280">
        <f>IF(Std!C49=0,"",Std!C49)</f>
        <v>63.51</v>
      </c>
      <c r="C40" s="280" t="str">
        <f>IF('Input Laying'!X44=0,"",'Input Laying'!X44)</f>
        <v/>
      </c>
      <c r="D40" s="281">
        <f>IF('Graph values'!BA36=0,"",IF('Graph values'!BA36="","",(1-NORMSDIST(12.5-(12.5*$A$4/'Graph values'!BA36)))*100))</f>
        <v>1.9293139555529915</v>
      </c>
      <c r="E40" s="282">
        <f>IF('Graph values'!BA36=0,"",IF('Graph values'!BA36="","",(NORMSDIST(12.5-(12.5*$A$4/'Graph values'!BA36))-NORMSDIST(12.5-(12.5*$C$4/'Graph values'!BA36)))*100))</f>
        <v>44.072902031894259</v>
      </c>
      <c r="F40" s="282">
        <f>IF('Graph values'!BA36=0,"",IF('Graph values'!BA36="","",(NORMSDIST(12.5-(12.5*$C$4/'Graph values'!BA36))-NORMSDIST(12.5-(12.5*$E$4/'Graph values'!BA36)))*100))</f>
        <v>50.908398529361889</v>
      </c>
      <c r="G40" s="283">
        <f>IF('Graph values'!BA36=0,"",IF('Graph values'!BA36="","",100-SUM(D40:F40)))</f>
        <v>3.0893854831908527</v>
      </c>
      <c r="H40" s="279">
        <f t="shared" si="0"/>
        <v>45</v>
      </c>
      <c r="I40" s="279">
        <v>46</v>
      </c>
      <c r="J40" s="284" t="str">
        <f>IF('Input Laying'!N44=0,"",'Input Laying'!N44)</f>
        <v/>
      </c>
      <c r="K40" s="285" t="str">
        <f>IF($D40="","",IF($J40="","",IF('Graph values'!$BA36="","",$J40*$D40%)))</f>
        <v/>
      </c>
      <c r="L40" s="286" t="str">
        <f>IF($E40="","",IF($J40="","",IF('Graph values'!$BA36="","",$J40*$E40%)))</f>
        <v/>
      </c>
      <c r="M40" s="286" t="str">
        <f>IF($F40="","",IF($J40="","",IF('Graph values'!$BA36="","",$J40*$F40%)))</f>
        <v/>
      </c>
      <c r="N40" s="287" t="str">
        <f>IF($G40="","",IF($J40="","",IF('Graph values'!$BA36="","",$J40*$G40%)))</f>
        <v/>
      </c>
    </row>
    <row r="41" spans="1:14" ht="15.75" customHeight="1" x14ac:dyDescent="0.2">
      <c r="A41" s="143">
        <v>47</v>
      </c>
      <c r="B41" s="144">
        <f>IF(Std!C50=0,"",Std!C50)</f>
        <v>63.53</v>
      </c>
      <c r="C41" s="144" t="str">
        <f>IF('Input Laying'!X45=0,"",'Input Laying'!X45)</f>
        <v/>
      </c>
      <c r="D41" s="145">
        <f>IF('Graph values'!BA37=0,"",IF('Graph values'!BA37="","",(1-NORMSDIST(12.5-(12.5*$A$4/'Graph values'!BA37)))*100))</f>
        <v>1.9139444764760594</v>
      </c>
      <c r="E41" s="146">
        <f>IF('Graph values'!BA37=0,"",IF('Graph values'!BA37="","",(NORMSDIST(12.5-(12.5*$A$4/'Graph values'!BA37))-NORMSDIST(12.5-(12.5*$C$4/'Graph values'!BA37)))*100))</f>
        <v>43.933355767399732</v>
      </c>
      <c r="F41" s="146">
        <f>IF('Graph values'!BA37=0,"",IF('Graph values'!BA37="","",(NORMSDIST(12.5-(12.5*$C$4/'Graph values'!BA37))-NORMSDIST(12.5-(12.5*$E$4/'Graph values'!BA37)))*100))</f>
        <v>51.031646558238172</v>
      </c>
      <c r="G41" s="147">
        <f>IF('Graph values'!BA37=0,"",IF('Graph values'!BA37="","",100-SUM(D41:F41)))</f>
        <v>3.1210531978860274</v>
      </c>
      <c r="H41" s="143">
        <f t="shared" si="0"/>
        <v>46</v>
      </c>
      <c r="I41" s="143">
        <v>47</v>
      </c>
      <c r="J41" s="148" t="str">
        <f>IF('Input Laying'!N45=0,"",'Input Laying'!N45)</f>
        <v/>
      </c>
      <c r="K41" s="149" t="str">
        <f>IF($D41="","",IF($J41="","",IF('Graph values'!$BA37="","",$J41*$D41%)))</f>
        <v/>
      </c>
      <c r="L41" s="150" t="str">
        <f>IF($E41="","",IF($J41="","",IF('Graph values'!$BA37="","",$J41*$E41%)))</f>
        <v/>
      </c>
      <c r="M41" s="150" t="str">
        <f>IF($F41="","",IF($J41="","",IF('Graph values'!$BA37="","",$J41*$F41%)))</f>
        <v/>
      </c>
      <c r="N41" s="151" t="str">
        <f>IF($G41="","",IF($J41="","",IF('Graph values'!$BA37="","",$J41*$G41%)))</f>
        <v/>
      </c>
    </row>
    <row r="42" spans="1:14" ht="15.75" customHeight="1" x14ac:dyDescent="0.2">
      <c r="A42" s="279">
        <v>48</v>
      </c>
      <c r="B42" s="280">
        <f>IF(Std!C51=0,"",Std!C51)</f>
        <v>63.58</v>
      </c>
      <c r="C42" s="280" t="str">
        <f>IF('Input Laying'!X46=0,"",'Input Laying'!X46)</f>
        <v/>
      </c>
      <c r="D42" s="281">
        <f>IF('Graph values'!BA38=0,"",IF('Graph values'!BA38="","",(1-NORMSDIST(12.5-(12.5*$A$4/'Graph values'!BA38)))*100))</f>
        <v>1.8760169861286813</v>
      </c>
      <c r="E42" s="282">
        <f>IF('Graph values'!BA38=0,"",IF('Graph values'!BA38="","",(NORMSDIST(12.5-(12.5*$A$4/'Graph values'!BA38))-NORMSDIST(12.5-(12.5*$C$4/'Graph values'!BA38)))*100))</f>
        <v>43.584700694189905</v>
      </c>
      <c r="F42" s="282">
        <f>IF('Graph values'!BA38=0,"",IF('Graph values'!BA38="","",(NORMSDIST(12.5-(12.5*$C$4/'Graph values'!BA38))-NORMSDIST(12.5-(12.5*$E$4/'Graph values'!BA38)))*100))</f>
        <v>51.33797310599634</v>
      </c>
      <c r="G42" s="283">
        <f>IF('Graph values'!BA38=0,"",IF('Graph values'!BA38="","",100-SUM(D42:F42)))</f>
        <v>3.2013092136850787</v>
      </c>
      <c r="H42" s="279">
        <f t="shared" si="0"/>
        <v>47</v>
      </c>
      <c r="I42" s="279">
        <v>48</v>
      </c>
      <c r="J42" s="284" t="str">
        <f>IF('Input Laying'!N46=0,"",'Input Laying'!N46)</f>
        <v/>
      </c>
      <c r="K42" s="285" t="str">
        <f>IF($D42="","",IF($J42="","",IF('Graph values'!$BA38="","",$J42*$D42%)))</f>
        <v/>
      </c>
      <c r="L42" s="286" t="str">
        <f>IF($E42="","",IF($J42="","",IF('Graph values'!$BA38="","",$J42*$E42%)))</f>
        <v/>
      </c>
      <c r="M42" s="286" t="str">
        <f>IF($F42="","",IF($J42="","",IF('Graph values'!$BA38="","",$J42*$F42%)))</f>
        <v/>
      </c>
      <c r="N42" s="287" t="str">
        <f>IF($G42="","",IF($J42="","",IF('Graph values'!$BA38="","",$J42*$G42%)))</f>
        <v/>
      </c>
    </row>
    <row r="43" spans="1:14" ht="15.75" customHeight="1" x14ac:dyDescent="0.2">
      <c r="A43" s="143">
        <v>49</v>
      </c>
      <c r="B43" s="144">
        <f>IF(Std!C52=0,"",Std!C52)</f>
        <v>63.6</v>
      </c>
      <c r="C43" s="144" t="str">
        <f>IF('Input Laying'!X47=0,"",'Input Laying'!X47)</f>
        <v/>
      </c>
      <c r="D43" s="145">
        <f>IF('Graph values'!BA39=0,"",IF('Graph values'!BA39="","",(1-NORMSDIST(12.5-(12.5*$A$4/'Graph values'!BA39)))*100))</f>
        <v>1.8610425189886315</v>
      </c>
      <c r="E43" s="146">
        <f>IF('Graph values'!BA39=0,"",IF('Graph values'!BA39="","",(NORMSDIST(12.5-(12.5*$A$4/'Graph values'!BA39))-NORMSDIST(12.5-(12.5*$C$4/'Graph values'!BA39)))*100))</f>
        <v>43.445330384639966</v>
      </c>
      <c r="F43" s="146">
        <f>IF('Graph values'!BA39=0,"",IF('Graph values'!BA39="","",(NORMSDIST(12.5-(12.5*$C$4/'Graph values'!BA39))-NORMSDIST(12.5-(12.5*$E$4/'Graph values'!BA39)))*100))</f>
        <v>51.459777854129655</v>
      </c>
      <c r="G43" s="147">
        <f>IF('Graph values'!BA39=0,"",IF('Graph values'!BA39="","",100-SUM(D43:F43)))</f>
        <v>3.233849242241746</v>
      </c>
      <c r="H43" s="143">
        <f t="shared" si="0"/>
        <v>48</v>
      </c>
      <c r="I43" s="143">
        <v>49</v>
      </c>
      <c r="J43" s="148" t="str">
        <f>IF('Input Laying'!N47=0,"",'Input Laying'!N47)</f>
        <v/>
      </c>
      <c r="K43" s="149" t="str">
        <f>IF($D43="","",IF($J43="","",IF('Graph values'!$BA39="","",$J43*$D43%)))</f>
        <v/>
      </c>
      <c r="L43" s="150" t="str">
        <f>IF($E43="","",IF($J43="","",IF('Graph values'!$BA39="","",$J43*$E43%)))</f>
        <v/>
      </c>
      <c r="M43" s="150" t="str">
        <f>IF($F43="","",IF($J43="","",IF('Graph values'!$BA39="","",$J43*$F43%)))</f>
        <v/>
      </c>
      <c r="N43" s="151" t="str">
        <f>IF($G43="","",IF($J43="","",IF('Graph values'!$BA39="","",$J43*$G43%)))</f>
        <v/>
      </c>
    </row>
    <row r="44" spans="1:14" ht="15.75" customHeight="1" x14ac:dyDescent="0.2">
      <c r="A44" s="279">
        <v>50</v>
      </c>
      <c r="B44" s="280">
        <f>IF(Std!C53=0,"",Std!C53)</f>
        <v>63.62</v>
      </c>
      <c r="C44" s="280" t="str">
        <f>IF('Input Laying'!X48=0,"",'Input Laying'!X48)</f>
        <v/>
      </c>
      <c r="D44" s="281">
        <f>IF('Graph values'!BA40=0,"",IF('Graph values'!BA40="","",(1-NORMSDIST(12.5-(12.5*$A$4/'Graph values'!BA40)))*100))</f>
        <v>1.8461792455787385</v>
      </c>
      <c r="E44" s="282">
        <f>IF('Graph values'!BA40=0,"",IF('Graph values'!BA40="","",(NORMSDIST(12.5-(12.5*$A$4/'Graph values'!BA40))-NORMSDIST(12.5-(12.5*$C$4/'Graph values'!BA40)))*100))</f>
        <v>43.306016731639865</v>
      </c>
      <c r="F44" s="282">
        <f>IF('Graph values'!BA40=0,"",IF('Graph values'!BA40="","",(NORMSDIST(12.5-(12.5*$C$4/'Graph values'!BA40))-NORMSDIST(12.5-(12.5*$E$4/'Graph values'!BA40)))*100))</f>
        <v>51.581163013062657</v>
      </c>
      <c r="G44" s="283">
        <f>IF('Graph values'!BA40=0,"",IF('Graph values'!BA40="","",100-SUM(D44:F44)))</f>
        <v>3.2666410097187395</v>
      </c>
      <c r="H44" s="279">
        <f t="shared" si="0"/>
        <v>49</v>
      </c>
      <c r="I44" s="279">
        <v>50</v>
      </c>
      <c r="J44" s="284" t="str">
        <f>IF('Input Laying'!N48=0,"",'Input Laying'!N48)</f>
        <v/>
      </c>
      <c r="K44" s="285" t="str">
        <f>IF($D44="","",IF($J44="","",IF('Graph values'!$BA40="","",$J44*$D44%)))</f>
        <v/>
      </c>
      <c r="L44" s="286" t="str">
        <f>IF($E44="","",IF($J44="","",IF('Graph values'!$BA40="","",$J44*$E44%)))</f>
        <v/>
      </c>
      <c r="M44" s="286" t="str">
        <f>IF($F44="","",IF($J44="","",IF('Graph values'!$BA40="","",$J44*$F44%)))</f>
        <v/>
      </c>
      <c r="N44" s="287" t="str">
        <f>IF($G44="","",IF($J44="","",IF('Graph values'!$BA40="","",$J44*$G44%)))</f>
        <v/>
      </c>
    </row>
    <row r="45" spans="1:14" ht="15.75" customHeight="1" x14ac:dyDescent="0.2">
      <c r="A45" s="143">
        <v>51</v>
      </c>
      <c r="B45" s="144">
        <f>IF(Std!C54=0,"",Std!C54)</f>
        <v>63.64</v>
      </c>
      <c r="C45" s="144" t="str">
        <f>IF('Input Laying'!X49=0,"",'Input Laying'!X49)</f>
        <v/>
      </c>
      <c r="D45" s="145">
        <f>IF('Graph values'!BA41=0,"",IF('Graph values'!BA41="","",(1-NORMSDIST(12.5-(12.5*$A$4/'Graph values'!BA41)))*100))</f>
        <v>1.8314264321673934</v>
      </c>
      <c r="E45" s="146">
        <f>IF('Graph values'!BA41=0,"",IF('Graph values'!BA41="","",(NORMSDIST(12.5-(12.5*$A$4/'Graph values'!BA41))-NORMSDIST(12.5-(12.5*$C$4/'Graph values'!BA41)))*100))</f>
        <v>43.166762544219687</v>
      </c>
      <c r="F45" s="146">
        <f>IF('Graph values'!BA41=0,"",IF('Graph values'!BA41="","",(NORMSDIST(12.5-(12.5*$C$4/'Graph values'!BA41))-NORMSDIST(12.5-(12.5*$E$4/'Graph values'!BA41)))*100))</f>
        <v>51.702125398629448</v>
      </c>
      <c r="G45" s="147">
        <f>IF('Graph values'!BA41=0,"",IF('Graph values'!BA41="","",100-SUM(D45:F45)))</f>
        <v>3.2996856249834821</v>
      </c>
      <c r="H45" s="143">
        <f t="shared" si="0"/>
        <v>50</v>
      </c>
      <c r="I45" s="143">
        <v>51</v>
      </c>
      <c r="J45" s="148" t="str">
        <f>IF('Input Laying'!N49=0,"",'Input Laying'!N49)</f>
        <v/>
      </c>
      <c r="K45" s="149" t="str">
        <f>IF($D45="","",IF($J45="","",IF('Graph values'!$BA41="","",$J45*$D45%)))</f>
        <v/>
      </c>
      <c r="L45" s="150" t="str">
        <f>IF($E45="","",IF($J45="","",IF('Graph values'!$BA41="","",$J45*$E45%)))</f>
        <v/>
      </c>
      <c r="M45" s="150" t="str">
        <f>IF($F45="","",IF($J45="","",IF('Graph values'!$BA41="","",$J45*$F45%)))</f>
        <v/>
      </c>
      <c r="N45" s="151" t="str">
        <f>IF($G45="","",IF($J45="","",IF('Graph values'!$BA41="","",$J45*$G45%)))</f>
        <v/>
      </c>
    </row>
    <row r="46" spans="1:14" ht="15.75" customHeight="1" x14ac:dyDescent="0.2">
      <c r="A46" s="279">
        <v>52</v>
      </c>
      <c r="B46" s="280">
        <f>IF(Std!C55=0,"",Std!C55)</f>
        <v>63.65</v>
      </c>
      <c r="C46" s="280" t="str">
        <f>IF('Input Laying'!X50=0,"",'Input Laying'!X50)</f>
        <v/>
      </c>
      <c r="D46" s="281">
        <f>IF('Graph values'!BA42=0,"",IF('Graph values'!BA42="","",(1-NORMSDIST(12.5-(12.5*$A$4/'Graph values'!BA42)))*100))</f>
        <v>1.824091219722046</v>
      </c>
      <c r="E46" s="282">
        <f>IF('Graph values'!BA42=0,"",IF('Graph values'!BA42="","",(NORMSDIST(12.5-(12.5*$A$4/'Graph values'!BA42))-NORMSDIST(12.5-(12.5*$C$4/'Graph values'!BA42)))*100))</f>
        <v>43.097158623702214</v>
      </c>
      <c r="F46" s="282">
        <f>IF('Graph values'!BA42=0,"",IF('Graph values'!BA42="","",(NORMSDIST(12.5-(12.5*$C$4/'Graph values'!BA42))-NORMSDIST(12.5-(12.5*$E$4/'Graph values'!BA42)))*100))</f>
        <v>51.762447060308347</v>
      </c>
      <c r="G46" s="283">
        <f>IF('Graph values'!BA42=0,"",IF('Graph values'!BA42="","",100-SUM(D46:F46)))</f>
        <v>3.3163030962673901</v>
      </c>
      <c r="H46" s="279">
        <f t="shared" si="0"/>
        <v>51</v>
      </c>
      <c r="I46" s="279">
        <v>52</v>
      </c>
      <c r="J46" s="284" t="str">
        <f>IF('Input Laying'!N50=0,"",'Input Laying'!N50)</f>
        <v/>
      </c>
      <c r="K46" s="285" t="str">
        <f>IF($D46="","",IF($J46="","",IF('Graph values'!$BA42="","",$J46*$D46%)))</f>
        <v/>
      </c>
      <c r="L46" s="286" t="str">
        <f>IF($E46="","",IF($J46="","",IF('Graph values'!$BA42="","",$J46*$E46%)))</f>
        <v/>
      </c>
      <c r="M46" s="286" t="str">
        <f>IF($F46="","",IF($J46="","",IF('Graph values'!$BA42="","",$J46*$F46%)))</f>
        <v/>
      </c>
      <c r="N46" s="287" t="str">
        <f>IF($G46="","",IF($J46="","",IF('Graph values'!$BA42="","",$J46*$G46%)))</f>
        <v/>
      </c>
    </row>
    <row r="47" spans="1:14" ht="15.75" customHeight="1" x14ac:dyDescent="0.2">
      <c r="A47" s="143">
        <v>53</v>
      </c>
      <c r="B47" s="144">
        <f>IF(Std!C56=0,"",Std!C56)</f>
        <v>63.66</v>
      </c>
      <c r="C47" s="144" t="str">
        <f>IF('Input Laying'!X51=0,"",'Input Laying'!X51)</f>
        <v/>
      </c>
      <c r="D47" s="145">
        <f>IF('Graph values'!BA43=0,"",IF('Graph values'!BA43="","",(1-NORMSDIST(12.5-(12.5*$A$4/'Graph values'!BA43)))*100))</f>
        <v>1.8167833488693663</v>
      </c>
      <c r="E47" s="146">
        <f>IF('Graph values'!BA43=0,"",IF('Graph values'!BA43="","",(NORMSDIST(12.5-(12.5*$A$4/'Graph values'!BA43))-NORMSDIST(12.5-(12.5*$C$4/'Graph values'!BA43)))*100))</f>
        <v>43.027570615965246</v>
      </c>
      <c r="F47" s="146">
        <f>IF('Graph values'!BA43=0,"",IF('Graph values'!BA43="","",(NORMSDIST(12.5-(12.5*$C$4/'Graph values'!BA43))-NORMSDIST(12.5-(12.5*$E$4/'Graph values'!BA43)))*100))</f>
        <v>51.822661841158492</v>
      </c>
      <c r="G47" s="147">
        <f>IF('Graph values'!BA43=0,"",IF('Graph values'!BA43="","",100-SUM(D47:F47)))</f>
        <v>3.3329841940068974</v>
      </c>
      <c r="H47" s="143">
        <f t="shared" si="0"/>
        <v>52</v>
      </c>
      <c r="I47" s="143">
        <v>53</v>
      </c>
      <c r="J47" s="148" t="str">
        <f>IF('Input Laying'!N51=0,"",'Input Laying'!N51)</f>
        <v/>
      </c>
      <c r="K47" s="149" t="str">
        <f>IF($D47="","",IF($J47="","",IF('Graph values'!$BA43="","",$J47*$D47%)))</f>
        <v/>
      </c>
      <c r="L47" s="150" t="str">
        <f>IF($E47="","",IF($J47="","",IF('Graph values'!$BA43="","",$J47*$E47%)))</f>
        <v/>
      </c>
      <c r="M47" s="150" t="str">
        <f>IF($F47="","",IF($J47="","",IF('Graph values'!$BA43="","",$J47*$F47%)))</f>
        <v/>
      </c>
      <c r="N47" s="151" t="str">
        <f>IF($G47="","",IF($J47="","",IF('Graph values'!$BA43="","",$J47*$G47%)))</f>
        <v/>
      </c>
    </row>
    <row r="48" spans="1:14" ht="15.75" customHeight="1" x14ac:dyDescent="0.2">
      <c r="A48" s="279">
        <v>54</v>
      </c>
      <c r="B48" s="280">
        <f>IF(Std!C57=0,"",Std!C57)</f>
        <v>63.64</v>
      </c>
      <c r="C48" s="280" t="str">
        <f>IF('Input Laying'!X52=0,"",'Input Laying'!X52)</f>
        <v/>
      </c>
      <c r="D48" s="281">
        <f>IF('Graph values'!BA44=0,"",IF('Graph values'!BA44="","",(1-NORMSDIST(12.5-(12.5*$A$4/'Graph values'!BA44)))*100))</f>
        <v>1.8314264321673934</v>
      </c>
      <c r="E48" s="282">
        <f>IF('Graph values'!BA44=0,"",IF('Graph values'!BA44="","",(NORMSDIST(12.5-(12.5*$A$4/'Graph values'!BA44))-NORMSDIST(12.5-(12.5*$C$4/'Graph values'!BA44)))*100))</f>
        <v>43.166762544219687</v>
      </c>
      <c r="F48" s="282">
        <f>IF('Graph values'!BA44=0,"",IF('Graph values'!BA44="","",(NORMSDIST(12.5-(12.5*$C$4/'Graph values'!BA44))-NORMSDIST(12.5-(12.5*$E$4/'Graph values'!BA44)))*100))</f>
        <v>51.702125398629448</v>
      </c>
      <c r="G48" s="283">
        <f>IF('Graph values'!BA44=0,"",IF('Graph values'!BA44="","",100-SUM(D48:F48)))</f>
        <v>3.2996856249834821</v>
      </c>
      <c r="H48" s="279">
        <f t="shared" si="0"/>
        <v>1</v>
      </c>
      <c r="I48" s="279">
        <v>54</v>
      </c>
      <c r="J48" s="284" t="str">
        <f>IF('Input Laying'!N52=0,"",'Input Laying'!N52)</f>
        <v/>
      </c>
      <c r="K48" s="285" t="str">
        <f>IF($D48="","",IF($J48="","",IF('Graph values'!$BA44="","",$J48*$D48%)))</f>
        <v/>
      </c>
      <c r="L48" s="286" t="str">
        <f>IF($E48="","",IF($J48="","",IF('Graph values'!$BA44="","",$J48*$E48%)))</f>
        <v/>
      </c>
      <c r="M48" s="286" t="str">
        <f>IF($F48="","",IF($J48="","",IF('Graph values'!$BA44="","",$J48*$F48%)))</f>
        <v/>
      </c>
      <c r="N48" s="287" t="str">
        <f>IF($G48="","",IF($J48="","",IF('Graph values'!$BA44="","",$J48*$G48%)))</f>
        <v/>
      </c>
    </row>
    <row r="49" spans="1:14" ht="15.75" customHeight="1" x14ac:dyDescent="0.2">
      <c r="A49" s="143">
        <v>55</v>
      </c>
      <c r="B49" s="144">
        <f>IF(Std!C58=0,"",Std!C58)</f>
        <v>63.655254871975345</v>
      </c>
      <c r="C49" s="144" t="str">
        <f>IF('Input Laying'!X53=0,"",'Input Laying'!X53)</f>
        <v/>
      </c>
      <c r="D49" s="145">
        <f>IF('Graph values'!BA45=0,"",IF('Graph values'!BA45="","",(1-NORMSDIST(12.5-(12.5*$A$4/'Graph values'!BA45)))*100))</f>
        <v>1.8202476240807841</v>
      </c>
      <c r="E49" s="146">
        <f>IF('Graph values'!BA45=0,"",IF('Graph values'!BA45="","",(NORMSDIST(12.5-(12.5*$A$4/'Graph values'!BA45))-NORMSDIST(12.5-(12.5*$C$4/'Graph values'!BA45)))*100))</f>
        <v>43.060589010598115</v>
      </c>
      <c r="F49" s="146">
        <f>IF('Graph values'!BA45=0,"",IF('Graph values'!BA45="","",(NORMSDIST(12.5-(12.5*$C$4/'Graph values'!BA45))-NORMSDIST(12.5-(12.5*$E$4/'Graph values'!BA45)))*100))</f>
        <v>51.794102507131257</v>
      </c>
      <c r="G49" s="147">
        <f>IF('Graph values'!BA45=0,"",IF('Graph values'!BA45="","",100-SUM(D49:F49)))</f>
        <v>3.3250608581898433</v>
      </c>
      <c r="H49" s="143">
        <f t="shared" si="0"/>
        <v>2</v>
      </c>
      <c r="I49" s="143">
        <v>55</v>
      </c>
      <c r="J49" s="148" t="str">
        <f>IF('Input Laying'!N53=0,"",'Input Laying'!N53)</f>
        <v/>
      </c>
      <c r="K49" s="149" t="str">
        <f>IF($D49="","",IF($J49="","",IF('Graph values'!$BA45="","",$J49*$D49%)))</f>
        <v/>
      </c>
      <c r="L49" s="150" t="str">
        <f>IF($E49="","",IF($J49="","",IF('Graph values'!$BA45="","",$J49*$E49%)))</f>
        <v/>
      </c>
      <c r="M49" s="150" t="str">
        <f>IF($F49="","",IF($J49="","",IF('Graph values'!$BA45="","",$J49*$F49%)))</f>
        <v/>
      </c>
      <c r="N49" s="151" t="str">
        <f>IF($G49="","",IF($J49="","",IF('Graph values'!$BA45="","",$J49*$G49%)))</f>
        <v/>
      </c>
    </row>
    <row r="50" spans="1:14" ht="15.75" customHeight="1" x14ac:dyDescent="0.2">
      <c r="A50" s="279">
        <v>56</v>
      </c>
      <c r="B50" s="280">
        <f>IF(Std!C59=0,"",Std!C59)</f>
        <v>63.68611659004501</v>
      </c>
      <c r="C50" s="280" t="str">
        <f>IF('Input Laying'!X54=0,"",'Input Laying'!X54)</f>
        <v/>
      </c>
      <c r="D50" s="281">
        <f>IF('Graph values'!BA46=0,"",IF('Graph values'!BA46="","",(1-NORMSDIST(12.5-(12.5*$A$4/'Graph values'!BA46)))*100))</f>
        <v>1.7978259744697356</v>
      </c>
      <c r="E50" s="282">
        <f>IF('Graph values'!BA46=0,"",IF('Graph values'!BA46="","",(NORMSDIST(12.5-(12.5*$A$4/'Graph values'!BA46))-NORMSDIST(12.5-(12.5*$C$4/'Graph values'!BA46)))*100))</f>
        <v>42.84590802823115</v>
      </c>
      <c r="F50" s="282">
        <f>IF('Graph values'!BA46=0,"",IF('Graph values'!BA46="","",(NORMSDIST(12.5-(12.5*$C$4/'Graph values'!BA46))-NORMSDIST(12.5-(12.5*$E$4/'Graph values'!BA46)))*100))</f>
        <v>51.979415390057525</v>
      </c>
      <c r="G50" s="283">
        <f>IF('Graph values'!BA46=0,"",IF('Graph values'!BA46="","",100-SUM(D50:F50)))</f>
        <v>3.3768506072415789</v>
      </c>
      <c r="H50" s="279">
        <f t="shared" si="0"/>
        <v>3</v>
      </c>
      <c r="I50" s="279">
        <v>56</v>
      </c>
      <c r="J50" s="284" t="str">
        <f>IF('Input Laying'!N54=0,"",'Input Laying'!N54)</f>
        <v/>
      </c>
      <c r="K50" s="285" t="str">
        <f>IF($D50="","",IF($J50="","",IF('Graph values'!$BA46="","",$J50*$D50%)))</f>
        <v/>
      </c>
      <c r="L50" s="286" t="str">
        <f>IF($E50="","",IF($J50="","",IF('Graph values'!$BA46="","",$J50*$E50%)))</f>
        <v/>
      </c>
      <c r="M50" s="286" t="str">
        <f>IF($F50="","",IF($J50="","",IF('Graph values'!$BA46="","",$J50*$F50%)))</f>
        <v/>
      </c>
      <c r="N50" s="287" t="str">
        <f>IF($G50="","",IF($J50="","",IF('Graph values'!$BA46="","",$J50*$G50%)))</f>
        <v/>
      </c>
    </row>
    <row r="51" spans="1:14" ht="15.75" customHeight="1" x14ac:dyDescent="0.2">
      <c r="A51" s="143">
        <v>57</v>
      </c>
      <c r="B51" s="144">
        <f>IF(Std!C60=0,"",Std!C60)</f>
        <v>63.716978308114676</v>
      </c>
      <c r="C51" s="144" t="str">
        <f>IF('Input Laying'!X55=0,"",'Input Laying'!X55)</f>
        <v/>
      </c>
      <c r="D51" s="145">
        <f>IF('Graph values'!BA47=0,"",IF('Graph values'!BA47="","",(1-NORMSDIST(12.5-(12.5*$A$4/'Graph values'!BA47)))*100))</f>
        <v>1.7756616332163855</v>
      </c>
      <c r="E51" s="146">
        <f>IF('Graph values'!BA47=0,"",IF('Graph values'!BA47="","",(NORMSDIST(12.5-(12.5*$A$4/'Graph values'!BA47))-NORMSDIST(12.5-(12.5*$C$4/'Graph values'!BA47)))*100))</f>
        <v>42.631390485038402</v>
      </c>
      <c r="F51" s="146">
        <f>IF('Graph values'!BA47=0,"",IF('Graph values'!BA47="","",(NORMSDIST(12.5-(12.5*$C$4/'Graph values'!BA47))-NORMSDIST(12.5-(12.5*$E$4/'Graph values'!BA47)))*100))</f>
        <v>52.163696788448512</v>
      </c>
      <c r="G51" s="147">
        <f>IF('Graph values'!BA47=0,"",IF('Graph values'!BA47="","",100-SUM(D51:F51)))</f>
        <v>3.4292510932966991</v>
      </c>
      <c r="H51" s="143">
        <f t="shared" si="0"/>
        <v>4</v>
      </c>
      <c r="I51" s="143">
        <v>57</v>
      </c>
      <c r="J51" s="148" t="str">
        <f>IF('Input Laying'!N55=0,"",'Input Laying'!N55)</f>
        <v/>
      </c>
      <c r="K51" s="149" t="str">
        <f>IF($D51="","",IF($J51="","",IF('Graph values'!$BA47="","",$J51*$D51%)))</f>
        <v/>
      </c>
      <c r="L51" s="150" t="str">
        <f>IF($E51="","",IF($J51="","",IF('Graph values'!$BA47="","",$J51*$E51%)))</f>
        <v/>
      </c>
      <c r="M51" s="150" t="str">
        <f>IF($F51="","",IF($J51="","",IF('Graph values'!$BA47="","",$J51*$F51%)))</f>
        <v/>
      </c>
      <c r="N51" s="151" t="str">
        <f>IF($G51="","",IF($J51="","",IF('Graph values'!$BA47="","",$J51*$G51%)))</f>
        <v/>
      </c>
    </row>
    <row r="52" spans="1:14" ht="15.75" customHeight="1" x14ac:dyDescent="0.2">
      <c r="A52" s="279">
        <v>58</v>
      </c>
      <c r="B52" s="280">
        <f>IF(Std!C61=0,"",Std!C61)</f>
        <v>63.747840026184335</v>
      </c>
      <c r="C52" s="280" t="str">
        <f>IF('Input Laying'!X56=0,"",'Input Laying'!X56)</f>
        <v/>
      </c>
      <c r="D52" s="281">
        <f>IF('Graph values'!BA48=0,"",IF('Graph values'!BA48="","",(1-NORMSDIST(12.5-(12.5*$A$4/'Graph values'!BA48)))*100))</f>
        <v>1.7537519687987779</v>
      </c>
      <c r="E52" s="282">
        <f>IF('Graph values'!BA48=0,"",IF('Graph values'!BA48="","",(NORMSDIST(12.5-(12.5*$A$4/'Graph values'!BA48))-NORMSDIST(12.5-(12.5*$C$4/'Graph values'!BA48)))*100))</f>
        <v>42.41704644101042</v>
      </c>
      <c r="F52" s="282">
        <f>IF('Graph values'!BA48=0,"",IF('Graph values'!BA48="","",(NORMSDIST(12.5-(12.5*$C$4/'Graph values'!BA48))-NORMSDIST(12.5-(12.5*$E$4/'Graph values'!BA48)))*100))</f>
        <v>52.346935250626622</v>
      </c>
      <c r="G52" s="283">
        <f>IF('Graph values'!BA48=0,"",IF('Graph values'!BA48="","",100-SUM(D52:F52)))</f>
        <v>3.4822663395641769</v>
      </c>
      <c r="H52" s="279">
        <f t="shared" si="0"/>
        <v>5</v>
      </c>
      <c r="I52" s="279">
        <v>58</v>
      </c>
      <c r="J52" s="284" t="str">
        <f>IF('Input Laying'!N56=0,"",'Input Laying'!N56)</f>
        <v/>
      </c>
      <c r="K52" s="285" t="str">
        <f>IF($D52="","",IF($J52="","",IF('Graph values'!$BA48="","",$J52*$D52%)))</f>
        <v/>
      </c>
      <c r="L52" s="286" t="str">
        <f>IF($E52="","",IF($J52="","",IF('Graph values'!$BA48="","",$J52*$E52%)))</f>
        <v/>
      </c>
      <c r="M52" s="286" t="str">
        <f>IF($F52="","",IF($J52="","",IF('Graph values'!$BA48="","",$J52*$F52%)))</f>
        <v/>
      </c>
      <c r="N52" s="287" t="str">
        <f>IF($G52="","",IF($J52="","",IF('Graph values'!$BA48="","",$J52*$G52%)))</f>
        <v/>
      </c>
    </row>
    <row r="53" spans="1:14" ht="15.75" customHeight="1" x14ac:dyDescent="0.2">
      <c r="A53" s="143">
        <v>59</v>
      </c>
      <c r="B53" s="144">
        <f>IF(Std!C62=0,"",Std!C62)</f>
        <v>63.778701744254001</v>
      </c>
      <c r="C53" s="144" t="str">
        <f>IF('Input Laying'!X57=0,"",'Input Laying'!X57)</f>
        <v/>
      </c>
      <c r="D53" s="145">
        <f>IF('Graph values'!BA49=0,"",IF('Graph values'!BA49="","",(1-NORMSDIST(12.5-(12.5*$A$4/'Graph values'!BA49)))*100))</f>
        <v>1.7320943712414549</v>
      </c>
      <c r="E53" s="146">
        <f>IF('Graph values'!BA49=0,"",IF('Graph values'!BA49="","",(NORMSDIST(12.5-(12.5*$A$4/'Graph values'!BA49))-NORMSDIST(12.5-(12.5*$C$4/'Graph values'!BA49)))*100))</f>
        <v>42.202885867375407</v>
      </c>
      <c r="F53" s="146">
        <f>IF('Graph values'!BA49=0,"",IF('Graph values'!BA49="","",(NORMSDIST(12.5-(12.5*$C$4/'Graph values'!BA49))-NORMSDIST(12.5-(12.5*$E$4/'Graph values'!BA49)))*100))</f>
        <v>52.529119410655589</v>
      </c>
      <c r="G53" s="147">
        <f>IF('Graph values'!BA49=0,"",IF('Graph values'!BA49="","",100-SUM(D53:F53)))</f>
        <v>3.5359003507275588</v>
      </c>
      <c r="H53" s="143">
        <f t="shared" si="0"/>
        <v>6</v>
      </c>
      <c r="I53" s="143">
        <v>59</v>
      </c>
      <c r="J53" s="148" t="str">
        <f>IF('Input Laying'!N57=0,"",'Input Laying'!N57)</f>
        <v/>
      </c>
      <c r="K53" s="149" t="str">
        <f>IF($D53="","",IF($J53="","",IF('Graph values'!$BA49="","",$J53*$D53%)))</f>
        <v/>
      </c>
      <c r="L53" s="150" t="str">
        <f>IF($E53="","",IF($J53="","",IF('Graph values'!$BA49="","",$J53*$E53%)))</f>
        <v/>
      </c>
      <c r="M53" s="150" t="str">
        <f>IF($F53="","",IF($J53="","",IF('Graph values'!$BA49="","",$J53*$F53%)))</f>
        <v/>
      </c>
      <c r="N53" s="151" t="str">
        <f>IF($G53="","",IF($J53="","",IF('Graph values'!$BA49="","",$J53*$G53%)))</f>
        <v/>
      </c>
    </row>
    <row r="54" spans="1:14" ht="15.75" customHeight="1" x14ac:dyDescent="0.2">
      <c r="A54" s="279">
        <v>60</v>
      </c>
      <c r="B54" s="280">
        <f>IF(Std!C63=0,"",Std!C63)</f>
        <v>63.809563462323666</v>
      </c>
      <c r="C54" s="280" t="str">
        <f>IF('Input Laying'!X58=0,"",'Input Laying'!X58)</f>
        <v/>
      </c>
      <c r="D54" s="281">
        <f>IF('Graph values'!BA50=0,"",IF('Graph values'!BA50="","",(1-NORMSDIST(12.5-(12.5*$A$4/'Graph values'!BA50)))*100))</f>
        <v>1.7106862520295141</v>
      </c>
      <c r="E54" s="282">
        <f>IF('Graph values'!BA50=0,"",IF('Graph values'!BA50="","",(NORMSDIST(12.5-(12.5*$A$4/'Graph values'!BA50))-NORMSDIST(12.5-(12.5*$C$4/'Graph values'!BA50)))*100))</f>
        <v>41.988918646250347</v>
      </c>
      <c r="F54" s="282">
        <f>IF('Graph values'!BA50=0,"",IF('Graph values'!BA50="","",(NORMSDIST(12.5-(12.5*$C$4/'Graph values'!BA50))-NORMSDIST(12.5-(12.5*$E$4/'Graph values'!BA50)))*100))</f>
        <v>52.710237989446149</v>
      </c>
      <c r="G54" s="283">
        <f>IF('Graph values'!BA50=0,"",IF('Graph values'!BA50="","",100-SUM(D54:F54)))</f>
        <v>3.5901571122739995</v>
      </c>
      <c r="H54" s="279">
        <f t="shared" si="0"/>
        <v>7</v>
      </c>
      <c r="I54" s="279">
        <v>60</v>
      </c>
      <c r="J54" s="284" t="str">
        <f>IF('Input Laying'!N58=0,"",'Input Laying'!N58)</f>
        <v/>
      </c>
      <c r="K54" s="285" t="str">
        <f>IF($D54="","",IF($J54="","",IF('Graph values'!$BA50="","",$J54*$D54%)))</f>
        <v/>
      </c>
      <c r="L54" s="286" t="str">
        <f>IF($E54="","",IF($J54="","",IF('Graph values'!$BA50="","",$J54*$E54%)))</f>
        <v/>
      </c>
      <c r="M54" s="286" t="str">
        <f>IF($F54="","",IF($J54="","",IF('Graph values'!$BA50="","",$J54*$F54%)))</f>
        <v/>
      </c>
      <c r="N54" s="287" t="str">
        <f>IF($G54="","",IF($J54="","",IF('Graph values'!$BA50="","",$J54*$G54%)))</f>
        <v/>
      </c>
    </row>
    <row r="55" spans="1:14" ht="15.75" customHeight="1" x14ac:dyDescent="0.2">
      <c r="A55" s="143">
        <v>61</v>
      </c>
      <c r="B55" s="144">
        <f>IF(Std!C64=0,"",Std!C64)</f>
        <v>63.840425180393325</v>
      </c>
      <c r="C55" s="144" t="str">
        <f>IF('Input Laying'!X59=0,"",'Input Laying'!X59)</f>
        <v/>
      </c>
      <c r="D55" s="145">
        <f>IF('Graph values'!BA51=0,"",IF('Graph values'!BA51="","",(1-NORMSDIST(12.5-(12.5*$A$4/'Graph values'!BA51)))*100))</f>
        <v>1.6895250440213005</v>
      </c>
      <c r="E55" s="146">
        <f>IF('Graph values'!BA51=0,"",IF('Graph values'!BA51="","",(NORMSDIST(12.5-(12.5*$A$4/'Graph values'!BA51))-NORMSDIST(12.5-(12.5*$C$4/'Graph values'!BA51)))*100))</f>
        <v>41.775154570306618</v>
      </c>
      <c r="F55" s="146">
        <f>IF('Graph values'!BA51=0,"",IF('Graph values'!BA51="","",(NORMSDIST(12.5-(12.5*$C$4/'Graph values'!BA51))-NORMSDIST(12.5-(12.5*$E$4/'Graph values'!BA51)))*100))</f>
        <v>52.890279795849018</v>
      </c>
      <c r="G55" s="147">
        <f>IF('Graph values'!BA51=0,"",IF('Graph values'!BA51="","",100-SUM(D55:F55)))</f>
        <v>3.6450405898230542</v>
      </c>
      <c r="H55" s="143">
        <f t="shared" si="0"/>
        <v>8</v>
      </c>
      <c r="I55" s="143">
        <v>61</v>
      </c>
      <c r="J55" s="148" t="str">
        <f>IF('Input Laying'!N59=0,"",'Input Laying'!N59)</f>
        <v/>
      </c>
      <c r="K55" s="149" t="str">
        <f>IF($D55="","",IF($J55="","",IF('Graph values'!$BA51="","",$J55*$D55%)))</f>
        <v/>
      </c>
      <c r="L55" s="150" t="str">
        <f>IF($E55="","",IF($J55="","",IF('Graph values'!$BA51="","",$J55*$E55%)))</f>
        <v/>
      </c>
      <c r="M55" s="150" t="str">
        <f>IF($F55="","",IF($J55="","",IF('Graph values'!$BA51="","",$J55*$F55%)))</f>
        <v/>
      </c>
      <c r="N55" s="151" t="str">
        <f>IF($G55="","",IF($J55="","",IF('Graph values'!$BA51="","",$J55*$G55%)))</f>
        <v/>
      </c>
    </row>
    <row r="56" spans="1:14" ht="15.75" customHeight="1" x14ac:dyDescent="0.2">
      <c r="A56" s="279">
        <v>62</v>
      </c>
      <c r="B56" s="280">
        <f>IF(Std!C65=0,"",Std!C65)</f>
        <v>63.871286898462991</v>
      </c>
      <c r="C56" s="280" t="str">
        <f>IF('Input Laying'!X60=0,"",'Input Laying'!X60)</f>
        <v/>
      </c>
      <c r="D56" s="281">
        <f>IF('Graph values'!BA52=0,"",IF('Graph values'!BA52="","",(1-NORMSDIST(12.5-(12.5*$A$4/'Graph values'!BA52)))*100))</f>
        <v>1.6686082013596892</v>
      </c>
      <c r="E56" s="282">
        <f>IF('Graph values'!BA52=0,"",IF('Graph values'!BA52="","",(NORMSDIST(12.5-(12.5*$A$4/'Graph values'!BA52))-NORMSDIST(12.5-(12.5*$C$4/'Graph values'!BA52)))*100))</f>
        <v>41.561603342450638</v>
      </c>
      <c r="F56" s="282">
        <f>IF('Graph values'!BA52=0,"",IF('Graph values'!BA52="","",(NORMSDIST(12.5-(12.5*$C$4/'Graph values'!BA52))-NORMSDIST(12.5-(12.5*$E$4/'Graph values'!BA52)))*100))</f>
        <v>53.069233727734414</v>
      </c>
      <c r="G56" s="283">
        <f>IF('Graph values'!BA52=0,"",IF('Graph values'!BA52="","",100-SUM(D56:F56)))</f>
        <v>3.7005547284552591</v>
      </c>
      <c r="H56" s="279">
        <f t="shared" si="0"/>
        <v>9</v>
      </c>
      <c r="I56" s="279">
        <v>62</v>
      </c>
      <c r="J56" s="284" t="str">
        <f>IF('Input Laying'!N60=0,"",'Input Laying'!N60)</f>
        <v/>
      </c>
      <c r="K56" s="285" t="str">
        <f>IF($D56="","",IF($J56="","",IF('Graph values'!$BA52="","",$J56*$D56%)))</f>
        <v/>
      </c>
      <c r="L56" s="286" t="str">
        <f>IF($E56="","",IF($J56="","",IF('Graph values'!$BA52="","",$J56*$E56%)))</f>
        <v/>
      </c>
      <c r="M56" s="286" t="str">
        <f>IF($F56="","",IF($J56="","",IF('Graph values'!$BA52="","",$J56*$F56%)))</f>
        <v/>
      </c>
      <c r="N56" s="287" t="str">
        <f>IF($G56="","",IF($J56="","",IF('Graph values'!$BA52="","",$J56*$G56%)))</f>
        <v/>
      </c>
    </row>
    <row r="57" spans="1:14" ht="15.75" customHeight="1" x14ac:dyDescent="0.2">
      <c r="A57" s="143">
        <v>63</v>
      </c>
      <c r="B57" s="144">
        <f>IF(Std!C66=0,"",Std!C66)</f>
        <v>63.902148616532656</v>
      </c>
      <c r="C57" s="144" t="str">
        <f>IF('Input Laying'!X61=0,"",'Input Laying'!X61)</f>
        <v/>
      </c>
      <c r="D57" s="145">
        <f>IF('Graph values'!BA53=0,"",IF('Graph values'!BA53="","",(1-NORMSDIST(12.5-(12.5*$A$4/'Graph values'!BA53)))*100))</f>
        <v>1.6479331993822122</v>
      </c>
      <c r="E57" s="146">
        <f>IF('Graph values'!BA53=0,"",IF('Graph values'!BA53="","",(NORMSDIST(12.5-(12.5*$A$4/'Graph values'!BA53))-NORMSDIST(12.5-(12.5*$C$4/'Graph values'!BA53)))*100))</f>
        <v>41.348274575520684</v>
      </c>
      <c r="F57" s="146">
        <f>IF('Graph values'!BA53=0,"",IF('Graph values'!BA53="","",(NORMSDIST(12.5-(12.5*$C$4/'Graph values'!BA53))-NORMSDIST(12.5-(12.5*$E$4/'Graph values'!BA53)))*100))</f>
        <v>53.247088773057037</v>
      </c>
      <c r="G57" s="147">
        <f>IF('Graph values'!BA53=0,"",IF('Graph values'!BA53="","",100-SUM(D57:F57)))</f>
        <v>3.7567034520400568</v>
      </c>
      <c r="H57" s="143">
        <f t="shared" si="0"/>
        <v>10</v>
      </c>
      <c r="I57" s="143">
        <v>63</v>
      </c>
      <c r="J57" s="148" t="str">
        <f>IF('Input Laying'!N61=0,"",'Input Laying'!N61)</f>
        <v/>
      </c>
      <c r="K57" s="149" t="str">
        <f>IF($D57="","",IF($J57="","",IF('Graph values'!$BA53="","",$J57*$D57%)))</f>
        <v/>
      </c>
      <c r="L57" s="150" t="str">
        <f>IF($E57="","",IF($J57="","",IF('Graph values'!$BA53="","",$J57*$E57%)))</f>
        <v/>
      </c>
      <c r="M57" s="150" t="str">
        <f>IF($F57="","",IF($J57="","",IF('Graph values'!$BA53="","",$J57*$F57%)))</f>
        <v/>
      </c>
      <c r="N57" s="151" t="str">
        <f>IF($G57="","",IF($J57="","",IF('Graph values'!$BA53="","",$J57*$G57%)))</f>
        <v/>
      </c>
    </row>
    <row r="58" spans="1:14" ht="15.75" customHeight="1" x14ac:dyDescent="0.2">
      <c r="A58" s="279">
        <v>64</v>
      </c>
      <c r="B58" s="280">
        <f>IF(Std!C67=0,"",Std!C67)</f>
        <v>63.933010334602315</v>
      </c>
      <c r="C58" s="280" t="str">
        <f>IF('Input Laying'!X62=0,"",'Input Laying'!X62)</f>
        <v/>
      </c>
      <c r="D58" s="281">
        <f>IF('Graph values'!BA54=0,"",IF('Graph values'!BA54="","",(1-NORMSDIST(12.5-(12.5*$A$4/'Graph values'!BA54)))*100))</f>
        <v>1.6274975345299536</v>
      </c>
      <c r="E58" s="282">
        <f>IF('Graph values'!BA54=0,"",IF('Graph values'!BA54="","",(NORMSDIST(12.5-(12.5*$A$4/'Graph values'!BA54))-NORMSDIST(12.5-(12.5*$C$4/'Graph values'!BA54)))*100))</f>
        <v>41.135177791997215</v>
      </c>
      <c r="F58" s="282">
        <f>IF('Graph values'!BA54=0,"",IF('Graph values'!BA54="","",(NORMSDIST(12.5-(12.5*$C$4/'Graph values'!BA54))-NORMSDIST(12.5-(12.5*$E$4/'Graph values'!BA54)))*100))</f>
        <v>53.423834010908507</v>
      </c>
      <c r="G58" s="283">
        <f>IF('Graph values'!BA54=0,"",IF('Graph values'!BA54="","",100-SUM(D58:F58)))</f>
        <v>3.8134906625643339</v>
      </c>
      <c r="H58" s="279">
        <f t="shared" si="0"/>
        <v>11</v>
      </c>
      <c r="I58" s="279">
        <v>64</v>
      </c>
      <c r="J58" s="284" t="str">
        <f>IF('Input Laying'!N62=0,"",'Input Laying'!N62)</f>
        <v/>
      </c>
      <c r="K58" s="285" t="str">
        <f>IF($D58="","",IF($J58="","",IF('Graph values'!$BA54="","",$J58*$D58%)))</f>
        <v/>
      </c>
      <c r="L58" s="286" t="str">
        <f>IF($E58="","",IF($J58="","",IF('Graph values'!$BA54="","",$J58*$E58%)))</f>
        <v/>
      </c>
      <c r="M58" s="286" t="str">
        <f>IF($F58="","",IF($J58="","",IF('Graph values'!$BA54="","",$J58*$F58%)))</f>
        <v/>
      </c>
      <c r="N58" s="287" t="str">
        <f>IF($G58="","",IF($J58="","",IF('Graph values'!$BA54="","",$J58*$G58%)))</f>
        <v/>
      </c>
    </row>
    <row r="59" spans="1:14" ht="15.75" customHeight="1" x14ac:dyDescent="0.2">
      <c r="A59" s="143">
        <v>65</v>
      </c>
      <c r="B59" s="144">
        <f>IF(Std!C68=0,"",Std!C68)</f>
        <v>63.963872052671981</v>
      </c>
      <c r="C59" s="144" t="str">
        <f>IF('Input Laying'!X63=0,"",'Input Laying'!X63)</f>
        <v/>
      </c>
      <c r="D59" s="145">
        <f>IF('Graph values'!BA55=0,"",IF('Graph values'!BA55="","",(1-NORMSDIST(12.5-(12.5*$A$4/'Graph values'!BA55)))*100))</f>
        <v>1.6072987242550796</v>
      </c>
      <c r="E59" s="146">
        <f>IF('Graph values'!BA55=0,"",IF('Graph values'!BA55="","",(NORMSDIST(12.5-(12.5*$A$4/'Graph values'!BA55))-NORMSDIST(12.5-(12.5*$C$4/'Graph values'!BA55)))*100))</f>
        <v>40.922322423728922</v>
      </c>
      <c r="F59" s="146">
        <f>IF('Graph values'!BA55=0,"",IF('Graph values'!BA55="","",(NORMSDIST(12.5-(12.5*$C$4/'Graph values'!BA55))-NORMSDIST(12.5-(12.5*$E$4/'Graph values'!BA55)))*100))</f>
        <v>53.59945861255531</v>
      </c>
      <c r="G59" s="147">
        <f>IF('Graph values'!BA55=0,"",IF('Graph values'!BA55="","",100-SUM(D59:F59)))</f>
        <v>3.8709202394606876</v>
      </c>
      <c r="H59" s="143">
        <f t="shared" si="0"/>
        <v>12</v>
      </c>
      <c r="I59" s="143">
        <v>65</v>
      </c>
      <c r="J59" s="148" t="str">
        <f>IF('Input Laying'!N63=0,"",'Input Laying'!N63)</f>
        <v/>
      </c>
      <c r="K59" s="149" t="str">
        <f>IF($D59="","",IF($J59="","",IF('Graph values'!$BA55="","",$J59*$D59%)))</f>
        <v/>
      </c>
      <c r="L59" s="150" t="str">
        <f>IF($E59="","",IF($J59="","",IF('Graph values'!$BA55="","",$J59*$E59%)))</f>
        <v/>
      </c>
      <c r="M59" s="150" t="str">
        <f>IF($F59="","",IF($J59="","",IF('Graph values'!$BA55="","",$J59*$F59%)))</f>
        <v/>
      </c>
      <c r="N59" s="151" t="str">
        <f>IF($G59="","",IF($J59="","",IF('Graph values'!$BA55="","",$J59*$G59%)))</f>
        <v/>
      </c>
    </row>
    <row r="60" spans="1:14" ht="15.75" customHeight="1" x14ac:dyDescent="0.2">
      <c r="A60" s="279">
        <v>66</v>
      </c>
      <c r="B60" s="280">
        <f>IF(Std!C69=0,"",Std!C69)</f>
        <v>63.994733770741647</v>
      </c>
      <c r="C60" s="280" t="str">
        <f>IF('Input Laying'!X64=0,"",'Input Laying'!X64)</f>
        <v/>
      </c>
      <c r="D60" s="281">
        <f>IF('Graph values'!BA56=0,"",IF('Graph values'!BA56="","",(1-NORMSDIST(12.5-(12.5*$A$4/'Graph values'!BA56)))*100))</f>
        <v>1.5873343069273682</v>
      </c>
      <c r="E60" s="282">
        <f>IF('Graph values'!BA56=0,"",IF('Graph values'!BA56="","",(NORMSDIST(12.5-(12.5*$A$4/'Graph values'!BA56))-NORMSDIST(12.5-(12.5*$C$4/'Graph values'!BA56)))*100))</f>
        <v>40.709717811673706</v>
      </c>
      <c r="F60" s="282">
        <f>IF('Graph values'!BA56=0,"",IF('Graph values'!BA56="","",(NORMSDIST(12.5-(12.5*$C$4/'Graph values'!BA56))-NORMSDIST(12.5-(12.5*$E$4/'Graph values'!BA56)))*100))</f>
        <v>53.773951842462594</v>
      </c>
      <c r="G60" s="283">
        <f>IF('Graph values'!BA56=0,"",IF('Graph values'!BA56="","",100-SUM(D60:F60)))</f>
        <v>3.928996038936333</v>
      </c>
      <c r="H60" s="279">
        <f t="shared" si="0"/>
        <v>13</v>
      </c>
      <c r="I60" s="279">
        <v>66</v>
      </c>
      <c r="J60" s="284" t="str">
        <f>IF('Input Laying'!N64=0,"",'Input Laying'!N64)</f>
        <v/>
      </c>
      <c r="K60" s="285" t="str">
        <f>IF($D60="","",IF($J60="","",IF('Graph values'!$BA56="","",$J60*$D60%)))</f>
        <v/>
      </c>
      <c r="L60" s="286" t="str">
        <f>IF($E60="","",IF($J60="","",IF('Graph values'!$BA56="","",$J60*$E60%)))</f>
        <v/>
      </c>
      <c r="M60" s="286" t="str">
        <f>IF($F60="","",IF($J60="","",IF('Graph values'!$BA56="","",$J60*$F60%)))</f>
        <v/>
      </c>
      <c r="N60" s="287" t="str">
        <f>IF($G60="","",IF($J60="","",IF('Graph values'!$BA56="","",$J60*$G60%)))</f>
        <v/>
      </c>
    </row>
    <row r="61" spans="1:14" ht="15.75" customHeight="1" x14ac:dyDescent="0.2">
      <c r="A61" s="143">
        <v>67</v>
      </c>
      <c r="B61" s="144">
        <f>IF(Std!C70=0,"",Std!C70)</f>
        <v>64.025595488811305</v>
      </c>
      <c r="C61" s="144" t="str">
        <f>IF('Input Laying'!X65=0,"",'Input Laying'!X65)</f>
        <v/>
      </c>
      <c r="D61" s="145">
        <f>IF('Graph values'!BA57=0,"",IF('Graph values'!BA57="","",(1-NORMSDIST(12.5-(12.5*$A$4/'Graph values'!BA57)))*100))</f>
        <v>1.5676018417396187</v>
      </c>
      <c r="E61" s="146">
        <f>IF('Graph values'!BA57=0,"",IF('Graph values'!BA57="","",(NORMSDIST(12.5-(12.5*$A$4/'Graph values'!BA57))-NORMSDIST(12.5-(12.5*$C$4/'Graph values'!BA57)))*100))</f>
        <v>40.497373205653666</v>
      </c>
      <c r="F61" s="146">
        <f>IF('Graph values'!BA57=0,"",IF('Graph values'!BA57="","",(NORMSDIST(12.5-(12.5*$C$4/'Graph values'!BA57))-NORMSDIST(12.5-(12.5*$E$4/'Graph values'!BA57)))*100))</f>
        <v>53.947303059304687</v>
      </c>
      <c r="G61" s="147">
        <f>IF('Graph values'!BA57=0,"",IF('Graph values'!BA57="","",100-SUM(D61:F61)))</f>
        <v>3.9877218933020231</v>
      </c>
      <c r="H61" s="143">
        <f t="shared" si="0"/>
        <v>14</v>
      </c>
      <c r="I61" s="143">
        <v>67</v>
      </c>
      <c r="J61" s="148" t="str">
        <f>IF('Input Laying'!N65=0,"",'Input Laying'!N65)</f>
        <v/>
      </c>
      <c r="K61" s="149" t="str">
        <f>IF($D61="","",IF($J61="","",IF('Graph values'!$BA57="","",$J61*$D61%)))</f>
        <v/>
      </c>
      <c r="L61" s="150" t="str">
        <f>IF($E61="","",IF($J61="","",IF('Graph values'!$BA57="","",$J61*$E61%)))</f>
        <v/>
      </c>
      <c r="M61" s="150" t="str">
        <f>IF($F61="","",IF($J61="","",IF('Graph values'!$BA57="","",$J61*$F61%)))</f>
        <v/>
      </c>
      <c r="N61" s="151" t="str">
        <f>IF($G61="","",IF($J61="","",IF('Graph values'!$BA57="","",$J61*$G61%)))</f>
        <v/>
      </c>
    </row>
    <row r="62" spans="1:14" ht="15.75" customHeight="1" x14ac:dyDescent="0.2">
      <c r="A62" s="279">
        <v>68</v>
      </c>
      <c r="B62" s="280">
        <f>IF(Std!C71=0,"",Std!C71)</f>
        <v>64.056457206880978</v>
      </c>
      <c r="C62" s="280" t="str">
        <f>IF('Input Laying'!X66=0,"",'Input Laying'!X66)</f>
        <v/>
      </c>
      <c r="D62" s="281">
        <f>IF('Graph values'!BA58=0,"",IF('Graph values'!BA58="","",(1-NORMSDIST(12.5-(12.5*$A$4/'Graph values'!BA58)))*100))</f>
        <v>1.5480989086118391</v>
      </c>
      <c r="E62" s="282">
        <f>IF('Graph values'!BA58=0,"",IF('Graph values'!BA58="","",(NORMSDIST(12.5-(12.5*$A$4/'Graph values'!BA58))-NORMSDIST(12.5-(12.5*$C$4/'Graph values'!BA58)))*100))</f>
        <v>40.285297764124941</v>
      </c>
      <c r="F62" s="282">
        <f>IF('Graph values'!BA58=0,"",IF('Graph values'!BA58="","",(NORMSDIST(12.5-(12.5*$C$4/'Graph values'!BA58))-NORMSDIST(12.5-(12.5*$E$4/'Graph values'!BA58)))*100))</f>
        <v>54.119501716961047</v>
      </c>
      <c r="G62" s="283">
        <f>IF('Graph values'!BA58=0,"",IF('Graph values'!BA58="","",100-SUM(D62:F62)))</f>
        <v>4.0471016103021782</v>
      </c>
      <c r="H62" s="279">
        <f t="shared" si="0"/>
        <v>15</v>
      </c>
      <c r="I62" s="279">
        <v>68</v>
      </c>
      <c r="J62" s="284" t="str">
        <f>IF('Input Laying'!N66=0,"",'Input Laying'!N66)</f>
        <v/>
      </c>
      <c r="K62" s="285" t="str">
        <f>IF($D62="","",IF($J62="","",IF('Graph values'!$BA58="","",$J62*$D62%)))</f>
        <v/>
      </c>
      <c r="L62" s="286" t="str">
        <f>IF($E62="","",IF($J62="","",IF('Graph values'!$BA58="","",$J62*$E62%)))</f>
        <v/>
      </c>
      <c r="M62" s="286" t="str">
        <f>IF($F62="","",IF($J62="","",IF('Graph values'!$BA58="","",$J62*$F62%)))</f>
        <v/>
      </c>
      <c r="N62" s="287" t="str">
        <f>IF($G62="","",IF($J62="","",IF('Graph values'!$BA58="","",$J62*$G62%)))</f>
        <v/>
      </c>
    </row>
    <row r="63" spans="1:14" ht="15.75" customHeight="1" x14ac:dyDescent="0.2">
      <c r="A63" s="143">
        <v>69</v>
      </c>
      <c r="B63" s="144">
        <f>IF(Std!C72=0,"",Std!C72)</f>
        <v>64.087318924950637</v>
      </c>
      <c r="C63" s="144" t="str">
        <f>IF('Input Laying'!X67=0,"",'Input Laying'!X67)</f>
        <v/>
      </c>
      <c r="D63" s="145">
        <f>IF('Graph values'!BA59=0,"",IF('Graph values'!BA59="","",(1-NORMSDIST(12.5-(12.5*$A$4/'Graph values'!BA59)))*100))</f>
        <v>1.5288231080945236</v>
      </c>
      <c r="E63" s="146">
        <f>IF('Graph values'!BA59=0,"",IF('Graph values'!BA59="","",(NORMSDIST(12.5-(12.5*$A$4/'Graph values'!BA59))-NORMSDIST(12.5-(12.5*$C$4/'Graph values'!BA59)))*100))</f>
        <v>40.073500553962724</v>
      </c>
      <c r="F63" s="146">
        <f>IF('Graph values'!BA59=0,"",IF('Graph values'!BA59="","",(NORMSDIST(12.5-(12.5*$C$4/'Graph values'!BA59))-NORMSDIST(12.5-(12.5*$E$4/'Graph values'!BA59)))*100))</f>
        <v>54.290537365497649</v>
      </c>
      <c r="G63" s="147">
        <f>IF('Graph values'!BA59=0,"",IF('Graph values'!BA59="","",100-SUM(D63:F63)))</f>
        <v>4.1071389724451137</v>
      </c>
      <c r="H63" s="143">
        <f t="shared" si="0"/>
        <v>16</v>
      </c>
      <c r="I63" s="143">
        <v>69</v>
      </c>
      <c r="J63" s="148" t="str">
        <f>IF('Input Laying'!N67=0,"",'Input Laying'!N67)</f>
        <v/>
      </c>
      <c r="K63" s="149" t="str">
        <f>IF($D63="","",IF($J63="","",IF('Graph values'!$BA59="","",$J63*$D63%)))</f>
        <v/>
      </c>
      <c r="L63" s="150" t="str">
        <f>IF($E63="","",IF($J63="","",IF('Graph values'!$BA59="","",$J63*$E63%)))</f>
        <v/>
      </c>
      <c r="M63" s="150" t="str">
        <f>IF($F63="","",IF($J63="","",IF('Graph values'!$BA59="","",$J63*$F63%)))</f>
        <v/>
      </c>
      <c r="N63" s="151" t="str">
        <f>IF($G63="","",IF($J63="","",IF('Graph values'!$BA59="","",$J63*$G63%)))</f>
        <v/>
      </c>
    </row>
    <row r="64" spans="1:14" ht="15.75" customHeight="1" x14ac:dyDescent="0.2">
      <c r="A64" s="279">
        <v>70</v>
      </c>
      <c r="B64" s="280">
        <f>IF(Std!C73=0,"",Std!C73)</f>
        <v>64.118180643020295</v>
      </c>
      <c r="C64" s="280" t="str">
        <f>IF('Input Laying'!X68=0,"",'Input Laying'!X68)</f>
        <v/>
      </c>
      <c r="D64" s="281">
        <f>IF('Graph values'!BA60=0,"",IF('Graph values'!BA60="","",(1-NORMSDIST(12.5-(12.5*$A$4/'Graph values'!BA60)))*100))</f>
        <v>1.5097720612708421</v>
      </c>
      <c r="E64" s="282">
        <f>IF('Graph values'!BA60=0,"",IF('Graph values'!BA60="","",(NORMSDIST(12.5-(12.5*$A$4/'Graph values'!BA60))-NORMSDIST(12.5-(12.5*$C$4/'Graph values'!BA60)))*100))</f>
        <v>39.861990550259499</v>
      </c>
      <c r="F64" s="282">
        <f>IF('Graph values'!BA60=0,"",IF('Graph values'!BA60="","",(NORMSDIST(12.5-(12.5*$C$4/'Graph values'!BA60))-NORMSDIST(12.5-(12.5*$E$4/'Graph values'!BA60)))*100))</f>
        <v>54.460399652134917</v>
      </c>
      <c r="G64" s="283">
        <f>IF('Graph values'!BA60=0,"",IF('Graph values'!BA60="","",100-SUM(D64:F64)))</f>
        <v>4.1678377363347465</v>
      </c>
      <c r="H64" s="279">
        <f t="shared" si="0"/>
        <v>17</v>
      </c>
      <c r="I64" s="279">
        <v>70</v>
      </c>
      <c r="J64" s="284" t="str">
        <f>IF('Input Laying'!N68=0,"",'Input Laying'!N68)</f>
        <v/>
      </c>
      <c r="K64" s="285" t="str">
        <f>IF($D64="","",IF($J64="","",IF('Graph values'!$BA60="","",$J64*$D64%)))</f>
        <v/>
      </c>
      <c r="L64" s="286" t="str">
        <f>IF($E64="","",IF($J64="","",IF('Graph values'!$BA60="","",$J64*$E64%)))</f>
        <v/>
      </c>
      <c r="M64" s="286" t="str">
        <f>IF($F64="","",IF($J64="","",IF('Graph values'!$BA60="","",$J64*$F64%)))</f>
        <v/>
      </c>
      <c r="N64" s="287" t="str">
        <f>IF($G64="","",IF($J64="","",IF('Graph values'!$BA60="","",$J64*$G64%)))</f>
        <v/>
      </c>
    </row>
    <row r="65" spans="1:14" ht="15.75" customHeight="1" x14ac:dyDescent="0.2">
      <c r="A65" s="143">
        <v>71</v>
      </c>
      <c r="B65" s="144">
        <f>IF(Std!C74=0,"",Std!C74)</f>
        <v>64.149042361089968</v>
      </c>
      <c r="C65" s="144" t="str">
        <f>IF('Input Laying'!X69=0,"",'Input Laying'!X69)</f>
        <v/>
      </c>
      <c r="D65" s="145">
        <f>IF('Graph values'!BA61=0,"",IF('Graph values'!BA61="","",(1-NORMSDIST(12.5-(12.5*$A$4/'Graph values'!BA61)))*100))</f>
        <v>1.4909434096578522</v>
      </c>
      <c r="E65" s="146">
        <f>IF('Graph values'!BA61=0,"",IF('Graph values'!BA61="","",(NORMSDIST(12.5-(12.5*$A$4/'Graph values'!BA61))-NORMSDIST(12.5-(12.5*$C$4/'Graph values'!BA61)))*100))</f>
        <v>39.650776636138332</v>
      </c>
      <c r="F65" s="146">
        <f>IF('Graph values'!BA61=0,"",IF('Graph values'!BA61="","",(NORMSDIST(12.5-(12.5*$C$4/'Graph values'!BA61))-NORMSDIST(12.5-(12.5*$E$4/'Graph values'!BA61)))*100))</f>
        <v>54.629078322200542</v>
      </c>
      <c r="G65" s="147">
        <f>IF('Graph values'!BA61=0,"",IF('Graph values'!BA61="","",100-SUM(D65:F65)))</f>
        <v>4.2292016320032815</v>
      </c>
      <c r="H65" s="143">
        <f t="shared" si="0"/>
        <v>18</v>
      </c>
      <c r="I65" s="143">
        <v>71</v>
      </c>
      <c r="J65" s="148" t="str">
        <f>IF('Input Laying'!N69=0,"",'Input Laying'!N69)</f>
        <v/>
      </c>
      <c r="K65" s="149" t="str">
        <f>IF($D65="","",IF($J65="","",IF('Graph values'!$BA61="","",$J65*$D65%)))</f>
        <v/>
      </c>
      <c r="L65" s="150" t="str">
        <f>IF($E65="","",IF($J65="","",IF('Graph values'!$BA61="","",$J65*$E65%)))</f>
        <v/>
      </c>
      <c r="M65" s="150" t="str">
        <f>IF($F65="","",IF($J65="","",IF('Graph values'!$BA61="","",$J65*$F65%)))</f>
        <v/>
      </c>
      <c r="N65" s="151" t="str">
        <f>IF($G65="","",IF($J65="","",IF('Graph values'!$BA61="","",$J65*$G65%)))</f>
        <v/>
      </c>
    </row>
    <row r="66" spans="1:14" ht="15.75" customHeight="1" x14ac:dyDescent="0.2">
      <c r="A66" s="279">
        <v>72</v>
      </c>
      <c r="B66" s="280">
        <f>IF(Std!C75=0,"",Std!C75)</f>
        <v>64.179904079159627</v>
      </c>
      <c r="C66" s="280" t="str">
        <f>IF('Input Laying'!X70=0,"",'Input Laying'!X70)</f>
        <v/>
      </c>
      <c r="D66" s="281">
        <f>IF('Graph values'!BA62=0,"",IF('Graph values'!BA62="","",(1-NORMSDIST(12.5-(12.5*$A$4/'Graph values'!BA62)))*100))</f>
        <v>1.4723348151068016</v>
      </c>
      <c r="E66" s="282">
        <f>IF('Graph values'!BA62=0,"",IF('Graph values'!BA62="","",(NORMSDIST(12.5-(12.5*$A$4/'Graph values'!BA62))-NORMSDIST(12.5-(12.5*$C$4/'Graph values'!BA62)))*100))</f>
        <v>39.439867602580577</v>
      </c>
      <c r="F66" s="282">
        <f>IF('Graph values'!BA62=0,"",IF('Graph values'!BA62="","",(NORMSDIST(12.5-(12.5*$C$4/'Graph values'!BA62))-NORMSDIST(12.5-(12.5*$E$4/'Graph values'!BA62)))*100))</f>
        <v>54.796563220067938</v>
      </c>
      <c r="G66" s="283">
        <f>IF('Graph values'!BA62=0,"",IF('Graph values'!BA62="","",100-SUM(D66:F66)))</f>
        <v>4.2912343622446798</v>
      </c>
      <c r="H66" s="279">
        <f t="shared" si="0"/>
        <v>19</v>
      </c>
      <c r="I66" s="279">
        <v>72</v>
      </c>
      <c r="J66" s="284" t="str">
        <f>IF('Input Laying'!N70=0,"",'Input Laying'!N70)</f>
        <v/>
      </c>
      <c r="K66" s="285" t="str">
        <f>IF($D66="","",IF($J66="","",IF('Graph values'!$BA62="","",$J66*$D66%)))</f>
        <v/>
      </c>
      <c r="L66" s="286" t="str">
        <f>IF($E66="","",IF($J66="","",IF('Graph values'!$BA62="","",$J66*$E66%)))</f>
        <v/>
      </c>
      <c r="M66" s="286" t="str">
        <f>IF($F66="","",IF($J66="","",IF('Graph values'!$BA62="","",$J66*$F66%)))</f>
        <v/>
      </c>
      <c r="N66" s="287" t="str">
        <f>IF($G66="","",IF($J66="","",IF('Graph values'!$BA62="","",$J66*$G66%)))</f>
        <v/>
      </c>
    </row>
    <row r="67" spans="1:14" ht="15.75" customHeight="1" x14ac:dyDescent="0.2">
      <c r="A67" s="143">
        <v>73</v>
      </c>
      <c r="B67" s="144">
        <f>IF(Std!C76=0,"",Std!C76)</f>
        <v>64.210765797229286</v>
      </c>
      <c r="C67" s="144" t="str">
        <f>IF('Input Laying'!X71=0,"",'Input Laying'!X71)</f>
        <v/>
      </c>
      <c r="D67" s="145">
        <f>IF('Graph values'!BA63=0,"",IF('Graph values'!BA63="","",(1-NORMSDIST(12.5-(12.5*$A$4/'Graph values'!BA63)))*100))</f>
        <v>1.453943959702475</v>
      </c>
      <c r="E67" s="146">
        <f>IF('Graph values'!BA63=0,"",IF('Graph values'!BA63="","",(NORMSDIST(12.5-(12.5*$A$4/'Graph values'!BA63))-NORMSDIST(12.5-(12.5*$C$4/'Graph values'!BA63)))*100))</f>
        <v>39.229272148266823</v>
      </c>
      <c r="F67" s="146">
        <f>IF('Graph values'!BA63=0,"",IF('Graph values'!BA63="","",(NORMSDIST(12.5-(12.5*$C$4/'Graph values'!BA63))-NORMSDIST(12.5-(12.5*$E$4/'Graph values'!BA63)))*100))</f>
        <v>54.96284429008049</v>
      </c>
      <c r="G67" s="147">
        <f>IF('Graph values'!BA63=0,"",IF('Graph values'!BA63="","",100-SUM(D67:F67)))</f>
        <v>4.3539396019502021</v>
      </c>
      <c r="H67" s="143">
        <f t="shared" si="0"/>
        <v>20</v>
      </c>
      <c r="I67" s="143">
        <v>73</v>
      </c>
      <c r="J67" s="148" t="str">
        <f>IF('Input Laying'!N71=0,"",'Input Laying'!N71)</f>
        <v/>
      </c>
      <c r="K67" s="149" t="str">
        <f>IF($D67="","",IF($J67="","",IF('Graph values'!$BA63="","",$J67*$D67%)))</f>
        <v/>
      </c>
      <c r="L67" s="150" t="str">
        <f>IF($E67="","",IF($J67="","",IF('Graph values'!$BA63="","",$J67*$E67%)))</f>
        <v/>
      </c>
      <c r="M67" s="150" t="str">
        <f>IF($F67="","",IF($J67="","",IF('Graph values'!$BA63="","",$J67*$F67%)))</f>
        <v/>
      </c>
      <c r="N67" s="151" t="str">
        <f>IF($G67="","",IF($J67="","",IF('Graph values'!$BA63="","",$J67*$G67%)))</f>
        <v/>
      </c>
    </row>
    <row r="68" spans="1:14" ht="15.75" customHeight="1" x14ac:dyDescent="0.2">
      <c r="A68" s="279">
        <v>74</v>
      </c>
      <c r="B68" s="280">
        <f>IF(Std!C77=0,"",Std!C77)</f>
        <v>64.241627515298958</v>
      </c>
      <c r="C68" s="280" t="str">
        <f>IF('Input Laying'!X72=0,"",'Input Laying'!X72)</f>
        <v/>
      </c>
      <c r="D68" s="281">
        <f>IF('Graph values'!BA64=0,"",IF('Graph values'!BA64="","",(1-NORMSDIST(12.5-(12.5*$A$4/'Graph values'!BA64)))*100))</f>
        <v>1.4357685456617086</v>
      </c>
      <c r="E68" s="282">
        <f>IF('Graph values'!BA64=0,"",IF('Graph values'!BA64="","",(NORMSDIST(12.5-(12.5*$A$4/'Graph values'!BA64))-NORMSDIST(12.5-(12.5*$C$4/'Graph values'!BA64)))*100))</f>
        <v>39.018998879432466</v>
      </c>
      <c r="F68" s="282">
        <f>IF('Graph values'!BA64=0,"",IF('Graph values'!BA64="","",(NORMSDIST(12.5-(12.5*$C$4/'Graph values'!BA64))-NORMSDIST(12.5-(12.5*$E$4/'Graph values'!BA64)))*100))</f>
        <v>55.127911577460843</v>
      </c>
      <c r="G68" s="283">
        <f>IF('Graph values'!BA64=0,"",IF('Graph values'!BA64="","",100-SUM(D68:F68)))</f>
        <v>4.417320997444989</v>
      </c>
      <c r="H68" s="279">
        <f t="shared" si="0"/>
        <v>21</v>
      </c>
      <c r="I68" s="279">
        <v>74</v>
      </c>
      <c r="J68" s="284" t="str">
        <f>IF('Input Laying'!N72=0,"",'Input Laying'!N72)</f>
        <v/>
      </c>
      <c r="K68" s="285" t="str">
        <f>IF($D68="","",IF($J68="","",IF('Graph values'!$BA64="","",$J68*$D68%)))</f>
        <v/>
      </c>
      <c r="L68" s="286" t="str">
        <f>IF($E68="","",IF($J68="","",IF('Graph values'!$BA64="","",$J68*$E68%)))</f>
        <v/>
      </c>
      <c r="M68" s="286" t="str">
        <f>IF($F68="","",IF($J68="","",IF('Graph values'!$BA64="","",$J68*$F68%)))</f>
        <v/>
      </c>
      <c r="N68" s="287" t="str">
        <f>IF($G68="","",IF($J68="","",IF('Graph values'!$BA64="","",$J68*$G68%)))</f>
        <v/>
      </c>
    </row>
    <row r="69" spans="1:14" ht="15.75" customHeight="1" x14ac:dyDescent="0.2">
      <c r="A69" s="143">
        <v>75</v>
      </c>
      <c r="B69" s="144">
        <f>IF(Std!C78=0,"",Std!C78)</f>
        <v>64.272489233368617</v>
      </c>
      <c r="C69" s="144" t="str">
        <f>IF('Input Laying'!X73=0,"",'Input Laying'!X73)</f>
        <v/>
      </c>
      <c r="D69" s="145">
        <f>IF('Graph values'!BA65=0,"",IF('Graph values'!BA65="","",(1-NORMSDIST(12.5-(12.5*$A$4/'Graph values'!BA65)))*100))</f>
        <v>1.4178062952310055</v>
      </c>
      <c r="E69" s="146">
        <f>IF('Graph values'!BA65=0,"",IF('Graph values'!BA65="","",(NORMSDIST(12.5-(12.5*$A$4/'Graph values'!BA65))-NORMSDIST(12.5-(12.5*$C$4/'Graph values'!BA65)))*100))</f>
        <v>38.809056309737223</v>
      </c>
      <c r="F69" s="146">
        <f>IF('Graph values'!BA65=0,"",IF('Graph values'!BA65="","",(NORMSDIST(12.5-(12.5*$C$4/'Graph values'!BA65))-NORMSDIST(12.5-(12.5*$E$4/'Graph values'!BA65)))*100))</f>
        <v>55.291755229205307</v>
      </c>
      <c r="G69" s="147">
        <f>IF('Graph values'!BA65=0,"",IF('Graph values'!BA65="","",100-SUM(D69:F69)))</f>
        <v>4.4813821658264601</v>
      </c>
      <c r="H69" s="143">
        <f t="shared" si="0"/>
        <v>22</v>
      </c>
      <c r="I69" s="143">
        <v>75</v>
      </c>
      <c r="J69" s="148" t="str">
        <f>IF('Input Laying'!N73=0,"",'Input Laying'!N73)</f>
        <v/>
      </c>
      <c r="K69" s="149" t="str">
        <f>IF($D69="","",IF($J69="","",IF('Graph values'!$BA65="","",$J69*$D69%)))</f>
        <v/>
      </c>
      <c r="L69" s="150" t="str">
        <f>IF($E69="","",IF($J69="","",IF('Graph values'!$BA65="","",$J69*$E69%)))</f>
        <v/>
      </c>
      <c r="M69" s="150" t="str">
        <f>IF($F69="","",IF($J69="","",IF('Graph values'!$BA65="","",$J69*$F69%)))</f>
        <v/>
      </c>
      <c r="N69" s="151" t="str">
        <f>IF($G69="","",IF($J69="","",IF('Graph values'!$BA65="","",$J69*$G69%)))</f>
        <v/>
      </c>
    </row>
    <row r="70" spans="1:14" ht="15.75" customHeight="1" x14ac:dyDescent="0.2">
      <c r="A70" s="279">
        <v>76</v>
      </c>
      <c r="B70" s="280">
        <f>IF(Std!C79=0,"",Std!C79)</f>
        <v>64.303350951438276</v>
      </c>
      <c r="C70" s="280" t="str">
        <f>IF('Input Laying'!X74=0,"",'Input Laying'!X74)</f>
        <v/>
      </c>
      <c r="D70" s="281">
        <f>IF('Graph values'!BA66=0,"",IF('Graph values'!BA66="","",(1-NORMSDIST(12.5-(12.5*$A$4/'Graph values'!BA66)))*100))</f>
        <v>1.4000549505833959</v>
      </c>
      <c r="E70" s="282">
        <f>IF('Graph values'!BA66=0,"",IF('Graph values'!BA66="","",(NORMSDIST(12.5-(12.5*$A$4/'Graph values'!BA66))-NORMSDIST(12.5-(12.5*$C$4/'Graph values'!BA66)))*100))</f>
        <v>38.599452860147757</v>
      </c>
      <c r="F70" s="282">
        <f>IF('Graph values'!BA66=0,"",IF('Graph values'!BA66="","",(NORMSDIST(12.5-(12.5*$C$4/'Graph values'!BA66))-NORMSDIST(12.5-(12.5*$E$4/'Graph values'!BA66)))*100))</f>
        <v>55.454365494964073</v>
      </c>
      <c r="G70" s="283">
        <f>IF('Graph values'!BA66=0,"",IF('Graph values'!BA66="","",100-SUM(D70:F70)))</f>
        <v>4.5461266943047747</v>
      </c>
      <c r="H70" s="279">
        <f t="shared" si="0"/>
        <v>23</v>
      </c>
      <c r="I70" s="279">
        <v>76</v>
      </c>
      <c r="J70" s="284" t="str">
        <f>IF('Input Laying'!N74=0,"",'Input Laying'!N74)</f>
        <v/>
      </c>
      <c r="K70" s="285" t="str">
        <f>IF($D70="","",IF($J70="","",IF('Graph values'!$BA66="","",$J70*$D70%)))</f>
        <v/>
      </c>
      <c r="L70" s="286" t="str">
        <f>IF($E70="","",IF($J70="","",IF('Graph values'!$BA66="","",$J70*$E70%)))</f>
        <v/>
      </c>
      <c r="M70" s="286" t="str">
        <f>IF($F70="","",IF($J70="","",IF('Graph values'!$BA66="","",$J70*$F70%)))</f>
        <v/>
      </c>
      <c r="N70" s="287" t="str">
        <f>IF($G70="","",IF($J70="","",IF('Graph values'!$BA66="","",$J70*$G70%)))</f>
        <v/>
      </c>
    </row>
    <row r="71" spans="1:14" ht="15.75" customHeight="1" x14ac:dyDescent="0.2">
      <c r="A71" s="143">
        <v>77</v>
      </c>
      <c r="B71" s="144">
        <f>IF(Std!C80=0,"",Std!C80)</f>
        <v>64.334212669507949</v>
      </c>
      <c r="C71" s="144" t="str">
        <f>IF('Input Laying'!X75=0,"",'Input Laying'!X75)</f>
        <v/>
      </c>
      <c r="D71" s="145">
        <f>IF('Graph values'!BA67=0,"",IF('Graph values'!BA67="","",(1-NORMSDIST(12.5-(12.5*$A$4/'Graph values'!BA67)))*100))</f>
        <v>1.3825122737144868</v>
      </c>
      <c r="E71" s="146">
        <f>IF('Graph values'!BA67=0,"",IF('Graph values'!BA67="","",(NORMSDIST(12.5-(12.5*$A$4/'Graph values'!BA67))-NORMSDIST(12.5-(12.5*$C$4/'Graph values'!BA67)))*100))</f>
        <v>38.390196858834592</v>
      </c>
      <c r="F71" s="146">
        <f>IF('Graph values'!BA67=0,"",IF('Graph values'!BA67="","",(NORMSDIST(12.5-(12.5*$C$4/'Graph values'!BA67))-NORMSDIST(12.5-(12.5*$E$4/'Graph values'!BA67)))*100))</f>
        <v>55.615732727905879</v>
      </c>
      <c r="G71" s="147">
        <f>IF('Graph values'!BA67=0,"",IF('Graph values'!BA67="","",100-SUM(D71:F71)))</f>
        <v>4.6115581395450391</v>
      </c>
      <c r="H71" s="143">
        <f t="shared" si="0"/>
        <v>24</v>
      </c>
      <c r="I71" s="143">
        <v>77</v>
      </c>
      <c r="J71" s="148" t="str">
        <f>IF('Input Laying'!N75=0,"",'Input Laying'!N75)</f>
        <v/>
      </c>
      <c r="K71" s="149" t="str">
        <f>IF($D71="","",IF($J71="","",IF('Graph values'!$BA67="","",$J71*$D71%)))</f>
        <v/>
      </c>
      <c r="L71" s="150" t="str">
        <f>IF($E71="","",IF($J71="","",IF('Graph values'!$BA67="","",$J71*$E71%)))</f>
        <v/>
      </c>
      <c r="M71" s="150" t="str">
        <f>IF($F71="","",IF($J71="","",IF('Graph values'!$BA67="","",$J71*$F71%)))</f>
        <v/>
      </c>
      <c r="N71" s="151" t="str">
        <f>IF($G71="","",IF($J71="","",IF('Graph values'!$BA67="","",$J71*$G71%)))</f>
        <v/>
      </c>
    </row>
    <row r="72" spans="1:14" ht="15.75" customHeight="1" x14ac:dyDescent="0.2">
      <c r="A72" s="279">
        <v>78</v>
      </c>
      <c r="B72" s="280">
        <f>IF(Std!C81=0,"",Std!C81)</f>
        <v>64.365074387577607</v>
      </c>
      <c r="C72" s="280" t="str">
        <f>IF('Input Laying'!X76=0,"",'Input Laying'!X76)</f>
        <v/>
      </c>
      <c r="D72" s="281">
        <f>IF('Graph values'!BA68=0,"",IF('Graph values'!BA68="","",(1-NORMSDIST(12.5-(12.5*$A$4/'Graph values'!BA68)))*100))</f>
        <v>1.3651760463377793</v>
      </c>
      <c r="E72" s="282">
        <f>IF('Graph values'!BA68=0,"",IF('Graph values'!BA68="","",(NORMSDIST(12.5-(12.5*$A$4/'Graph values'!BA68))-NORMSDIST(12.5-(12.5*$C$4/'Graph values'!BA68)))*100))</f>
        <v>38.181296541082652</v>
      </c>
      <c r="F72" s="282">
        <f>IF('Graph values'!BA68=0,"",IF('Graph values'!BA68="","",(NORMSDIST(12.5-(12.5*$C$4/'Graph values'!BA68))-NORMSDIST(12.5-(12.5*$E$4/'Graph values'!BA68)))*100))</f>
        <v>55.775847385567843</v>
      </c>
      <c r="G72" s="283">
        <f>IF('Graph values'!BA68=0,"",IF('Graph values'!BA68="","",100-SUM(D72:F72)))</f>
        <v>4.6776800270117178</v>
      </c>
      <c r="H72" s="279">
        <f t="shared" si="0"/>
        <v>25</v>
      </c>
      <c r="I72" s="279">
        <v>78</v>
      </c>
      <c r="J72" s="284" t="str">
        <f>IF('Input Laying'!N76=0,"",'Input Laying'!N76)</f>
        <v/>
      </c>
      <c r="K72" s="285" t="str">
        <f>IF($D72="","",IF($J72="","",IF('Graph values'!$BA68="","",$J72*$D72%)))</f>
        <v/>
      </c>
      <c r="L72" s="286" t="str">
        <f>IF($E72="","",IF($J72="","",IF('Graph values'!$BA68="","",$J72*$E72%)))</f>
        <v/>
      </c>
      <c r="M72" s="286" t="str">
        <f>IF($F72="","",IF($J72="","",IF('Graph values'!$BA68="","",$J72*$F72%)))</f>
        <v/>
      </c>
      <c r="N72" s="287" t="str">
        <f>IF($G72="","",IF($J72="","",IF('Graph values'!$BA68="","",$J72*$G72%)))</f>
        <v/>
      </c>
    </row>
    <row r="73" spans="1:14" ht="15.75" customHeight="1" x14ac:dyDescent="0.2">
      <c r="A73" s="143">
        <v>79</v>
      </c>
      <c r="B73" s="144">
        <f>IF(Std!C82=0,"",Std!C82)</f>
        <v>64.395936105647266</v>
      </c>
      <c r="C73" s="144" t="str">
        <f>IF('Input Laying'!X77=0,"",'Input Laying'!X77)</f>
        <v/>
      </c>
      <c r="D73" s="145">
        <f>IF('Graph values'!BA69=0,"",IF('Graph values'!BA69="","",(1-NORMSDIST(12.5-(12.5*$A$4/'Graph values'!BA69)))*100))</f>
        <v>1.3480440697792195</v>
      </c>
      <c r="E73" s="146">
        <f>IF('Graph values'!BA69=0,"",IF('Graph values'!BA69="","",(NORMSDIST(12.5-(12.5*$A$4/'Graph values'!BA69))-NORMSDIST(12.5-(12.5*$C$4/'Graph values'!BA69)))*100))</f>
        <v>37.972760049214529</v>
      </c>
      <c r="F73" s="146">
        <f>IF('Graph values'!BA69=0,"",IF('Graph values'!BA69="","",(NORMSDIST(12.5-(12.5*$C$4/'Graph values'!BA69))-NORMSDIST(12.5-(12.5*$E$4/'Graph values'!BA69)))*100))</f>
        <v>55.934700030690699</v>
      </c>
      <c r="G73" s="147">
        <f>IF('Graph values'!BA69=0,"",IF('Graph values'!BA69="","",100-SUM(D73:F73)))</f>
        <v>4.744495850315559</v>
      </c>
      <c r="H73" s="143">
        <f t="shared" si="0"/>
        <v>26</v>
      </c>
      <c r="I73" s="143">
        <v>79</v>
      </c>
      <c r="J73" s="148" t="str">
        <f>IF('Input Laying'!N77=0,"",'Input Laying'!N77)</f>
        <v/>
      </c>
      <c r="K73" s="149" t="str">
        <f>IF($D73="","",IF($J73="","",IF('Graph values'!$BA69="","",$J73*$D73%)))</f>
        <v/>
      </c>
      <c r="L73" s="150" t="str">
        <f>IF($E73="","",IF($J73="","",IF('Graph values'!$BA69="","",$J73*$E73%)))</f>
        <v/>
      </c>
      <c r="M73" s="150" t="str">
        <f>IF($F73="","",IF($J73="","",IF('Graph values'!$BA69="","",$J73*$F73%)))</f>
        <v/>
      </c>
      <c r="N73" s="151" t="str">
        <f>IF($G73="","",IF($J73="","",IF('Graph values'!$BA69="","",$J73*$G73%)))</f>
        <v/>
      </c>
    </row>
    <row r="74" spans="1:14" ht="15.75" customHeight="1" x14ac:dyDescent="0.2">
      <c r="A74" s="279">
        <v>80</v>
      </c>
      <c r="B74" s="280">
        <f>IF(Std!C83=0,"",Std!C83)</f>
        <v>64.426797823716939</v>
      </c>
      <c r="C74" s="280" t="str">
        <f>IF('Input Laying'!X78=0,"",'Input Laying'!X78)</f>
        <v/>
      </c>
      <c r="D74" s="281">
        <f>IF('Graph values'!BA70=0,"",IF('Graph values'!BA70="","",(1-NORMSDIST(12.5-(12.5*$A$4/'Graph values'!BA70)))*100))</f>
        <v>1.33111416487115</v>
      </c>
      <c r="E74" s="282">
        <f>IF('Graph values'!BA70=0,"",IF('Graph values'!BA70="","",(NORMSDIST(12.5-(12.5*$A$4/'Graph values'!BA70))-NORMSDIST(12.5-(12.5*$C$4/'Graph values'!BA70)))*100))</f>
        <v>37.764595432527223</v>
      </c>
      <c r="F74" s="282">
        <f>IF('Graph values'!BA70=0,"",IF('Graph values'!BA70="","",(NORMSDIST(12.5-(12.5*$C$4/'Graph values'!BA70))-NORMSDIST(12.5-(12.5*$E$4/'Graph values'!BA70)))*100))</f>
        <v>56.092281332038837</v>
      </c>
      <c r="G74" s="283">
        <f>IF('Graph values'!BA70=0,"",IF('Graph values'!BA70="","",100-SUM(D74:F74)))</f>
        <v>4.8120090705627945</v>
      </c>
      <c r="H74" s="279">
        <f t="shared" si="0"/>
        <v>27</v>
      </c>
      <c r="I74" s="279">
        <v>80</v>
      </c>
      <c r="J74" s="284" t="str">
        <f>IF('Input Laying'!N78=0,"",'Input Laying'!N78)</f>
        <v/>
      </c>
      <c r="K74" s="285" t="str">
        <f>IF($D74="","",IF($J74="","",IF('Graph values'!$BA70="","",$J74*$D74%)))</f>
        <v/>
      </c>
      <c r="L74" s="286" t="str">
        <f>IF($E74="","",IF($J74="","",IF('Graph values'!$BA70="","",$J74*$E74%)))</f>
        <v/>
      </c>
      <c r="M74" s="286" t="str">
        <f>IF($F74="","",IF($J74="","",IF('Graph values'!$BA70="","",$J74*$F74%)))</f>
        <v/>
      </c>
      <c r="N74" s="287" t="str">
        <f>IF($G74="","",IF($J74="","",IF('Graph values'!$BA70="","",$J74*$G74%)))</f>
        <v/>
      </c>
    </row>
    <row r="75" spans="1:14" ht="15.75" customHeight="1" x14ac:dyDescent="0.2">
      <c r="A75" s="143">
        <v>81</v>
      </c>
      <c r="B75" s="144">
        <f>IF(Std!C84=0,"",Std!C84)</f>
        <v>64.457659541786597</v>
      </c>
      <c r="C75" s="144" t="str">
        <f>IF('Input Laying'!X79=0,"",'Input Laying'!X79)</f>
        <v/>
      </c>
      <c r="D75" s="145">
        <f>IF('Graph values'!BA71=0,"",IF('Graph values'!BA71="","",(1-NORMSDIST(12.5-(12.5*$A$4/'Graph values'!BA71)))*100))</f>
        <v>1.3143841718455396</v>
      </c>
      <c r="E75" s="146">
        <f>IF('Graph values'!BA71=0,"",IF('Graph values'!BA71="","",(NORMSDIST(12.5-(12.5*$A$4/'Graph values'!BA71))-NORMSDIST(12.5-(12.5*$C$4/'Graph values'!BA71)))*100))</f>
        <v>37.556810647243289</v>
      </c>
      <c r="F75" s="146">
        <f>IF('Graph values'!BA71=0,"",IF('Graph values'!BA71="","",(NORMSDIST(12.5-(12.5*$C$4/'Graph values'!BA71))-NORMSDIST(12.5-(12.5*$E$4/'Graph values'!BA71)))*100))</f>
        <v>56.248582065204253</v>
      </c>
      <c r="G75" s="147">
        <f>IF('Graph values'!BA71=0,"",IF('Graph values'!BA71="","",100-SUM(D75:F75)))</f>
        <v>4.8802231157069116</v>
      </c>
      <c r="H75" s="143">
        <f t="shared" si="0"/>
        <v>28</v>
      </c>
      <c r="I75" s="143">
        <v>81</v>
      </c>
      <c r="J75" s="148" t="str">
        <f>IF('Input Laying'!N79=0,"",'Input Laying'!N79)</f>
        <v/>
      </c>
      <c r="K75" s="149" t="str">
        <f>IF($D75="","",IF($J75="","",IF('Graph values'!$BA71="","",$J75*$D75%)))</f>
        <v/>
      </c>
      <c r="L75" s="150" t="str">
        <f>IF($E75="","",IF($J75="","",IF('Graph values'!$BA71="","",$J75*$E75%)))</f>
        <v/>
      </c>
      <c r="M75" s="150" t="str">
        <f>IF($F75="","",IF($J75="","",IF('Graph values'!$BA71="","",$J75*$F75%)))</f>
        <v/>
      </c>
      <c r="N75" s="151" t="str">
        <f>IF($G75="","",IF($J75="","",IF('Graph values'!$BA71="","",$J75*$G75%)))</f>
        <v/>
      </c>
    </row>
    <row r="76" spans="1:14" ht="15.75" customHeight="1" x14ac:dyDescent="0.2">
      <c r="A76" s="279">
        <v>82</v>
      </c>
      <c r="B76" s="280">
        <f>IF(Std!C85=0,"",Std!C85)</f>
        <v>64.488521259856256</v>
      </c>
      <c r="C76" s="280" t="str">
        <f>IF('Input Laying'!X80=0,"",'Input Laying'!X80)</f>
        <v/>
      </c>
      <c r="D76" s="281">
        <f>IF('Graph values'!BA72=0,"",IF('Graph values'!BA72="","",(1-NORMSDIST(12.5-(12.5*$A$4/'Graph values'!BA72)))*100))</f>
        <v>1.2978519502266028</v>
      </c>
      <c r="E76" s="282">
        <f>IF('Graph values'!BA72=0,"",IF('Graph values'!BA72="","",(NORMSDIST(12.5-(12.5*$A$4/'Graph values'!BA72))-NORMSDIST(12.5-(12.5*$C$4/'Graph values'!BA72)))*100))</f>
        <v>37.349413556472989</v>
      </c>
      <c r="F76" s="282">
        <f>IF('Graph values'!BA72=0,"",IF('Graph values'!BA72="","",(NORMSDIST(12.5-(12.5*$C$4/'Graph values'!BA72))-NORMSDIST(12.5-(12.5*$E$4/'Graph values'!BA72)))*100))</f>
        <v>56.403593113396866</v>
      </c>
      <c r="G76" s="283">
        <f>IF('Graph values'!BA72=0,"",IF('Graph values'!BA72="","",100-SUM(D76:F76)))</f>
        <v>4.9491413799035513</v>
      </c>
      <c r="H76" s="279">
        <f t="shared" si="0"/>
        <v>29</v>
      </c>
      <c r="I76" s="279">
        <v>82</v>
      </c>
      <c r="J76" s="284" t="str">
        <f>IF('Input Laying'!N80=0,"",'Input Laying'!N80)</f>
        <v/>
      </c>
      <c r="K76" s="285" t="str">
        <f>IF($D76="","",IF($J76="","",IF('Graph values'!$BA72="","",$J76*$D76%)))</f>
        <v/>
      </c>
      <c r="L76" s="286" t="str">
        <f>IF($E76="","",IF($J76="","",IF('Graph values'!$BA72="","",$J76*$E76%)))</f>
        <v/>
      </c>
      <c r="M76" s="286" t="str">
        <f>IF($F76="","",IF($J76="","",IF('Graph values'!$BA72="","",$J76*$F76%)))</f>
        <v/>
      </c>
      <c r="N76" s="287" t="str">
        <f>IF($G76="","",IF($J76="","",IF('Graph values'!$BA72="","",$J76*$G76%)))</f>
        <v/>
      </c>
    </row>
    <row r="77" spans="1:14" ht="15.75" customHeight="1" x14ac:dyDescent="0.2">
      <c r="A77" s="143">
        <v>83</v>
      </c>
      <c r="B77" s="144">
        <f>IF(Std!C86=0,"",Std!C86)</f>
        <v>64.519382977925929</v>
      </c>
      <c r="C77" s="144" t="str">
        <f>IF('Input Laying'!X81=0,"",'Input Laying'!X81)</f>
        <v/>
      </c>
      <c r="D77" s="145">
        <f>IF('Graph values'!BA73=0,"",IF('Graph values'!BA73="","",(1-NORMSDIST(12.5-(12.5*$A$4/'Graph values'!BA73)))*100))</f>
        <v>1.2815153787227973</v>
      </c>
      <c r="E77" s="146">
        <f>IF('Graph values'!BA73=0,"",IF('Graph values'!BA73="","",(NORMSDIST(12.5-(12.5*$A$4/'Graph values'!BA73))-NORMSDIST(12.5-(12.5*$C$4/'Graph values'!BA73)))*100))</f>
        <v>37.142411930190974</v>
      </c>
      <c r="F77" s="146">
        <f>IF('Graph values'!BA73=0,"",IF('Graph values'!BA73="","",(NORMSDIST(12.5-(12.5*$C$4/'Graph values'!BA73))-NORMSDIST(12.5-(12.5*$E$4/'Graph values'!BA73)))*100))</f>
        <v>56.557305468218402</v>
      </c>
      <c r="G77" s="147">
        <f>IF('Graph values'!BA73=0,"",IF('Graph values'!BA73="","",100-SUM(D77:F77)))</f>
        <v>5.0187672228678366</v>
      </c>
      <c r="H77" s="143">
        <f t="shared" ref="H77:H94" si="1">IF(H76=52,1,H76+1)</f>
        <v>30</v>
      </c>
      <c r="I77" s="143">
        <v>83</v>
      </c>
      <c r="J77" s="148" t="str">
        <f>IF('Input Laying'!N81=0,"",'Input Laying'!N81)</f>
        <v/>
      </c>
      <c r="K77" s="149" t="str">
        <f>IF($D77="","",IF($J77="","",IF('Graph values'!$BA73="","",$J77*$D77%)))</f>
        <v/>
      </c>
      <c r="L77" s="150" t="str">
        <f>IF($E77="","",IF($J77="","",IF('Graph values'!$BA73="","",$J77*$E77%)))</f>
        <v/>
      </c>
      <c r="M77" s="150" t="str">
        <f>IF($F77="","",IF($J77="","",IF('Graph values'!$BA73="","",$J77*$F77%)))</f>
        <v/>
      </c>
      <c r="N77" s="151" t="str">
        <f>IF($G77="","",IF($J77="","",IF('Graph values'!$BA73="","",$J77*$G77%)))</f>
        <v/>
      </c>
    </row>
    <row r="78" spans="1:14" ht="15.75" customHeight="1" x14ac:dyDescent="0.2">
      <c r="A78" s="279">
        <v>84</v>
      </c>
      <c r="B78" s="280">
        <f>IF(Std!C87=0,"",Std!C87)</f>
        <v>64.550244695995588</v>
      </c>
      <c r="C78" s="280" t="str">
        <f>IF('Input Laying'!X82=0,"",'Input Laying'!X82)</f>
        <v/>
      </c>
      <c r="D78" s="281">
        <f>IF('Graph values'!BA74=0,"",IF('Graph values'!BA74="","",(1-NORMSDIST(12.5-(12.5*$A$4/'Graph values'!BA74)))*100))</f>
        <v>1.2653723551183771</v>
      </c>
      <c r="E78" s="282">
        <f>IF('Graph values'!BA74=0,"",IF('Graph values'!BA74="","",(NORMSDIST(12.5-(12.5*$A$4/'Graph values'!BA74))-NORMSDIST(12.5-(12.5*$C$4/'Graph values'!BA74)))*100))</f>
        <v>36.935813445225627</v>
      </c>
      <c r="F78" s="282">
        <f>IF('Graph values'!BA74=0,"",IF('Graph values'!BA74="","",(NORMSDIST(12.5-(12.5*$C$4/'Graph values'!BA74))-NORMSDIST(12.5-(12.5*$E$4/'Graph values'!BA74)))*100))</f>
        <v>56.709710230420832</v>
      </c>
      <c r="G78" s="283">
        <f>IF('Graph values'!BA74=0,"",IF('Graph values'!BA74="","",100-SUM(D78:F78)))</f>
        <v>5.0891039692351683</v>
      </c>
      <c r="H78" s="279">
        <f t="shared" si="1"/>
        <v>31</v>
      </c>
      <c r="I78" s="279">
        <v>84</v>
      </c>
      <c r="J78" s="284" t="str">
        <f>IF('Input Laying'!N82=0,"",'Input Laying'!N82)</f>
        <v/>
      </c>
      <c r="K78" s="285" t="str">
        <f>IF($D78="","",IF($J78="","",IF('Graph values'!$BA74="","",$J78*$D78%)))</f>
        <v/>
      </c>
      <c r="L78" s="286" t="str">
        <f>IF($E78="","",IF($J78="","",IF('Graph values'!$BA74="","",$J78*$E78%)))</f>
        <v/>
      </c>
      <c r="M78" s="286" t="str">
        <f>IF($F78="","",IF($J78="","",IF('Graph values'!$BA74="","",$J78*$F78%)))</f>
        <v/>
      </c>
      <c r="N78" s="287" t="str">
        <f>IF($G78="","",IF($J78="","",IF('Graph values'!$BA74="","",$J78*$G78%)))</f>
        <v/>
      </c>
    </row>
    <row r="79" spans="1:14" ht="15.75" customHeight="1" x14ac:dyDescent="0.2">
      <c r="A79" s="143">
        <v>85</v>
      </c>
      <c r="B79" s="144">
        <f>IF(Std!C88=0,"",Std!C88)</f>
        <v>64.581106414065246</v>
      </c>
      <c r="C79" s="144" t="str">
        <f>IF('Input Laying'!X83=0,"",'Input Laying'!X83)</f>
        <v/>
      </c>
      <c r="D79" s="145">
        <f>IF('Graph values'!BA75=0,"",IF('Graph values'!BA75="","",(1-NORMSDIST(12.5-(12.5*$A$4/'Graph values'!BA75)))*100))</f>
        <v>1.2494207961641801</v>
      </c>
      <c r="E79" s="146">
        <f>IF('Graph values'!BA75=0,"",IF('Graph values'!BA75="","",(NORMSDIST(12.5-(12.5*$A$4/'Graph values'!BA75))-NORMSDIST(12.5-(12.5*$C$4/'Graph values'!BA75)))*100))</f>
        <v>36.729625685259883</v>
      </c>
      <c r="F79" s="146">
        <f>IF('Graph values'!BA75=0,"",IF('Graph values'!BA75="","",(NORMSDIST(12.5-(12.5*$C$4/'Graph values'!BA75))-NORMSDIST(12.5-(12.5*$E$4/'Graph values'!BA75)))*100))</f>
        <v>56.860798610650761</v>
      </c>
      <c r="G79" s="147">
        <f>IF('Graph values'!BA75=0,"",IF('Graph values'!BA75="","",100-SUM(D79:F79)))</f>
        <v>5.1601549079251754</v>
      </c>
      <c r="H79" s="143">
        <f t="shared" si="1"/>
        <v>32</v>
      </c>
      <c r="I79" s="143">
        <v>85</v>
      </c>
      <c r="J79" s="148" t="str">
        <f>IF('Input Laying'!N83=0,"",'Input Laying'!N83)</f>
        <v/>
      </c>
      <c r="K79" s="149" t="str">
        <f>IF($D79="","",IF($J79="","",IF('Graph values'!$BA75="","",$J79*$D79%)))</f>
        <v/>
      </c>
      <c r="L79" s="150" t="str">
        <f>IF($E79="","",IF($J79="","",IF('Graph values'!$BA75="","",$J79*$E79%)))</f>
        <v/>
      </c>
      <c r="M79" s="150" t="str">
        <f>IF($F79="","",IF($J79="","",IF('Graph values'!$BA75="","",$J79*$F79%)))</f>
        <v/>
      </c>
      <c r="N79" s="151" t="str">
        <f>IF($G79="","",IF($J79="","",IF('Graph values'!$BA75="","",$J79*$G79%)))</f>
        <v/>
      </c>
    </row>
    <row r="80" spans="1:14" ht="15.75" customHeight="1" x14ac:dyDescent="0.2">
      <c r="A80" s="279">
        <v>86</v>
      </c>
      <c r="B80" s="280">
        <f>IF(Std!C89=0,"",Std!C89)</f>
        <v>64.611968132134919</v>
      </c>
      <c r="C80" s="280" t="str">
        <f>IF('Input Laying'!X84=0,"",'Input Laying'!X84)</f>
        <v/>
      </c>
      <c r="D80" s="281">
        <f>IF('Graph values'!BA76=0,"",IF('Graph values'!BA76="","",(1-NORMSDIST(12.5-(12.5*$A$4/'Graph values'!BA76)))*100))</f>
        <v>1.233658637468138</v>
      </c>
      <c r="E80" s="282">
        <f>IF('Graph values'!BA76=0,"",IF('Graph values'!BA76="","",(NORMSDIST(12.5-(12.5*$A$4/'Graph values'!BA76))-NORMSDIST(12.5-(12.5*$C$4/'Graph values'!BA76)))*100))</f>
        <v>36.523856140846313</v>
      </c>
      <c r="F80" s="282">
        <f>IF('Graph values'!BA76=0,"",IF('Graph values'!BA76="","",(NORMSDIST(12.5-(12.5*$C$4/'Graph values'!BA76))-NORMSDIST(12.5-(12.5*$E$4/'Graph values'!BA76)))*100))</f>
        <v>57.010561930176685</v>
      </c>
      <c r="G80" s="283">
        <f>IF('Graph values'!BA76=0,"",IF('Graph values'!BA76="","",100-SUM(D80:F80)))</f>
        <v>5.2319232915088634</v>
      </c>
      <c r="H80" s="279">
        <f t="shared" si="1"/>
        <v>33</v>
      </c>
      <c r="I80" s="279">
        <v>86</v>
      </c>
      <c r="J80" s="284" t="str">
        <f>IF('Input Laying'!N84=0,"",'Input Laying'!N84)</f>
        <v/>
      </c>
      <c r="K80" s="285" t="str">
        <f>IF($D80="","",IF($J80="","",IF('Graph values'!$BA76="","",$J80*$D80%)))</f>
        <v/>
      </c>
      <c r="L80" s="286" t="str">
        <f>IF($E80="","",IF($J80="","",IF('Graph values'!$BA76="","",$J80*$E80%)))</f>
        <v/>
      </c>
      <c r="M80" s="286" t="str">
        <f>IF($F80="","",IF($J80="","",IF('Graph values'!$BA76="","",$J80*$F80%)))</f>
        <v/>
      </c>
      <c r="N80" s="287" t="str">
        <f>IF($G80="","",IF($J80="","",IF('Graph values'!$BA76="","",$J80*$G80%)))</f>
        <v/>
      </c>
    </row>
    <row r="81" spans="1:14" ht="15.75" customHeight="1" x14ac:dyDescent="0.2">
      <c r="A81" s="143">
        <v>87</v>
      </c>
      <c r="B81" s="144">
        <f>IF(Std!C90=0,"",Std!C90)</f>
        <v>64.642829850204578</v>
      </c>
      <c r="C81" s="144" t="str">
        <f>IF('Input Laying'!X85=0,"",'Input Laying'!X85)</f>
        <v/>
      </c>
      <c r="D81" s="145">
        <f>IF('Graph values'!BA77=0,"",IF('Graph values'!BA77="","",(1-NORMSDIST(12.5-(12.5*$A$4/'Graph values'!BA77)))*100))</f>
        <v>1.2180838333851529</v>
      </c>
      <c r="E81" s="146">
        <f>IF('Graph values'!BA77=0,"",IF('Graph values'!BA77="","",(NORMSDIST(12.5-(12.5*$A$4/'Graph values'!BA77))-NORMSDIST(12.5-(12.5*$C$4/'Graph values'!BA77)))*100))</f>
        <v>36.318512209433607</v>
      </c>
      <c r="F81" s="146">
        <f>IF('Graph values'!BA77=0,"",IF('Graph values'!BA77="","",(NORMSDIST(12.5-(12.5*$C$4/'Graph values'!BA77))-NORMSDIST(12.5-(12.5*$E$4/'Graph values'!BA77)))*100))</f>
        <v>57.15899162160175</v>
      </c>
      <c r="G81" s="147">
        <f>IF('Graph values'!BA77=0,"",IF('Graph values'!BA77="","",100-SUM(D81:F81)))</f>
        <v>5.3044123355794852</v>
      </c>
      <c r="H81" s="143">
        <f t="shared" si="1"/>
        <v>34</v>
      </c>
      <c r="I81" s="143">
        <v>87</v>
      </c>
      <c r="J81" s="148" t="str">
        <f>IF('Input Laying'!N85=0,"",'Input Laying'!N85)</f>
        <v/>
      </c>
      <c r="K81" s="149" t="str">
        <f>IF($D81="","",IF($J81="","",IF('Graph values'!$BA77="","",$J81*$D81%)))</f>
        <v/>
      </c>
      <c r="L81" s="150" t="str">
        <f>IF($E81="","",IF($J81="","",IF('Graph values'!$BA77="","",$J81*$E81%)))</f>
        <v/>
      </c>
      <c r="M81" s="150" t="str">
        <f>IF($F81="","",IF($J81="","",IF('Graph values'!$BA77="","",$J81*$F81%)))</f>
        <v/>
      </c>
      <c r="N81" s="151" t="str">
        <f>IF($G81="","",IF($J81="","",IF('Graph values'!$BA77="","",$J81*$G81%)))</f>
        <v/>
      </c>
    </row>
    <row r="82" spans="1:14" ht="15.75" customHeight="1" x14ac:dyDescent="0.2">
      <c r="A82" s="279">
        <v>88</v>
      </c>
      <c r="B82" s="280">
        <f>IF(Std!C91=0,"",Std!C91)</f>
        <v>64.673691568274251</v>
      </c>
      <c r="C82" s="280" t="str">
        <f>IF('Input Laying'!X86=0,"",'Input Laying'!X86)</f>
        <v/>
      </c>
      <c r="D82" s="281">
        <f>IF('Graph values'!BA78=0,"",IF('Graph values'!BA78="","",(1-NORMSDIST(12.5-(12.5*$A$4/'Graph values'!BA78)))*100))</f>
        <v>1.2026943569065418</v>
      </c>
      <c r="E82" s="282">
        <f>IF('Graph values'!BA78=0,"",IF('Graph values'!BA78="","",(NORMSDIST(12.5-(12.5*$A$4/'Graph values'!BA78))-NORMSDIST(12.5-(12.5*$C$4/'Graph values'!BA78)))*100))</f>
        <v>36.113601195405373</v>
      </c>
      <c r="F82" s="282">
        <f>IF('Graph values'!BA78=0,"",IF('Graph values'!BA78="","",(NORMSDIST(12.5-(12.5*$C$4/'Graph values'!BA78))-NORMSDIST(12.5-(12.5*$E$4/'Graph values'!BA78)))*100))</f>
        <v>57.30607922956095</v>
      </c>
      <c r="G82" s="283">
        <f>IF('Graph values'!BA78=0,"",IF('Graph values'!BA78="","",100-SUM(D82:F82)))</f>
        <v>5.377625218127136</v>
      </c>
      <c r="H82" s="279">
        <f t="shared" si="1"/>
        <v>35</v>
      </c>
      <c r="I82" s="279">
        <v>88</v>
      </c>
      <c r="J82" s="284" t="str">
        <f>IF('Input Laying'!N86=0,"",'Input Laying'!N86)</f>
        <v/>
      </c>
      <c r="K82" s="285" t="str">
        <f>IF($D82="","",IF($J82="","",IF('Graph values'!$BA78="","",$J82*$D82%)))</f>
        <v/>
      </c>
      <c r="L82" s="286" t="str">
        <f>IF($E82="","",IF($J82="","",IF('Graph values'!$BA78="","",$J82*$E82%)))</f>
        <v/>
      </c>
      <c r="M82" s="286" t="str">
        <f>IF($F82="","",IF($J82="","",IF('Graph values'!$BA78="","",$J82*$F82%)))</f>
        <v/>
      </c>
      <c r="N82" s="287" t="str">
        <f>IF($G82="","",IF($J82="","",IF('Graph values'!$BA78="","",$J82*$G82%)))</f>
        <v/>
      </c>
    </row>
    <row r="83" spans="1:14" ht="15.75" customHeight="1" x14ac:dyDescent="0.2">
      <c r="A83" s="143">
        <v>89</v>
      </c>
      <c r="B83" s="144">
        <f>IF(Std!C92=0,"",Std!C92)</f>
        <v>64.704553286343909</v>
      </c>
      <c r="C83" s="144" t="str">
        <f>IF('Input Laying'!X87=0,"",'Input Laying'!X87)</f>
        <v/>
      </c>
      <c r="D83" s="145">
        <f>IF('Graph values'!BA79=0,"",IF('Graph values'!BA79="","",(1-NORMSDIST(12.5-(12.5*$A$4/'Graph values'!BA79)))*100))</f>
        <v>1.1874881995491249</v>
      </c>
      <c r="E83" s="146">
        <f>IF('Graph values'!BA79=0,"",IF('Graph values'!BA79="","",(NORMSDIST(12.5-(12.5*$A$4/'Graph values'!BA79))-NORMSDIST(12.5-(12.5*$C$4/'Graph values'!BA79)))*100))</f>
        <v>35.909130310132028</v>
      </c>
      <c r="F83" s="146">
        <f>IF('Graph values'!BA79=0,"",IF('Graph values'!BA79="","",(NORMSDIST(12.5-(12.5*$C$4/'Graph values'!BA79))-NORMSDIST(12.5-(12.5*$E$4/'Graph values'!BA79)))*100))</f>
        <v>57.451816411402</v>
      </c>
      <c r="G83" s="147">
        <f>IF('Graph values'!BA79=0,"",IF('Graph values'!BA79="","",100-SUM(D83:F83)))</f>
        <v>5.4515650789168433</v>
      </c>
      <c r="H83" s="143">
        <f t="shared" si="1"/>
        <v>36</v>
      </c>
      <c r="I83" s="143">
        <v>89</v>
      </c>
      <c r="J83" s="148" t="str">
        <f>IF('Input Laying'!N87=0,"",'Input Laying'!N87)</f>
        <v/>
      </c>
      <c r="K83" s="149" t="str">
        <f>IF($D83="","",IF($J83="","",IF('Graph values'!$BA79="","",$J83*$D83%)))</f>
        <v/>
      </c>
      <c r="L83" s="150" t="str">
        <f>IF($E83="","",IF($J83="","",IF('Graph values'!$BA79="","",$J83*$E83%)))</f>
        <v/>
      </c>
      <c r="M83" s="150" t="str">
        <f>IF($F83="","",IF($J83="","",IF('Graph values'!$BA79="","",$J83*$F83%)))</f>
        <v/>
      </c>
      <c r="N83" s="151" t="str">
        <f>IF($G83="","",IF($J83="","",IF('Graph values'!$BA79="","",$J83*$G83%)))</f>
        <v/>
      </c>
    </row>
    <row r="84" spans="1:14" ht="15.75" customHeight="1" thickBot="1" x14ac:dyDescent="0.25">
      <c r="A84" s="279">
        <v>90</v>
      </c>
      <c r="B84" s="280">
        <f>IF(Std!C93=0,"",Std!C93)</f>
        <v>64.735415004413568</v>
      </c>
      <c r="C84" s="280" t="str">
        <f>IF('Input Laying'!X88=0,"",'Input Laying'!X88)</f>
        <v/>
      </c>
      <c r="D84" s="281">
        <f>IF('Graph values'!BA80=0,"",IF('Graph values'!BA80="","",(1-NORMSDIST(12.5-(12.5*$A$4/'Graph values'!BA80)))*100))</f>
        <v>1.1724633712438148</v>
      </c>
      <c r="E84" s="282">
        <f>IF('Graph values'!BA80=0,"",IF('Graph values'!BA80="","",(NORMSDIST(12.5-(12.5*$A$4/'Graph values'!BA80))-NORMSDIST(12.5-(12.5*$C$4/'Graph values'!BA80)))*100))</f>
        <v>35.705106672033125</v>
      </c>
      <c r="F84" s="282">
        <f>IF('Graph values'!BA80=0,"",IF('Graph values'!BA80="","",(NORMSDIST(12.5-(12.5*$C$4/'Graph values'!BA80))-NORMSDIST(12.5-(12.5*$E$4/'Graph values'!BA80)))*100))</f>
        <v>57.596194937851934</v>
      </c>
      <c r="G84" s="283">
        <f>IF('Graph values'!BA80=0,"",IF('Graph values'!BA80="","",100-SUM(D84:F84)))</f>
        <v>5.5262350188711196</v>
      </c>
      <c r="H84" s="279">
        <f t="shared" si="1"/>
        <v>37</v>
      </c>
      <c r="I84" s="279">
        <v>90</v>
      </c>
      <c r="J84" s="284" t="str">
        <f>IF('Input Laying'!N88=0,"",'Input Laying'!N88)</f>
        <v/>
      </c>
      <c r="K84" s="285" t="str">
        <f>IF($D84="","",IF($J84="","",IF('Graph values'!$BA80="","",$J84*$D84%)))</f>
        <v/>
      </c>
      <c r="L84" s="286" t="str">
        <f>IF($E84="","",IF($J84="","",IF('Graph values'!$BA80="","",$J84*$E84%)))</f>
        <v/>
      </c>
      <c r="M84" s="286" t="str">
        <f>IF($F84="","",IF($J84="","",IF('Graph values'!$BA80="","",$J84*$F84%)))</f>
        <v/>
      </c>
      <c r="N84" s="287" t="str">
        <f>IF($G84="","",IF($J84="","",IF('Graph values'!$BA80="","",$J84*$G84%)))</f>
        <v/>
      </c>
    </row>
    <row r="85" spans="1:14" ht="15.75" hidden="1" customHeight="1" x14ac:dyDescent="0.2">
      <c r="A85" s="143">
        <v>91</v>
      </c>
      <c r="B85" s="144">
        <f>IF(Std!C94=0,"",Std!C94)</f>
        <v>64.766276722483241</v>
      </c>
      <c r="C85" s="144" t="str">
        <f>IF('Input Laying'!X89=0,"",'Input Laying'!X89)</f>
        <v/>
      </c>
      <c r="D85" s="145">
        <f>IF('Graph values'!BA81=0,"",IF('Graph values'!BA81="","",(1-NORMSDIST(12.5-(12.5*$A$4/'Graph values'!BA81)))*100))</f>
        <v>1.1576179002238507</v>
      </c>
      <c r="E85" s="146">
        <f>IF('Graph values'!BA81=0,"",IF('Graph values'!BA81="","",(NORMSDIST(12.5-(12.5*$A$4/'Graph values'!BA81))-NORMSDIST(12.5-(12.5*$C$4/'Graph values'!BA81)))*100))</f>
        <v>35.501537306653489</v>
      </c>
      <c r="F85" s="146">
        <f>IF('Graph values'!BA81=0,"",IF('Graph values'!BA81="","",(NORMSDIST(12.5-(12.5*$C$4/'Graph values'!BA81))-NORMSDIST(12.5-(12.5*$E$4/'Graph values'!BA81)))*100))</f>
        <v>57.739206693666304</v>
      </c>
      <c r="G85" s="147">
        <f>IF('Graph values'!BA81=0,"",IF('Graph values'!BA81="","",100-SUM(D85:F85)))</f>
        <v>5.6016380994563519</v>
      </c>
      <c r="H85" s="143">
        <f t="shared" si="1"/>
        <v>38</v>
      </c>
      <c r="I85" s="143">
        <v>91</v>
      </c>
      <c r="J85" s="148" t="str">
        <f>IF('Input Laying'!N89=0,"",'Input Laying'!N89)</f>
        <v/>
      </c>
      <c r="K85" s="149" t="str">
        <f>IF($D85="","",IF($J85="","",IF('Graph values'!$BA81="","",$J85*$D85%)))</f>
        <v/>
      </c>
      <c r="L85" s="150" t="str">
        <f>IF($E85="","",IF($J85="","",IF('Graph values'!$BA81="","",$J85*$E85%)))</f>
        <v/>
      </c>
      <c r="M85" s="150" t="str">
        <f>IF($F85="","",IF($J85="","",IF('Graph values'!$BA81="","",$J85*$F85%)))</f>
        <v/>
      </c>
      <c r="N85" s="151" t="str">
        <f>IF($G85="","",IF($J85="","",IF('Graph values'!$BA81="","",$J85*$G85%)))</f>
        <v/>
      </c>
    </row>
    <row r="86" spans="1:14" ht="15.75" hidden="1" customHeight="1" x14ac:dyDescent="0.2">
      <c r="A86" s="279">
        <v>92</v>
      </c>
      <c r="B86" s="280">
        <f>IF(Std!C95=0,"",Std!C95)</f>
        <v>64.797138440552899</v>
      </c>
      <c r="C86" s="280" t="str">
        <f>IF('Input Laying'!X90=0,"",'Input Laying'!X90)</f>
        <v/>
      </c>
      <c r="D86" s="281">
        <f>IF('Graph values'!BA82=0,"",IF('Graph values'!BA82="","",(1-NORMSDIST(12.5-(12.5*$A$4/'Graph values'!BA82)))*100))</f>
        <v>1.142949832912743</v>
      </c>
      <c r="E86" s="282">
        <f>IF('Graph values'!BA82=0,"",IF('Graph values'!BA82="","",(NORMSDIST(12.5-(12.5*$A$4/'Graph values'!BA82))-NORMSDIST(12.5-(12.5*$C$4/'Graph values'!BA82)))*100))</f>
        <v>35.298429146749967</v>
      </c>
      <c r="F86" s="282">
        <f>IF('Graph values'!BA82=0,"",IF('Graph values'!BA82="","",(NORMSDIST(12.5-(12.5*$C$4/'Graph values'!BA82))-NORMSDIST(12.5-(12.5*$E$4/'Graph values'!BA82)))*100))</f>
        <v>57.880843678264036</v>
      </c>
      <c r="G86" s="283">
        <f>IF('Graph values'!BA82=0,"",IF('Graph values'!BA82="","",100-SUM(D86:F86)))</f>
        <v>5.6777773420732558</v>
      </c>
      <c r="H86" s="279">
        <f t="shared" si="1"/>
        <v>39</v>
      </c>
      <c r="I86" s="279">
        <v>92</v>
      </c>
      <c r="J86" s="284" t="str">
        <f>IF('Input Laying'!N90=0,"",'Input Laying'!N90)</f>
        <v/>
      </c>
      <c r="K86" s="285" t="str">
        <f>IF($D86="","",IF($J86="","",IF('Graph values'!$BA82="","",$J86*$D86%)))</f>
        <v/>
      </c>
      <c r="L86" s="286" t="str">
        <f>IF($E86="","",IF($J86="","",IF('Graph values'!$BA82="","",$J86*$E86%)))</f>
        <v/>
      </c>
      <c r="M86" s="286" t="str">
        <f>IF($F86="","",IF($J86="","",IF('Graph values'!$BA82="","",$J86*$F86%)))</f>
        <v/>
      </c>
      <c r="N86" s="287" t="str">
        <f>IF($G86="","",IF($J86="","",IF('Graph values'!$BA82="","",$J86*$G86%)))</f>
        <v/>
      </c>
    </row>
    <row r="87" spans="1:14" ht="15.75" hidden="1" customHeight="1" x14ac:dyDescent="0.2">
      <c r="A87" s="143">
        <v>93</v>
      </c>
      <c r="B87" s="144">
        <f>IF(Std!C96=0,"",Std!C96)</f>
        <v>64.828000158622558</v>
      </c>
      <c r="C87" s="144" t="str">
        <f>IF('Input Laying'!X91=0,"",'Input Laying'!X91)</f>
        <v/>
      </c>
      <c r="D87" s="145">
        <f>IF('Graph values'!BA83=0,"",IF('Graph values'!BA83="","",(1-NORMSDIST(12.5-(12.5*$A$4/'Graph values'!BA83)))*100))</f>
        <v>1.128457233811786</v>
      </c>
      <c r="E87" s="146">
        <f>IF('Graph values'!BA83=0,"",IF('Graph values'!BA83="","",(NORMSDIST(12.5-(12.5*$A$4/'Graph values'!BA83))-NORMSDIST(12.5-(12.5*$C$4/'Graph values'!BA83)))*100))</f>
        <v>35.09578903238981</v>
      </c>
      <c r="F87" s="146">
        <f>IF('Graph values'!BA83=0,"",IF('Graph values'!BA83="","",(NORMSDIST(12.5-(12.5*$C$4/'Graph values'!BA83))-NORMSDIST(12.5-(12.5*$E$4/'Graph values'!BA83)))*100))</f>
        <v>58.021098006346058</v>
      </c>
      <c r="G87" s="147">
        <f>IF('Graph values'!BA83=0,"",IF('Graph values'!BA83="","",100-SUM(D87:F87)))</f>
        <v>5.7546557274523451</v>
      </c>
      <c r="H87" s="143">
        <f t="shared" si="1"/>
        <v>40</v>
      </c>
      <c r="I87" s="143">
        <v>93</v>
      </c>
      <c r="J87" s="148" t="str">
        <f>IF('Input Laying'!N91=0,"",'Input Laying'!N91)</f>
        <v/>
      </c>
      <c r="K87" s="149" t="str">
        <f>IF($D87="","",IF($J87="","",IF('Graph values'!$BA83="","",$J87*$D87%)))</f>
        <v/>
      </c>
      <c r="L87" s="150" t="str">
        <f>IF($E87="","",IF($J87="","",IF('Graph values'!$BA83="","",$J87*$E87%)))</f>
        <v/>
      </c>
      <c r="M87" s="150" t="str">
        <f>IF($F87="","",IF($J87="","",IF('Graph values'!$BA83="","",$J87*$F87%)))</f>
        <v/>
      </c>
      <c r="N87" s="151" t="str">
        <f>IF($G87="","",IF($J87="","",IF('Graph values'!$BA83="","",$J87*$G87%)))</f>
        <v/>
      </c>
    </row>
    <row r="88" spans="1:14" ht="15.75" hidden="1" customHeight="1" x14ac:dyDescent="0.2">
      <c r="A88" s="279">
        <v>94</v>
      </c>
      <c r="B88" s="280">
        <f>IF(Std!C97=0,"",Std!C97)</f>
        <v>64.858861876692231</v>
      </c>
      <c r="C88" s="280" t="str">
        <f>IF('Input Laying'!X92=0,"",'Input Laying'!X92)</f>
        <v/>
      </c>
      <c r="D88" s="281">
        <f>IF('Graph values'!BA84=0,"",IF('Graph values'!BA84="","",(1-NORMSDIST(12.5-(12.5*$A$4/'Graph values'!BA84)))*100))</f>
        <v>1.1141381853873478</v>
      </c>
      <c r="E88" s="282">
        <f>IF('Graph values'!BA84=0,"",IF('Graph values'!BA84="","",(NORMSDIST(12.5-(12.5*$A$4/'Graph values'!BA84))-NORMSDIST(12.5-(12.5*$C$4/'Graph values'!BA84)))*100))</f>
        <v>34.893623711061416</v>
      </c>
      <c r="F88" s="282">
        <f>IF('Graph values'!BA84=0,"",IF('Graph values'!BA84="","",(NORMSDIST(12.5-(12.5*$C$4/'Graph values'!BA84))-NORMSDIST(12.5-(12.5*$E$4/'Graph values'!BA84)))*100))</f>
        <v>58.159961908497806</v>
      </c>
      <c r="G88" s="283">
        <f>IF('Graph values'!BA84=0,"",IF('Graph values'!BA84="","",100-SUM(D88:F88)))</f>
        <v>5.8322761950534243</v>
      </c>
      <c r="H88" s="279">
        <f t="shared" si="1"/>
        <v>41</v>
      </c>
      <c r="I88" s="279">
        <v>94</v>
      </c>
      <c r="J88" s="284" t="str">
        <f>IF('Input Laying'!N92=0,"",'Input Laying'!N92)</f>
        <v/>
      </c>
      <c r="K88" s="285" t="str">
        <f>IF($D88="","",IF($J88="","",IF('Graph values'!$BA84="","",$J88*$D88%)))</f>
        <v/>
      </c>
      <c r="L88" s="286" t="str">
        <f>IF($E88="","",IF($J88="","",IF('Graph values'!$BA84="","",$J88*$E88%)))</f>
        <v/>
      </c>
      <c r="M88" s="286" t="str">
        <f>IF($F88="","",IF($J88="","",IF('Graph values'!$BA84="","",$J88*$F88%)))</f>
        <v/>
      </c>
      <c r="N88" s="287" t="str">
        <f>IF($G88="","",IF($J88="","",IF('Graph values'!$BA84="","",$J88*$G88%)))</f>
        <v/>
      </c>
    </row>
    <row r="89" spans="1:14" ht="15.75" hidden="1" customHeight="1" x14ac:dyDescent="0.2">
      <c r="A89" s="143">
        <v>95</v>
      </c>
      <c r="B89" s="144">
        <f>IF(Std!C98=0,"",Std!C98)</f>
        <v>64.88972359476189</v>
      </c>
      <c r="C89" s="144" t="str">
        <f>IF('Input Laying'!X93=0,"",'Input Laying'!X93)</f>
        <v/>
      </c>
      <c r="D89" s="145">
        <f>IF('Graph values'!BA85=0,"",IF('Graph values'!BA85="","",(1-NORMSDIST(12.5-(12.5*$A$4/'Graph values'!BA85)))*100))</f>
        <v>1.0999907879578497</v>
      </c>
      <c r="E89" s="146">
        <f>IF('Graph values'!BA85=0,"",IF('Graph values'!BA85="","",(NORMSDIST(12.5-(12.5*$A$4/'Graph values'!BA85))-NORMSDIST(12.5-(12.5*$C$4/'Graph values'!BA85)))*100))</f>
        <v>34.691939837795552</v>
      </c>
      <c r="F89" s="146">
        <f>IF('Graph values'!BA85=0,"",IF('Graph values'!BA85="","",(NORMSDIST(12.5-(12.5*$C$4/'Graph values'!BA85))-NORMSDIST(12.5-(12.5*$E$4/'Graph values'!BA85)))*100))</f>
        <v>58.297427731776672</v>
      </c>
      <c r="G89" s="147">
        <f>IF('Graph values'!BA85=0,"",IF('Graph values'!BA85="","",100-SUM(D89:F89)))</f>
        <v>5.9106416424699262</v>
      </c>
      <c r="H89" s="143">
        <f t="shared" si="1"/>
        <v>42</v>
      </c>
      <c r="I89" s="143">
        <v>95</v>
      </c>
      <c r="J89" s="148" t="str">
        <f>IF('Input Laying'!N93=0,"",'Input Laying'!N93)</f>
        <v/>
      </c>
      <c r="K89" s="149" t="str">
        <f>IF($D89="","",IF($J89="","",IF('Graph values'!$BA85="","",$J89*$D89%)))</f>
        <v/>
      </c>
      <c r="L89" s="150" t="str">
        <f>IF($E89="","",IF($J89="","",IF('Graph values'!$BA85="","",$J89*$E89%)))</f>
        <v/>
      </c>
      <c r="M89" s="150" t="str">
        <f>IF($F89="","",IF($J89="","",IF('Graph values'!$BA85="","",$J89*$F89%)))</f>
        <v/>
      </c>
      <c r="N89" s="151" t="str">
        <f>IF($G89="","",IF($J89="","",IF('Graph values'!$BA85="","",$J89*$G89%)))</f>
        <v/>
      </c>
    </row>
    <row r="90" spans="1:14" ht="15.75" hidden="1" customHeight="1" x14ac:dyDescent="0.2">
      <c r="A90" s="279">
        <v>96</v>
      </c>
      <c r="B90" s="280">
        <f>IF(Std!C99=0,"",Std!C99)</f>
        <v>64.920585312831548</v>
      </c>
      <c r="C90" s="280" t="str">
        <f>IF('Input Laying'!X94=0,"",'Input Laying'!X94)</f>
        <v/>
      </c>
      <c r="D90" s="281">
        <f>IF('Graph values'!BA86=0,"",IF('Graph values'!BA86="","",(1-NORMSDIST(12.5-(12.5*$A$4/'Graph values'!BA86)))*100))</f>
        <v>1.0860131595804345</v>
      </c>
      <c r="E90" s="282">
        <f>IF('Graph values'!BA86=0,"",IF('Graph values'!BA86="","",(NORMSDIST(12.5-(12.5*$A$4/'Graph values'!BA86))-NORMSDIST(12.5-(12.5*$C$4/'Graph values'!BA86)))*100))</f>
        <v>34.490743975298543</v>
      </c>
      <c r="F90" s="282">
        <f>IF('Graph values'!BA86=0,"",IF('Graph values'!BA86="","",(NORMSDIST(12.5-(12.5*$C$4/'Graph values'!BA86))-NORMSDIST(12.5-(12.5*$E$4/'Graph values'!BA86)))*100))</f>
        <v>58.433487940282745</v>
      </c>
      <c r="G90" s="283">
        <f>IF('Graph values'!BA86=0,"",IF('Graph values'!BA86="","",100-SUM(D90:F90)))</f>
        <v>5.9897549248382802</v>
      </c>
      <c r="H90" s="279">
        <f t="shared" si="1"/>
        <v>43</v>
      </c>
      <c r="I90" s="279">
        <v>96</v>
      </c>
      <c r="J90" s="284" t="str">
        <f>IF('Input Laying'!N94=0,"",'Input Laying'!N94)</f>
        <v/>
      </c>
      <c r="K90" s="285" t="str">
        <f>IF($D90="","",IF($J90="","",IF('Graph values'!$BA86="","",$J90*$D90%)))</f>
        <v/>
      </c>
      <c r="L90" s="286" t="str">
        <f>IF($E90="","",IF($J90="","",IF('Graph values'!$BA86="","",$J90*$E90%)))</f>
        <v/>
      </c>
      <c r="M90" s="286" t="str">
        <f>IF($F90="","",IF($J90="","",IF('Graph values'!$BA86="","",$J90*$F90%)))</f>
        <v/>
      </c>
      <c r="N90" s="287" t="str">
        <f>IF($G90="","",IF($J90="","",IF('Graph values'!$BA86="","",$J90*$G90%)))</f>
        <v/>
      </c>
    </row>
    <row r="91" spans="1:14" ht="15.75" hidden="1" customHeight="1" x14ac:dyDescent="0.2">
      <c r="A91" s="143">
        <v>97</v>
      </c>
      <c r="B91" s="144">
        <f>IF(Std!C100=0,"",Std!C100)</f>
        <v>64.951447030901221</v>
      </c>
      <c r="C91" s="144" t="str">
        <f>IF('Input Laying'!X95=0,"",'Input Laying'!X95)</f>
        <v/>
      </c>
      <c r="D91" s="145">
        <f>IF('Graph values'!BA87=0,"",IF('Graph values'!BA87="","",(1-NORMSDIST(12.5-(12.5*$A$4/'Graph values'!BA87)))*100))</f>
        <v>1.0722034359375354</v>
      </c>
      <c r="E91" s="146">
        <f>IF('Graph values'!BA87=0,"",IF('Graph values'!BA87="","",(NORMSDIST(12.5-(12.5*$A$4/'Graph values'!BA87))-NORMSDIST(12.5-(12.5*$C$4/'Graph values'!BA87)))*100))</f>
        <v>34.290042594095802</v>
      </c>
      <c r="F91" s="146">
        <f>IF('Graph values'!BA87=0,"",IF('Graph values'!BA87="","",(NORMSDIST(12.5-(12.5*$C$4/'Graph values'!BA87))-NORMSDIST(12.5-(12.5*$E$4/'Graph values'!BA87)))*100))</f>
        <v>58.568135115714568</v>
      </c>
      <c r="G91" s="147">
        <f>IF('Graph values'!BA87=0,"",IF('Graph values'!BA87="","",100-SUM(D91:F91)))</f>
        <v>6.0696188542520986</v>
      </c>
      <c r="H91" s="143">
        <f t="shared" si="1"/>
        <v>44</v>
      </c>
      <c r="I91" s="143">
        <v>97</v>
      </c>
      <c r="J91" s="148" t="str">
        <f>IF('Input Laying'!N95=0,"",'Input Laying'!N95)</f>
        <v/>
      </c>
      <c r="K91" s="149" t="str">
        <f>IF($D91="","",IF($J91="","",IF('Graph values'!$BA87="","",$J91*$D91%)))</f>
        <v/>
      </c>
      <c r="L91" s="150" t="str">
        <f>IF($E91="","",IF($J91="","",IF('Graph values'!$BA87="","",$J91*$E91%)))</f>
        <v/>
      </c>
      <c r="M91" s="150" t="str">
        <f>IF($F91="","",IF($J91="","",IF('Graph values'!$BA87="","",$J91*$F91%)))</f>
        <v/>
      </c>
      <c r="N91" s="151" t="str">
        <f>IF($G91="","",IF($J91="","",IF('Graph values'!$BA87="","",$J91*$G91%)))</f>
        <v/>
      </c>
    </row>
    <row r="92" spans="1:14" ht="15.75" hidden="1" customHeight="1" x14ac:dyDescent="0.2">
      <c r="A92" s="279">
        <v>98</v>
      </c>
      <c r="B92" s="280">
        <f>IF(Std!C101=0,"",Std!C101)</f>
        <v>64.98230874897088</v>
      </c>
      <c r="C92" s="280" t="str">
        <f>IF('Input Laying'!X96=0,"",'Input Laying'!X96)</f>
        <v/>
      </c>
      <c r="D92" s="281">
        <f>IF('Graph values'!BA88=0,"",IF('Graph values'!BA88="","",(1-NORMSDIST(12.5-(12.5*$A$4/'Graph values'!BA88)))*100))</f>
        <v>1.0585597702230776</v>
      </c>
      <c r="E92" s="282">
        <f>IF('Graph values'!BA88=0,"",IF('Graph values'!BA88="","",(NORMSDIST(12.5-(12.5*$A$4/'Graph values'!BA88))-NORMSDIST(12.5-(12.5*$C$4/'Graph values'!BA88)))*100))</f>
        <v>34.089842072687681</v>
      </c>
      <c r="F92" s="282">
        <f>IF('Graph values'!BA88=0,"",IF('Graph values'!BA88="","",(NORMSDIST(12.5-(12.5*$C$4/'Graph values'!BA88))-NORMSDIST(12.5-(12.5*$E$4/'Graph values'!BA88)))*100))</f>
        <v>58.701361957907928</v>
      </c>
      <c r="G92" s="283">
        <f>IF('Graph values'!BA88=0,"",IF('Graph values'!BA88="","",100-SUM(D92:F92)))</f>
        <v>6.1502361991813075</v>
      </c>
      <c r="H92" s="279">
        <f t="shared" si="1"/>
        <v>45</v>
      </c>
      <c r="I92" s="279">
        <v>98</v>
      </c>
      <c r="J92" s="284" t="str">
        <f>IF('Input Laying'!N96=0,"",'Input Laying'!N96)</f>
        <v/>
      </c>
      <c r="K92" s="285" t="str">
        <f>IF($D92="","",IF($J92="","",IF('Graph values'!$BA88="","",$J92*$D92%)))</f>
        <v/>
      </c>
      <c r="L92" s="286" t="str">
        <f>IF($E92="","",IF($J92="","",IF('Graph values'!$BA88="","",$J92*$E92%)))</f>
        <v/>
      </c>
      <c r="M92" s="286" t="str">
        <f>IF($F92="","",IF($J92="","",IF('Graph values'!$BA88="","",$J92*$F92%)))</f>
        <v/>
      </c>
      <c r="N92" s="287" t="str">
        <f>IF($G92="","",IF($J92="","",IF('Graph values'!$BA88="","",$J92*$G92%)))</f>
        <v/>
      </c>
    </row>
    <row r="93" spans="1:14" ht="15.75" hidden="1" customHeight="1" x14ac:dyDescent="0.2">
      <c r="A93" s="143">
        <v>99</v>
      </c>
      <c r="B93" s="144">
        <f>IF(Std!C102=0,"",Std!C102)</f>
        <v>65.013170467040538</v>
      </c>
      <c r="C93" s="144" t="str">
        <f>IF('Input Laying'!X97=0,"",'Input Laying'!X97)</f>
        <v/>
      </c>
      <c r="D93" s="145">
        <f>IF('Graph values'!BA89=0,"",IF('Graph values'!BA89="","",(1-NORMSDIST(12.5-(12.5*$A$4/'Graph values'!BA89)))*100))</f>
        <v>1.0450803330285807</v>
      </c>
      <c r="E93" s="146">
        <f>IF('Graph values'!BA89=0,"",IF('Graph values'!BA89="","",(NORMSDIST(12.5-(12.5*$A$4/'Graph values'!BA89))-NORMSDIST(12.5-(12.5*$C$4/'Graph values'!BA89)))*100))</f>
        <v>33.890148697714309</v>
      </c>
      <c r="F93" s="146">
        <f>IF('Graph values'!BA89=0,"",IF('Graph values'!BA89="","",(NORMSDIST(12.5-(12.5*$C$4/'Graph values'!BA89))-NORMSDIST(12.5-(12.5*$E$4/'Graph values'!BA89)))*100))</f>
        <v>58.833161285359914</v>
      </c>
      <c r="G93" s="147">
        <f>IF('Graph values'!BA89=0,"",IF('Graph values'!BA89="","",100-SUM(D93:F93)))</f>
        <v>6.2316096838972044</v>
      </c>
      <c r="H93" s="143">
        <f t="shared" si="1"/>
        <v>46</v>
      </c>
      <c r="I93" s="143">
        <v>99</v>
      </c>
      <c r="J93" s="148" t="str">
        <f>IF('Input Laying'!N97=0,"",'Input Laying'!N97)</f>
        <v/>
      </c>
      <c r="K93" s="149" t="str">
        <f>IF($D93="","",IF($J93="","",IF('Graph values'!$BA89="","",$J93*$D93%)))</f>
        <v/>
      </c>
      <c r="L93" s="150" t="str">
        <f>IF($E93="","",IF($J93="","",IF('Graph values'!$BA89="","",$J93*$E93%)))</f>
        <v/>
      </c>
      <c r="M93" s="150" t="str">
        <f>IF($F93="","",IF($J93="","",IF('Graph values'!$BA89="","",$J93*$F93%)))</f>
        <v/>
      </c>
      <c r="N93" s="151" t="str">
        <f>IF($G93="","",IF($J93="","",IF('Graph values'!$BA89="","",$J93*$G93%)))</f>
        <v/>
      </c>
    </row>
    <row r="94" spans="1:14" ht="15.75" hidden="1" customHeight="1" thickBot="1" x14ac:dyDescent="0.25">
      <c r="A94" s="288">
        <v>100</v>
      </c>
      <c r="B94" s="280">
        <f>IF(Std!C103=0,"",Std!C103)</f>
        <v>65.044032185110211</v>
      </c>
      <c r="C94" s="280" t="str">
        <f>IF('Input Laying'!X98=0,"",'Input Laying'!X98)</f>
        <v/>
      </c>
      <c r="D94" s="289">
        <f>IF('Graph values'!BA90=0,"",IF('Graph values'!BA90="","",(1-NORMSDIST(12.5-(12.5*$A$4/'Graph values'!BA90)))*100))</f>
        <v>1.0317633122290837</v>
      </c>
      <c r="E94" s="290">
        <f>IF('Graph values'!BA90=0,"",IF('Graph values'!BA90="","",(NORMSDIST(12.5-(12.5*$A$4/'Graph values'!BA90))-NORMSDIST(12.5-(12.5*$C$4/'Graph values'!BA90)))*100))</f>
        <v>33.69096866413264</v>
      </c>
      <c r="F94" s="290">
        <f>IF('Graph values'!BA90=0,"",IF('Graph values'!BA90="","",(NORMSDIST(12.5-(12.5*$C$4/'Graph values'!BA90))-NORMSDIST(12.5-(12.5*$E$4/'Graph values'!BA90)))*100))</f>
        <v>58.963526035736301</v>
      </c>
      <c r="G94" s="291">
        <f>IF('Graph values'!BA90=0,"",IF('Graph values'!BA90="","",100-SUM(D94:F94)))</f>
        <v>6.3137419879019774</v>
      </c>
      <c r="H94" s="288">
        <f t="shared" si="1"/>
        <v>47</v>
      </c>
      <c r="I94" s="288">
        <v>100</v>
      </c>
      <c r="J94" s="292" t="str">
        <f>IF('Input Laying'!N98=0,"",'Input Laying'!N98)</f>
        <v/>
      </c>
      <c r="K94" s="293" t="str">
        <f>IF($D94="","",IF($J94="","",IF('Graph values'!$BA90="","",$J94*$D94%)))</f>
        <v/>
      </c>
      <c r="L94" s="294" t="str">
        <f>IF($E94="","",IF($J94="","",IF('Graph values'!$BA90="","",$J94*$E94%)))</f>
        <v/>
      </c>
      <c r="M94" s="294" t="str">
        <f>IF($F94="","",IF($J94="","",IF('Graph values'!$BA90="","",$J94*$F94%)))</f>
        <v/>
      </c>
      <c r="N94" s="295" t="str">
        <f>IF($G94="","",IF($J94="","",IF('Graph values'!$BA90="","",$J94*$G94%)))</f>
        <v/>
      </c>
    </row>
    <row r="95" spans="1:14" ht="33.75" customHeight="1" x14ac:dyDescent="0.2">
      <c r="A95" s="706" t="str">
        <f>Language!B166</f>
        <v>Average weight distribution over the whole production (%)</v>
      </c>
      <c r="B95" s="708"/>
      <c r="C95" s="710"/>
      <c r="D95" s="704" t="e">
        <f>K95/SUM($K$95:$N$96)</f>
        <v>#DIV/0!</v>
      </c>
      <c r="E95" s="704" t="e">
        <f>L95/SUM($K$95:$N$96)</f>
        <v>#DIV/0!</v>
      </c>
      <c r="F95" s="704" t="e">
        <f>M95/SUM($K$95:$N$96)</f>
        <v>#DIV/0!</v>
      </c>
      <c r="G95" s="704" t="e">
        <f>N95/SUM($K$95:$N$96)</f>
        <v>#DIV/0!</v>
      </c>
      <c r="H95" s="706" t="str">
        <f>Language!B159</f>
        <v>Percentage grade</v>
      </c>
      <c r="I95" s="708"/>
      <c r="J95" s="710"/>
      <c r="K95" s="698">
        <f>SUM(K12:K94)</f>
        <v>0</v>
      </c>
      <c r="L95" s="700">
        <f>SUM(L12:L94)</f>
        <v>0</v>
      </c>
      <c r="M95" s="700">
        <f>SUM(M12:M94)</f>
        <v>0</v>
      </c>
      <c r="N95" s="702">
        <f>SUM(N12:N94)</f>
        <v>0</v>
      </c>
    </row>
    <row r="96" spans="1:14" ht="33.75" customHeight="1" thickBot="1" x14ac:dyDescent="0.25">
      <c r="A96" s="707"/>
      <c r="B96" s="709"/>
      <c r="C96" s="711"/>
      <c r="D96" s="705"/>
      <c r="E96" s="705"/>
      <c r="F96" s="705"/>
      <c r="G96" s="705"/>
      <c r="H96" s="707"/>
      <c r="I96" s="709"/>
      <c r="J96" s="711"/>
      <c r="K96" s="699"/>
      <c r="L96" s="701"/>
      <c r="M96" s="701"/>
      <c r="N96" s="703"/>
    </row>
  </sheetData>
  <sheetProtection selectLockedCells="1"/>
  <dataConsolidate link="1"/>
  <mergeCells count="38">
    <mergeCell ref="J1:AB4"/>
    <mergeCell ref="A1:B1"/>
    <mergeCell ref="C1:D1"/>
    <mergeCell ref="E1:F1"/>
    <mergeCell ref="A5:G5"/>
    <mergeCell ref="H5:N5"/>
    <mergeCell ref="E4:F4"/>
    <mergeCell ref="A2:B2"/>
    <mergeCell ref="C2:D2"/>
    <mergeCell ref="A3:B3"/>
    <mergeCell ref="C3:D3"/>
    <mergeCell ref="E2:F2"/>
    <mergeCell ref="E3:F3"/>
    <mergeCell ref="H6:H9"/>
    <mergeCell ref="I6:I9"/>
    <mergeCell ref="J6:J9"/>
    <mergeCell ref="K6:N6"/>
    <mergeCell ref="D6:G6"/>
    <mergeCell ref="B6:C6"/>
    <mergeCell ref="B7:B9"/>
    <mergeCell ref="A6:A9"/>
    <mergeCell ref="A4:B4"/>
    <mergeCell ref="C4:D4"/>
    <mergeCell ref="C7:C9"/>
    <mergeCell ref="A95:A96"/>
    <mergeCell ref="B95:B96"/>
    <mergeCell ref="C95:C96"/>
    <mergeCell ref="D95:D96"/>
    <mergeCell ref="E95:E96"/>
    <mergeCell ref="K95:K96"/>
    <mergeCell ref="L95:L96"/>
    <mergeCell ref="M95:M96"/>
    <mergeCell ref="N95:N96"/>
    <mergeCell ref="F95:F96"/>
    <mergeCell ref="G95:G96"/>
    <mergeCell ref="H95:H96"/>
    <mergeCell ref="I95:I96"/>
    <mergeCell ref="J95:J96"/>
  </mergeCells>
  <dataValidations disablePrompts="1" count="1">
    <dataValidation type="list" allowBlank="1" showInputMessage="1" showErrorMessage="1" sqref="A4 C4 E4" xr:uid="{00000000-0002-0000-0E00-000000000000}">
      <formula1>GRADINGS</formula1>
    </dataValidation>
  </dataValidations>
  <pageMargins left="0.7" right="0.7" top="0.75" bottom="0.75" header="0.3" footer="0.3"/>
  <pageSetup paperSize="9" scale="4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04">
    <tabColor theme="0" tint="-0.499984740745262"/>
    <pageSetUpPr fitToPage="1"/>
  </sheetPr>
  <dimension ref="A1:V97"/>
  <sheetViews>
    <sheetView showGridLines="0" zoomScale="85" zoomScaleNormal="85" workbookViewId="0">
      <pane ySplit="13" topLeftCell="A14" activePane="bottomLeft" state="frozen"/>
      <selection pane="bottomLeft" activeCell="H1" sqref="H1"/>
    </sheetView>
  </sheetViews>
  <sheetFormatPr defaultColWidth="10.7109375" defaultRowHeight="15.75" customHeight="1" x14ac:dyDescent="0.2"/>
  <cols>
    <col min="1" max="1" width="15.7109375" style="14" customWidth="1"/>
    <col min="2" max="3" width="10.7109375" style="14"/>
    <col min="4" max="4" width="10.7109375" style="14" customWidth="1"/>
    <col min="5" max="10" width="10.7109375" style="14"/>
    <col min="11" max="11" width="10.7109375" style="14" customWidth="1"/>
    <col min="12" max="13" width="10.7109375" style="14"/>
    <col min="14" max="14" width="10.7109375" style="14" customWidth="1"/>
    <col min="15" max="16384" width="10.7109375" style="14"/>
  </cols>
  <sheetData>
    <row r="1" spans="1:22" ht="15.75" customHeight="1" x14ac:dyDescent="0.2">
      <c r="A1" s="739" t="str">
        <f>Language!B101</f>
        <v>Farm name:</v>
      </c>
      <c r="B1" s="740"/>
      <c r="C1" s="766" t="str">
        <f>IF('General Input'!B20="","",'General Input'!B20)</f>
        <v/>
      </c>
      <c r="D1" s="767"/>
      <c r="E1" s="767"/>
      <c r="F1" s="767"/>
      <c r="G1" s="768"/>
      <c r="K1" s="729" t="str">
        <f>Language!B168&amp;" - "&amp;Std!B1</f>
        <v>Production costs - ISA BROWN Baiada ALT 2021</v>
      </c>
      <c r="L1" s="729"/>
      <c r="M1" s="729"/>
      <c r="N1" s="729"/>
      <c r="O1" s="729"/>
      <c r="P1" s="729"/>
      <c r="Q1" s="729"/>
      <c r="R1" s="729"/>
      <c r="S1" s="729"/>
      <c r="T1" s="729"/>
      <c r="U1" s="729"/>
      <c r="V1" s="329"/>
    </row>
    <row r="2" spans="1:22" ht="15.75" customHeight="1" x14ac:dyDescent="0.2">
      <c r="A2" s="741" t="str">
        <f>Language!B102</f>
        <v>House no. :</v>
      </c>
      <c r="B2" s="742"/>
      <c r="C2" s="763" t="str">
        <f>IF('General Input'!B21="","",'General Input'!B21)</f>
        <v/>
      </c>
      <c r="D2" s="764"/>
      <c r="E2" s="764"/>
      <c r="F2" s="764"/>
      <c r="G2" s="765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329"/>
    </row>
    <row r="3" spans="1:22" ht="15.75" customHeight="1" x14ac:dyDescent="0.2">
      <c r="A3" s="741" t="str">
        <f>Language!B103</f>
        <v>Hatch date:</v>
      </c>
      <c r="B3" s="742"/>
      <c r="C3" s="760">
        <f>'Input Laying'!G3</f>
        <v>0</v>
      </c>
      <c r="D3" s="761"/>
      <c r="E3" s="761"/>
      <c r="F3" s="761"/>
      <c r="G3" s="762"/>
      <c r="K3" s="729"/>
      <c r="L3" s="729"/>
      <c r="M3" s="729"/>
      <c r="N3" s="729"/>
      <c r="O3" s="729"/>
      <c r="P3" s="729"/>
      <c r="Q3" s="729"/>
      <c r="R3" s="729"/>
      <c r="S3" s="729"/>
      <c r="T3" s="729"/>
      <c r="U3" s="729"/>
      <c r="V3" s="329"/>
    </row>
    <row r="4" spans="1:22" ht="15.75" customHeight="1" x14ac:dyDescent="0.2">
      <c r="A4" s="741" t="str">
        <f>Language!B105</f>
        <v xml:space="preserve">Transfer date: </v>
      </c>
      <c r="B4" s="742"/>
      <c r="C4" s="760">
        <f>'Input Laying'!G5</f>
        <v>0</v>
      </c>
      <c r="D4" s="761"/>
      <c r="E4" s="761"/>
      <c r="F4" s="761"/>
      <c r="G4" s="762"/>
      <c r="K4" s="729"/>
      <c r="L4" s="729"/>
      <c r="M4" s="729"/>
      <c r="N4" s="729"/>
      <c r="O4" s="729"/>
      <c r="P4" s="729"/>
      <c r="Q4" s="729"/>
      <c r="R4" s="729"/>
      <c r="S4" s="729"/>
      <c r="T4" s="729"/>
      <c r="U4" s="729"/>
      <c r="V4" s="329"/>
    </row>
    <row r="5" spans="1:22" ht="15.75" customHeight="1" thickBot="1" x14ac:dyDescent="0.25">
      <c r="A5" s="743" t="str">
        <f>Language!B106</f>
        <v>Number of laying birds housed:</v>
      </c>
      <c r="B5" s="744"/>
      <c r="C5" s="757" t="str">
        <f>IF('Input Laying'!G6="","",'Input Laying'!G6)</f>
        <v/>
      </c>
      <c r="D5" s="758"/>
      <c r="E5" s="758"/>
      <c r="F5" s="758"/>
      <c r="G5" s="759"/>
      <c r="K5" s="729"/>
      <c r="L5" s="729"/>
      <c r="M5" s="729"/>
      <c r="N5" s="729"/>
      <c r="O5" s="729"/>
      <c r="P5" s="729"/>
      <c r="Q5" s="729"/>
      <c r="R5" s="729"/>
      <c r="S5" s="729"/>
      <c r="T5" s="729"/>
      <c r="U5" s="729"/>
    </row>
    <row r="6" spans="1:22" ht="15.75" customHeight="1" x14ac:dyDescent="0.2">
      <c r="A6" s="745" t="str">
        <f>Language!B169</f>
        <v>Date</v>
      </c>
      <c r="B6" s="745" t="str">
        <f>Language!B170</f>
        <v>Age in weeks</v>
      </c>
      <c r="C6" s="748" t="str">
        <f>Language!B171</f>
        <v>Feed consumption</v>
      </c>
      <c r="D6" s="749"/>
      <c r="E6" s="748" t="str">
        <f>CONCATENATE(Language!B174," ",'General Input'!$B$23,Language!B175)</f>
        <v>Feed price /ton</v>
      </c>
      <c r="F6" s="749"/>
      <c r="G6" s="748" t="str">
        <f>CONCATENATE(Language!B174," ",'General Input'!$B$23,Language!B176)</f>
        <v>Feed price /egg</v>
      </c>
      <c r="H6" s="749"/>
      <c r="I6" s="748" t="str">
        <f>CONCATENATE(Language!B174," ",'General Input'!$B$23,Language!B177)</f>
        <v>Feed price /kg egg mass</v>
      </c>
      <c r="J6" s="749"/>
      <c r="K6" s="745" t="str">
        <f>CONCATENATE(Language!B179," ",'General Input'!$B$23,Language!B180)</f>
        <v>Feed cost /bird/day</v>
      </c>
      <c r="L6" s="9"/>
      <c r="M6" s="9"/>
      <c r="N6" s="9"/>
    </row>
    <row r="7" spans="1:22" ht="15.75" customHeight="1" x14ac:dyDescent="0.2">
      <c r="A7" s="746"/>
      <c r="B7" s="746"/>
      <c r="C7" s="750"/>
      <c r="D7" s="751"/>
      <c r="E7" s="750"/>
      <c r="F7" s="751"/>
      <c r="G7" s="750"/>
      <c r="H7" s="751"/>
      <c r="I7" s="750"/>
      <c r="J7" s="751"/>
      <c r="K7" s="746"/>
    </row>
    <row r="8" spans="1:22" ht="15.75" customHeight="1" x14ac:dyDescent="0.2">
      <c r="A8" s="746"/>
      <c r="B8" s="746"/>
      <c r="C8" s="750"/>
      <c r="D8" s="751"/>
      <c r="E8" s="750"/>
      <c r="F8" s="751"/>
      <c r="G8" s="750"/>
      <c r="H8" s="751"/>
      <c r="I8" s="750"/>
      <c r="J8" s="751"/>
      <c r="K8" s="746"/>
    </row>
    <row r="9" spans="1:22" ht="15.75" customHeight="1" x14ac:dyDescent="0.2">
      <c r="A9" s="746"/>
      <c r="B9" s="746"/>
      <c r="C9" s="750"/>
      <c r="D9" s="751"/>
      <c r="E9" s="750"/>
      <c r="F9" s="751"/>
      <c r="G9" s="750"/>
      <c r="H9" s="751"/>
      <c r="I9" s="750"/>
      <c r="J9" s="751"/>
      <c r="K9" s="746"/>
    </row>
    <row r="10" spans="1:22" ht="15.75" customHeight="1" x14ac:dyDescent="0.2">
      <c r="A10" s="746"/>
      <c r="B10" s="746"/>
      <c r="C10" s="752" t="str">
        <f>Language!B172</f>
        <v>Weekly (kg)</v>
      </c>
      <c r="D10" s="754" t="str">
        <f>Language!B173</f>
        <v>Cum (kg)</v>
      </c>
      <c r="E10" s="752" t="str">
        <f>Language!B182</f>
        <v>Weekly</v>
      </c>
      <c r="F10" s="754" t="str">
        <f>Language!B181</f>
        <v>Average feed price</v>
      </c>
      <c r="G10" s="752" t="str">
        <f>Language!B182</f>
        <v>Weekly</v>
      </c>
      <c r="H10" s="754" t="str">
        <f>Language!B178</f>
        <v>Cumulative average</v>
      </c>
      <c r="I10" s="752" t="str">
        <f>Language!B182</f>
        <v>Weekly</v>
      </c>
      <c r="J10" s="754" t="str">
        <f>Language!B178</f>
        <v>Cumulative average</v>
      </c>
      <c r="K10" s="746"/>
    </row>
    <row r="11" spans="1:22" ht="15.75" customHeight="1" x14ac:dyDescent="0.2">
      <c r="A11" s="746"/>
      <c r="B11" s="746"/>
      <c r="C11" s="752"/>
      <c r="D11" s="754"/>
      <c r="E11" s="752"/>
      <c r="F11" s="754"/>
      <c r="G11" s="752"/>
      <c r="H11" s="754"/>
      <c r="I11" s="752"/>
      <c r="J11" s="754"/>
      <c r="K11" s="746"/>
    </row>
    <row r="12" spans="1:22" ht="15.75" customHeight="1" thickBot="1" x14ac:dyDescent="0.25">
      <c r="A12" s="747"/>
      <c r="B12" s="747"/>
      <c r="C12" s="753"/>
      <c r="D12" s="755"/>
      <c r="E12" s="753"/>
      <c r="F12" s="755"/>
      <c r="G12" s="753"/>
      <c r="H12" s="755"/>
      <c r="I12" s="769"/>
      <c r="J12" s="756"/>
      <c r="K12" s="747"/>
    </row>
    <row r="13" spans="1:22" ht="15.75" hidden="1" customHeight="1" thickBot="1" x14ac:dyDescent="0.25">
      <c r="C13" s="20"/>
      <c r="I13" s="21"/>
      <c r="J13" s="16"/>
    </row>
    <row r="14" spans="1:22" ht="15.75" customHeight="1" x14ac:dyDescent="0.2">
      <c r="A14" s="313">
        <f t="shared" ref="A14:A45" si="0">$C$3+((B14*7)-7)</f>
        <v>112</v>
      </c>
      <c r="B14" s="175">
        <v>17</v>
      </c>
      <c r="C14" s="176" t="str">
        <f>IF(OR('Input Laying'!AD15=0,'Input Laying'!AD15=""),"",'Input Laying'!AD15-'Input Laying'!AE15)</f>
        <v/>
      </c>
      <c r="D14" s="177" t="str">
        <f>IF(OR('Input Laying'!AF15=0,'Input Laying'!AF15=""),"",'Input Laying'!AF15)</f>
        <v/>
      </c>
      <c r="E14" s="178" t="str">
        <f>IF(OR('Input Laying'!AC15=0,'Input Laying'!AC15=""),"",'Input Laying'!AC15)</f>
        <v/>
      </c>
      <c r="F14" s="179" t="str">
        <f>IF(C14="","",IF(E14="","",(C14*E14)/C14))</f>
        <v/>
      </c>
      <c r="G14" s="180" t="str">
        <f>IF(OR('Production data'!S14=0,'Production data'!S14="",E14=""),"",'Production data'!S14*(E14/1000/1000))</f>
        <v/>
      </c>
      <c r="H14" s="181" t="str">
        <f>IF(OR('Production data'!T14=0,'Production data'!T14="",F14=""),"",'Production data'!T14*F14/1000/1000)</f>
        <v/>
      </c>
      <c r="I14" s="178" t="str">
        <f>IF(OR('Production data'!U14=0,'Production data'!U14="",E14=""),"",'Production data'!U14*E14/1000)</f>
        <v/>
      </c>
      <c r="J14" s="182" t="str">
        <f>IF(OR('Production data'!V14=0,'Production data'!V14="",F14=""),"",'Production data'!V14*F14/1000)</f>
        <v/>
      </c>
      <c r="K14" s="183" t="str">
        <f>IF('Input Laying'!AC15=0,"",('Input Laying'!AD16-'Input Laying'!AE16)/'Input Laying'!D15/7*'Input Laying'!AC15/1000)</f>
        <v/>
      </c>
    </row>
    <row r="15" spans="1:22" ht="15.75" customHeight="1" x14ac:dyDescent="0.2">
      <c r="A15" s="314">
        <f t="shared" si="0"/>
        <v>119</v>
      </c>
      <c r="B15" s="271">
        <v>18</v>
      </c>
      <c r="C15" s="272" t="str">
        <f>IF(OR('Input Laying'!AD16=0,'Input Laying'!AD16=""),"",'Input Laying'!AD16-'Input Laying'!AE16)</f>
        <v/>
      </c>
      <c r="D15" s="273" t="str">
        <f>IF(OR('Input Laying'!AF16=0,'Input Laying'!AF16=""),"",'Input Laying'!AF16)</f>
        <v/>
      </c>
      <c r="E15" s="274" t="str">
        <f>IF(OR('Input Laying'!AC16=0,'Input Laying'!AC16=""),"",'Input Laying'!AC16)</f>
        <v/>
      </c>
      <c r="F15" s="275" t="str">
        <f>IF(OR(F14="",D14="",C15="",E15=""),"",((F14*D14)+(C15*E15))/(D15))</f>
        <v/>
      </c>
      <c r="G15" s="276" t="str">
        <f>IF(OR('Production data'!S15=0,'Production data'!S15="",E15=""),"",'Production data'!S15*(E15/1000/1000))</f>
        <v/>
      </c>
      <c r="H15" s="277" t="str">
        <f>IF(OR('Production data'!T15=0,'Production data'!T15="",F15=""),"",'Production data'!T15*F15/1000/1000)</f>
        <v/>
      </c>
      <c r="I15" s="274" t="str">
        <f>IF(OR('Production data'!U15=0,'Production data'!U15="",E15=""),"",'Production data'!U15*E15/1000)</f>
        <v/>
      </c>
      <c r="J15" s="275" t="str">
        <f>IF(OR('Production data'!V15=0,'Production data'!V15="",F15=""),"",'Production data'!V15*F15/1000)</f>
        <v/>
      </c>
      <c r="K15" s="278" t="str">
        <f>IF('Input Laying'!AC16=0,"",('Input Laying'!AD17-'Input Laying'!AE17)/'Input Laying'!D16/7*'Input Laying'!AC16/1000)</f>
        <v/>
      </c>
    </row>
    <row r="16" spans="1:22" ht="15.75" customHeight="1" x14ac:dyDescent="0.2">
      <c r="A16" s="315">
        <f t="shared" si="0"/>
        <v>126</v>
      </c>
      <c r="B16" s="184">
        <v>19</v>
      </c>
      <c r="C16" s="185" t="str">
        <f>IF(OR('Input Laying'!AD17=0,'Input Laying'!AD17=""),"",'Input Laying'!AD17-'Input Laying'!AE17)</f>
        <v/>
      </c>
      <c r="D16" s="186" t="str">
        <f>IF(OR('Input Laying'!AF17=0,'Input Laying'!AF17=""),"",'Input Laying'!AF17)</f>
        <v/>
      </c>
      <c r="E16" s="187" t="str">
        <f>IF(OR('Input Laying'!AC17=0,'Input Laying'!AC17=""),"",'Input Laying'!AC17)</f>
        <v/>
      </c>
      <c r="F16" s="188" t="str">
        <f>IF(OR(F15="",D15="",C16="",E16=""),"",((F15*D15)+(C16*E16))/(D16))</f>
        <v/>
      </c>
      <c r="G16" s="189" t="str">
        <f>IF(OR('Production data'!S16=0,'Production data'!S16="",E16=""),"",'Production data'!S16*(E16/1000/1000))</f>
        <v/>
      </c>
      <c r="H16" s="181" t="str">
        <f>IF(OR('Production data'!T16=0,'Production data'!T16="",F16=""),"",'Production data'!T16*F16/1000/1000)</f>
        <v/>
      </c>
      <c r="I16" s="187" t="str">
        <f>IF(OR('Production data'!U16=0,'Production data'!U16="",E16=""),"",'Production data'!U16*E16/1000)</f>
        <v/>
      </c>
      <c r="J16" s="188" t="str">
        <f>IF(OR('Production data'!V16=0,'Production data'!V16="",F16=""),"",'Production data'!V16*F16/1000)</f>
        <v/>
      </c>
      <c r="K16" s="183" t="str">
        <f>IF('Input Laying'!AC17=0,"",('Input Laying'!AD18-'Input Laying'!AE18)/'Input Laying'!D17/7*'Input Laying'!AC17/1000)</f>
        <v/>
      </c>
    </row>
    <row r="17" spans="1:11" ht="15.75" customHeight="1" x14ac:dyDescent="0.2">
      <c r="A17" s="314">
        <f t="shared" si="0"/>
        <v>133</v>
      </c>
      <c r="B17" s="271">
        <v>20</v>
      </c>
      <c r="C17" s="272" t="str">
        <f>IF(OR('Input Laying'!AD18=0,'Input Laying'!AD18=""),"",'Input Laying'!AD18-'Input Laying'!AE18)</f>
        <v/>
      </c>
      <c r="D17" s="273" t="str">
        <f>IF(OR('Input Laying'!AF18=0,'Input Laying'!AF18=""),"",'Input Laying'!AF18)</f>
        <v/>
      </c>
      <c r="E17" s="274" t="str">
        <f>IF(OR('Input Laying'!AC18=0,'Input Laying'!AC18=""),"",'Input Laying'!AC18)</f>
        <v/>
      </c>
      <c r="F17" s="275" t="str">
        <f>IF(OR(F16="",D16="",C17="",E17=""),"",((F16*D16)+(C17*E17))/(D17))</f>
        <v/>
      </c>
      <c r="G17" s="276" t="str">
        <f>IF(OR('Production data'!S17=0,'Production data'!S17="",E17=""),"",'Production data'!S17*(E17/1000/1000))</f>
        <v/>
      </c>
      <c r="H17" s="277" t="str">
        <f>IF(OR('Production data'!T17=0,'Production data'!T17="",F17=""),"",'Production data'!T17*F17/1000/1000)</f>
        <v/>
      </c>
      <c r="I17" s="274" t="str">
        <f>IF(OR('Production data'!U17=0,'Production data'!U17="",E17=""),"",'Production data'!U17*E17/1000)</f>
        <v/>
      </c>
      <c r="J17" s="275" t="str">
        <f>IF(OR('Production data'!V17=0,'Production data'!V17="",F17=""),"",'Production data'!V17*F17/1000)</f>
        <v/>
      </c>
      <c r="K17" s="278" t="str">
        <f>IF('Input Laying'!AC18=0,"",('Input Laying'!AD19-'Input Laying'!AE19)/'Input Laying'!D18/7*'Input Laying'!AC18/1000)</f>
        <v/>
      </c>
    </row>
    <row r="18" spans="1:11" ht="15.75" customHeight="1" x14ac:dyDescent="0.2">
      <c r="A18" s="315">
        <f t="shared" si="0"/>
        <v>140</v>
      </c>
      <c r="B18" s="184">
        <v>21</v>
      </c>
      <c r="C18" s="185" t="str">
        <f>IF(OR('Input Laying'!AD19=0,'Input Laying'!AD19=""),"",'Input Laying'!AD19-'Input Laying'!AE19)</f>
        <v/>
      </c>
      <c r="D18" s="186" t="str">
        <f>IF(OR('Input Laying'!AF19=0,'Input Laying'!AF19=""),"",'Input Laying'!AF19)</f>
        <v/>
      </c>
      <c r="E18" s="187" t="str">
        <f>IF(OR('Input Laying'!AC19=0,'Input Laying'!AC19=""),"",'Input Laying'!AC19)</f>
        <v/>
      </c>
      <c r="F18" s="188" t="str">
        <f t="shared" ref="F18:F78" si="1">IF(C18="","",IF(E18="","",(C18*E18)/C18))</f>
        <v/>
      </c>
      <c r="G18" s="189" t="str">
        <f>IF(OR('Production data'!S18=0,'Production data'!S18="",E18=""),"",'Production data'!S18*(E18/1000/1000))</f>
        <v/>
      </c>
      <c r="H18" s="181" t="str">
        <f>IF(OR('Production data'!T18=0,'Production data'!T18="",F18=""),"",'Production data'!T18*F18/1000/1000)</f>
        <v/>
      </c>
      <c r="I18" s="187" t="str">
        <f>IF(OR('Production data'!U18=0,'Production data'!U18="",E18=""),"",'Production data'!U18*E18/1000)</f>
        <v/>
      </c>
      <c r="J18" s="188" t="str">
        <f>IF(OR('Production data'!V18=0,'Production data'!V18="",F18=""),"",'Production data'!V18*F18/1000)</f>
        <v/>
      </c>
      <c r="K18" s="183" t="str">
        <f>IF('Input Laying'!AC19=0,"",('Input Laying'!AD20-'Input Laying'!AE20)/'Input Laying'!D19/7*'Input Laying'!AC19/1000)</f>
        <v/>
      </c>
    </row>
    <row r="19" spans="1:11" ht="15.75" customHeight="1" x14ac:dyDescent="0.2">
      <c r="A19" s="314">
        <f t="shared" si="0"/>
        <v>147</v>
      </c>
      <c r="B19" s="271">
        <v>22</v>
      </c>
      <c r="C19" s="272" t="str">
        <f>IF(OR('Input Laying'!AD20=0,'Input Laying'!AD20=""),"",'Input Laying'!AD20-'Input Laying'!AE20)</f>
        <v/>
      </c>
      <c r="D19" s="273" t="str">
        <f>IF(OR('Input Laying'!AF20=0,'Input Laying'!AF20=""),"",'Input Laying'!AF20)</f>
        <v/>
      </c>
      <c r="E19" s="274" t="str">
        <f>IF(OR('Input Laying'!AC20=0,'Input Laying'!AC20=""),"",'Input Laying'!AC20)</f>
        <v/>
      </c>
      <c r="F19" s="275" t="str">
        <f t="shared" si="1"/>
        <v/>
      </c>
      <c r="G19" s="276" t="str">
        <f>IF(OR('Production data'!S19=0,'Production data'!S19="",E19=""),"",'Production data'!S19*(E19/1000/1000))</f>
        <v/>
      </c>
      <c r="H19" s="277" t="str">
        <f>IF(OR('Production data'!T19=0,'Production data'!T19="",F19=""),"",'Production data'!T19*F19/1000/1000)</f>
        <v/>
      </c>
      <c r="I19" s="274" t="str">
        <f>IF(OR('Production data'!U19=0,'Production data'!U19="",E19=""),"",'Production data'!U19*E19/1000)</f>
        <v/>
      </c>
      <c r="J19" s="275" t="str">
        <f>IF(OR('Production data'!V19=0,'Production data'!V19="",F19=""),"",'Production data'!V19*F19/1000)</f>
        <v/>
      </c>
      <c r="K19" s="278" t="str">
        <f>IF('Input Laying'!AC20=0,"",('Input Laying'!AD21-'Input Laying'!AE21)/'Input Laying'!D20/7*'Input Laying'!AC20/1000)</f>
        <v/>
      </c>
    </row>
    <row r="20" spans="1:11" ht="15.75" customHeight="1" x14ac:dyDescent="0.2">
      <c r="A20" s="315">
        <f t="shared" si="0"/>
        <v>154</v>
      </c>
      <c r="B20" s="184">
        <v>23</v>
      </c>
      <c r="C20" s="185" t="str">
        <f>IF(OR('Input Laying'!AD21=0,'Input Laying'!AD21=""),"",'Input Laying'!AD21-'Input Laying'!AE21)</f>
        <v/>
      </c>
      <c r="D20" s="186" t="str">
        <f>IF(OR('Input Laying'!AF21=0,'Input Laying'!AF21=""),"",'Input Laying'!AF21)</f>
        <v/>
      </c>
      <c r="E20" s="187" t="str">
        <f>IF(OR('Input Laying'!AC21=0,'Input Laying'!AC21=""),"",'Input Laying'!AC21)</f>
        <v/>
      </c>
      <c r="F20" s="188" t="str">
        <f t="shared" si="1"/>
        <v/>
      </c>
      <c r="G20" s="189" t="str">
        <f>IF(OR('Production data'!S20=0,'Production data'!S20="",E20=""),"",'Production data'!S20*(E20/1000/1000))</f>
        <v/>
      </c>
      <c r="H20" s="181" t="str">
        <f>IF(OR('Production data'!T20=0,'Production data'!T20="",F20=""),"",'Production data'!T20*F20/1000/1000)</f>
        <v/>
      </c>
      <c r="I20" s="187" t="str">
        <f>IF(OR('Production data'!U20=0,'Production data'!U20="",E20=""),"",'Production data'!U20*E20/1000)</f>
        <v/>
      </c>
      <c r="J20" s="188" t="str">
        <f>IF(OR('Production data'!V20=0,'Production data'!V20="",F20=""),"",'Production data'!V20*F20/1000)</f>
        <v/>
      </c>
      <c r="K20" s="183" t="str">
        <f>IF('Input Laying'!AC21=0,"",('Input Laying'!AD22-'Input Laying'!AE22)/'Input Laying'!D21/7*'Input Laying'!AC21/1000)</f>
        <v/>
      </c>
    </row>
    <row r="21" spans="1:11" ht="15.75" customHeight="1" x14ac:dyDescent="0.2">
      <c r="A21" s="314">
        <f t="shared" si="0"/>
        <v>161</v>
      </c>
      <c r="B21" s="271">
        <v>24</v>
      </c>
      <c r="C21" s="272" t="str">
        <f>IF(OR('Input Laying'!AD22=0,'Input Laying'!AD22=""),"",'Input Laying'!AD22-'Input Laying'!AE22)</f>
        <v/>
      </c>
      <c r="D21" s="273" t="str">
        <f>IF(OR('Input Laying'!AF22=0,'Input Laying'!AF22=""),"",'Input Laying'!AF22)</f>
        <v/>
      </c>
      <c r="E21" s="274" t="str">
        <f>IF(OR('Input Laying'!AC22=0,'Input Laying'!AC22=""),"",'Input Laying'!AC22)</f>
        <v/>
      </c>
      <c r="F21" s="275" t="str">
        <f t="shared" si="1"/>
        <v/>
      </c>
      <c r="G21" s="276" t="str">
        <f>IF(OR('Production data'!S21=0,'Production data'!S21="",E21=""),"",'Production data'!S21*(E21/1000/1000))</f>
        <v/>
      </c>
      <c r="H21" s="277" t="str">
        <f>IF(OR('Production data'!T21=0,'Production data'!T21="",F21=""),"",'Production data'!T21*F21/1000/1000)</f>
        <v/>
      </c>
      <c r="I21" s="274" t="str">
        <f>IF(OR('Production data'!U21=0,'Production data'!U21="",E21=""),"",'Production data'!U21*E21/1000)</f>
        <v/>
      </c>
      <c r="J21" s="275" t="str">
        <f>IF(OR('Production data'!V21=0,'Production data'!V21="",F21=""),"",'Production data'!V21*F21/1000)</f>
        <v/>
      </c>
      <c r="K21" s="278" t="str">
        <f>IF('Input Laying'!AC22=0,"",('Input Laying'!AD23-'Input Laying'!AE23)/'Input Laying'!D22/7*'Input Laying'!AC22/1000)</f>
        <v/>
      </c>
    </row>
    <row r="22" spans="1:11" ht="15.75" customHeight="1" x14ac:dyDescent="0.2">
      <c r="A22" s="315">
        <f t="shared" si="0"/>
        <v>168</v>
      </c>
      <c r="B22" s="184">
        <v>25</v>
      </c>
      <c r="C22" s="185" t="str">
        <f>IF(OR('Input Laying'!AD23=0,'Input Laying'!AD23=""),"",'Input Laying'!AD23-'Input Laying'!AE23)</f>
        <v/>
      </c>
      <c r="D22" s="186" t="str">
        <f>IF(OR('Input Laying'!AF23=0,'Input Laying'!AF23=""),"",'Input Laying'!AF23)</f>
        <v/>
      </c>
      <c r="E22" s="187" t="str">
        <f>IF(OR('Input Laying'!AC23=0,'Input Laying'!AC23=""),"",'Input Laying'!AC23)</f>
        <v/>
      </c>
      <c r="F22" s="188" t="str">
        <f t="shared" si="1"/>
        <v/>
      </c>
      <c r="G22" s="189" t="str">
        <f>IF(OR('Production data'!S22=0,'Production data'!S22="",E22=""),"",'Production data'!S22*(E22/1000/1000))</f>
        <v/>
      </c>
      <c r="H22" s="181" t="str">
        <f>IF(OR('Production data'!T22=0,'Production data'!T22="",F22=""),"",'Production data'!T22*F22/1000/1000)</f>
        <v/>
      </c>
      <c r="I22" s="187" t="str">
        <f>IF(OR('Production data'!U22=0,'Production data'!U22="",E22=""),"",'Production data'!U22*E22/1000)</f>
        <v/>
      </c>
      <c r="J22" s="188" t="str">
        <f>IF(OR('Production data'!V22=0,'Production data'!V22="",F22=""),"",'Production data'!V22*F22/1000)</f>
        <v/>
      </c>
      <c r="K22" s="183" t="str">
        <f>IF('Input Laying'!AC23=0,"",('Input Laying'!AD24-'Input Laying'!AE24)/'Input Laying'!D23/7*'Input Laying'!AC23/1000)</f>
        <v/>
      </c>
    </row>
    <row r="23" spans="1:11" ht="15.75" customHeight="1" x14ac:dyDescent="0.2">
      <c r="A23" s="314">
        <f t="shared" si="0"/>
        <v>175</v>
      </c>
      <c r="B23" s="271">
        <v>26</v>
      </c>
      <c r="C23" s="272" t="str">
        <f>IF(OR('Input Laying'!AD24=0,'Input Laying'!AD24=""),"",'Input Laying'!AD24-'Input Laying'!AE24)</f>
        <v/>
      </c>
      <c r="D23" s="273" t="str">
        <f>IF(OR('Input Laying'!AF24=0,'Input Laying'!AF24=""),"",'Input Laying'!AF24)</f>
        <v/>
      </c>
      <c r="E23" s="274" t="str">
        <f>IF(OR('Input Laying'!AC24=0,'Input Laying'!AC24=""),"",'Input Laying'!AC24)</f>
        <v/>
      </c>
      <c r="F23" s="275" t="str">
        <f t="shared" si="1"/>
        <v/>
      </c>
      <c r="G23" s="276" t="str">
        <f>IF(OR('Production data'!S23=0,'Production data'!S23="",E23=""),"",'Production data'!S23*(E23/1000/1000))</f>
        <v/>
      </c>
      <c r="H23" s="277" t="str">
        <f>IF(OR('Production data'!T23=0,'Production data'!T23="",F23=""),"",'Production data'!T23*F23/1000/1000)</f>
        <v/>
      </c>
      <c r="I23" s="274" t="str">
        <f>IF(OR('Production data'!U23=0,'Production data'!U23="",E23=""),"",'Production data'!U23*E23/1000)</f>
        <v/>
      </c>
      <c r="J23" s="275" t="str">
        <f>IF(OR('Production data'!V23=0,'Production data'!V23="",F23=""),"",'Production data'!V23*F23/1000)</f>
        <v/>
      </c>
      <c r="K23" s="278" t="str">
        <f>IF('Input Laying'!AC24=0,"",('Input Laying'!AD25-'Input Laying'!AE25)/'Input Laying'!D24/7*'Input Laying'!AC24/1000)</f>
        <v/>
      </c>
    </row>
    <row r="24" spans="1:11" ht="15.75" customHeight="1" x14ac:dyDescent="0.2">
      <c r="A24" s="315">
        <f t="shared" si="0"/>
        <v>182</v>
      </c>
      <c r="B24" s="184">
        <v>27</v>
      </c>
      <c r="C24" s="185" t="str">
        <f>IF(OR('Input Laying'!AD25=0,'Input Laying'!AD25=""),"",'Input Laying'!AD25-'Input Laying'!AE25)</f>
        <v/>
      </c>
      <c r="D24" s="186" t="str">
        <f>IF(OR('Input Laying'!AF25=0,'Input Laying'!AF25=""),"",'Input Laying'!AF25)</f>
        <v/>
      </c>
      <c r="E24" s="187" t="str">
        <f>IF(OR('Input Laying'!AC25=0,'Input Laying'!AC25=""),"",'Input Laying'!AC25)</f>
        <v/>
      </c>
      <c r="F24" s="188" t="str">
        <f t="shared" si="1"/>
        <v/>
      </c>
      <c r="G24" s="189" t="str">
        <f>IF(OR('Production data'!S24=0,'Production data'!S24="",E24=""),"",'Production data'!S24*(E24/1000/1000))</f>
        <v/>
      </c>
      <c r="H24" s="181" t="str">
        <f>IF(OR('Production data'!T24=0,'Production data'!T24="",F24=""),"",'Production data'!T24*F24/1000/1000)</f>
        <v/>
      </c>
      <c r="I24" s="187" t="str">
        <f>IF(OR('Production data'!U24=0,'Production data'!U24="",E24=""),"",'Production data'!U24*E24/1000)</f>
        <v/>
      </c>
      <c r="J24" s="188" t="str">
        <f>IF(OR('Production data'!V24=0,'Production data'!V24="",F24=""),"",'Production data'!V24*F24/1000)</f>
        <v/>
      </c>
      <c r="K24" s="183" t="str">
        <f>IF('Input Laying'!AC25=0,"",('Input Laying'!AD26-'Input Laying'!AE26)/'Input Laying'!D25/7*'Input Laying'!AC25/1000)</f>
        <v/>
      </c>
    </row>
    <row r="25" spans="1:11" ht="15.75" customHeight="1" x14ac:dyDescent="0.2">
      <c r="A25" s="314">
        <f t="shared" si="0"/>
        <v>189</v>
      </c>
      <c r="B25" s="271">
        <v>28</v>
      </c>
      <c r="C25" s="272" t="str">
        <f>IF(OR('Input Laying'!AD26=0,'Input Laying'!AD26=""),"",'Input Laying'!AD26-'Input Laying'!AE26)</f>
        <v/>
      </c>
      <c r="D25" s="273" t="str">
        <f>IF(OR('Input Laying'!AF26=0,'Input Laying'!AF26=""),"",'Input Laying'!AF26)</f>
        <v/>
      </c>
      <c r="E25" s="274" t="str">
        <f>IF(OR('Input Laying'!AC26=0,'Input Laying'!AC26=""),"",'Input Laying'!AC26)</f>
        <v/>
      </c>
      <c r="F25" s="275" t="str">
        <f t="shared" si="1"/>
        <v/>
      </c>
      <c r="G25" s="276" t="str">
        <f>IF(OR('Production data'!S25=0,'Production data'!S25="",E25=""),"",'Production data'!S25*(E25/1000/1000))</f>
        <v/>
      </c>
      <c r="H25" s="277" t="str">
        <f>IF(OR('Production data'!T25=0,'Production data'!T25="",F25=""),"",'Production data'!T25*F25/1000/1000)</f>
        <v/>
      </c>
      <c r="I25" s="274" t="str">
        <f>IF(OR('Production data'!U25=0,'Production data'!U25="",E25=""),"",'Production data'!U25*E25/1000)</f>
        <v/>
      </c>
      <c r="J25" s="275" t="str">
        <f>IF(OR('Production data'!V25=0,'Production data'!V25="",F25=""),"",'Production data'!V25*F25/1000)</f>
        <v/>
      </c>
      <c r="K25" s="278" t="str">
        <f>IF('Input Laying'!AC26=0,"",('Input Laying'!AD27-'Input Laying'!AE27)/'Input Laying'!D26/7*'Input Laying'!AC26/1000)</f>
        <v/>
      </c>
    </row>
    <row r="26" spans="1:11" ht="15.75" customHeight="1" x14ac:dyDescent="0.2">
      <c r="A26" s="315">
        <f t="shared" si="0"/>
        <v>196</v>
      </c>
      <c r="B26" s="184">
        <v>29</v>
      </c>
      <c r="C26" s="185" t="str">
        <f>IF(OR('Input Laying'!AD27=0,'Input Laying'!AD27=""),"",'Input Laying'!AD27-'Input Laying'!AE27)</f>
        <v/>
      </c>
      <c r="D26" s="186" t="str">
        <f>IF(OR('Input Laying'!AF27=0,'Input Laying'!AF27=""),"",'Input Laying'!AF27)</f>
        <v/>
      </c>
      <c r="E26" s="187" t="str">
        <f>IF(OR('Input Laying'!AC27=0,'Input Laying'!AC27=""),"",'Input Laying'!AC27)</f>
        <v/>
      </c>
      <c r="F26" s="188" t="str">
        <f t="shared" si="1"/>
        <v/>
      </c>
      <c r="G26" s="189" t="str">
        <f>IF(OR('Production data'!S26=0,'Production data'!S26="",E26=""),"",'Production data'!S26*(E26/1000/1000))</f>
        <v/>
      </c>
      <c r="H26" s="181" t="str">
        <f>IF(OR('Production data'!T26=0,'Production data'!T26="",F26=""),"",'Production data'!T26*F26/1000/1000)</f>
        <v/>
      </c>
      <c r="I26" s="187" t="str">
        <f>IF(OR('Production data'!U26=0,'Production data'!U26="",E26=""),"",'Production data'!U26*E26/1000)</f>
        <v/>
      </c>
      <c r="J26" s="188" t="str">
        <f>IF(OR('Production data'!V26=0,'Production data'!V26="",F26=""),"",'Production data'!V26*F26/1000)</f>
        <v/>
      </c>
      <c r="K26" s="183" t="str">
        <f>IF('Input Laying'!AC27=0,"",('Input Laying'!AD28-'Input Laying'!AE28)/'Input Laying'!D27/7*'Input Laying'!AC27/1000)</f>
        <v/>
      </c>
    </row>
    <row r="27" spans="1:11" ht="15.75" customHeight="1" x14ac:dyDescent="0.2">
      <c r="A27" s="314">
        <f t="shared" si="0"/>
        <v>203</v>
      </c>
      <c r="B27" s="271">
        <v>30</v>
      </c>
      <c r="C27" s="272" t="str">
        <f>IF(OR('Input Laying'!AD28=0,'Input Laying'!AD28=""),"",'Input Laying'!AD28-'Input Laying'!AE28)</f>
        <v/>
      </c>
      <c r="D27" s="273" t="str">
        <f>IF(OR('Input Laying'!AF28=0,'Input Laying'!AF28=""),"",'Input Laying'!AF28)</f>
        <v/>
      </c>
      <c r="E27" s="274" t="str">
        <f>IF(OR('Input Laying'!AC28=0,'Input Laying'!AC28=""),"",'Input Laying'!AC28)</f>
        <v/>
      </c>
      <c r="F27" s="275" t="str">
        <f t="shared" si="1"/>
        <v/>
      </c>
      <c r="G27" s="276" t="str">
        <f>IF(OR('Production data'!S27=0,'Production data'!S27="",E27=""),"",'Production data'!S27*(E27/1000/1000))</f>
        <v/>
      </c>
      <c r="H27" s="277" t="str">
        <f>IF(OR('Production data'!T27=0,'Production data'!T27="",F27=""),"",'Production data'!T27*F27/1000/1000)</f>
        <v/>
      </c>
      <c r="I27" s="274" t="str">
        <f>IF(OR('Production data'!U27=0,'Production data'!U27="",E27=""),"",'Production data'!U27*E27/1000)</f>
        <v/>
      </c>
      <c r="J27" s="275" t="str">
        <f>IF(OR('Production data'!V27=0,'Production data'!V27="",F27=""),"",'Production data'!V27*F27/1000)</f>
        <v/>
      </c>
      <c r="K27" s="278" t="str">
        <f>IF('Input Laying'!AC28=0,"",('Input Laying'!AD29-'Input Laying'!AE29)/'Input Laying'!D28/7*'Input Laying'!AC28/1000)</f>
        <v/>
      </c>
    </row>
    <row r="28" spans="1:11" ht="15.75" customHeight="1" x14ac:dyDescent="0.2">
      <c r="A28" s="315">
        <f t="shared" si="0"/>
        <v>210</v>
      </c>
      <c r="B28" s="184">
        <v>31</v>
      </c>
      <c r="C28" s="185" t="str">
        <f>IF(OR('Input Laying'!AD29=0,'Input Laying'!AD29=""),"",'Input Laying'!AD29-'Input Laying'!AE29)</f>
        <v/>
      </c>
      <c r="D28" s="186" t="str">
        <f>IF(OR('Input Laying'!AF29=0,'Input Laying'!AF29=""),"",'Input Laying'!AF29)</f>
        <v/>
      </c>
      <c r="E28" s="187" t="str">
        <f>IF(OR('Input Laying'!AC29=0,'Input Laying'!AC29=""),"",'Input Laying'!AC29)</f>
        <v/>
      </c>
      <c r="F28" s="188" t="str">
        <f t="shared" si="1"/>
        <v/>
      </c>
      <c r="G28" s="189" t="str">
        <f>IF(OR('Production data'!S28=0,'Production data'!S28="",E28=""),"",'Production data'!S28*(E28/1000/1000))</f>
        <v/>
      </c>
      <c r="H28" s="181" t="str">
        <f>IF(OR('Production data'!T28=0,'Production data'!T28="",F28=""),"",'Production data'!T28*F28/1000/1000)</f>
        <v/>
      </c>
      <c r="I28" s="187" t="str">
        <f>IF(OR('Production data'!U28=0,'Production data'!U28="",E28=""),"",'Production data'!U28*E28/1000)</f>
        <v/>
      </c>
      <c r="J28" s="188" t="str">
        <f>IF(OR('Production data'!V28=0,'Production data'!V28="",F28=""),"",'Production data'!V28*F28/1000)</f>
        <v/>
      </c>
      <c r="K28" s="183" t="str">
        <f>IF('Input Laying'!AC29=0,"",('Input Laying'!AD30-'Input Laying'!AE30)/'Input Laying'!D29/7*'Input Laying'!AC29/1000)</f>
        <v/>
      </c>
    </row>
    <row r="29" spans="1:11" ht="15.75" customHeight="1" x14ac:dyDescent="0.2">
      <c r="A29" s="314">
        <f t="shared" si="0"/>
        <v>217</v>
      </c>
      <c r="B29" s="271">
        <v>32</v>
      </c>
      <c r="C29" s="272" t="str">
        <f>IF(OR('Input Laying'!AD30=0,'Input Laying'!AD30=""),"",'Input Laying'!AD30-'Input Laying'!AE30)</f>
        <v/>
      </c>
      <c r="D29" s="273" t="str">
        <f>IF(OR('Input Laying'!AF30=0,'Input Laying'!AF30=""),"",'Input Laying'!AF30)</f>
        <v/>
      </c>
      <c r="E29" s="274" t="str">
        <f>IF(OR('Input Laying'!AC30=0,'Input Laying'!AC30=""),"",'Input Laying'!AC30)</f>
        <v/>
      </c>
      <c r="F29" s="275" t="str">
        <f t="shared" si="1"/>
        <v/>
      </c>
      <c r="G29" s="276" t="str">
        <f>IF(OR('Production data'!S29=0,'Production data'!S29="",E29=""),"",'Production data'!S29*(E29/1000/1000))</f>
        <v/>
      </c>
      <c r="H29" s="277" t="str">
        <f>IF(OR('Production data'!T29=0,'Production data'!T29="",F29=""),"",'Production data'!T29*F29/1000/1000)</f>
        <v/>
      </c>
      <c r="I29" s="274" t="str">
        <f>IF(OR('Production data'!U29=0,'Production data'!U29="",E29=""),"",'Production data'!U29*E29/1000)</f>
        <v/>
      </c>
      <c r="J29" s="275" t="str">
        <f>IF(OR('Production data'!V29=0,'Production data'!V29="",F29=""),"",'Production data'!V29*F29/1000)</f>
        <v/>
      </c>
      <c r="K29" s="278" t="str">
        <f>IF('Input Laying'!AC30=0,"",('Input Laying'!AD31-'Input Laying'!AE31)/'Input Laying'!D30/7*'Input Laying'!AC30/1000)</f>
        <v/>
      </c>
    </row>
    <row r="30" spans="1:11" ht="15.75" customHeight="1" x14ac:dyDescent="0.2">
      <c r="A30" s="315">
        <f t="shared" si="0"/>
        <v>224</v>
      </c>
      <c r="B30" s="184">
        <v>33</v>
      </c>
      <c r="C30" s="185" t="str">
        <f>IF(OR('Input Laying'!AD31=0,'Input Laying'!AD31=""),"",'Input Laying'!AD31-'Input Laying'!AE31)</f>
        <v/>
      </c>
      <c r="D30" s="186" t="str">
        <f>IF(OR('Input Laying'!AF31=0,'Input Laying'!AF31=""),"",'Input Laying'!AF31)</f>
        <v/>
      </c>
      <c r="E30" s="187" t="str">
        <f>IF(OR('Input Laying'!AC31=0,'Input Laying'!AC31=""),"",'Input Laying'!AC31)</f>
        <v/>
      </c>
      <c r="F30" s="188" t="str">
        <f t="shared" si="1"/>
        <v/>
      </c>
      <c r="G30" s="189" t="str">
        <f>IF(OR('Production data'!S30=0,'Production data'!S30="",E30=""),"",'Production data'!S30*(E30/1000/1000))</f>
        <v/>
      </c>
      <c r="H30" s="181" t="str">
        <f>IF(OR('Production data'!T30=0,'Production data'!T30="",F30=""),"",'Production data'!T30*F30/1000/1000)</f>
        <v/>
      </c>
      <c r="I30" s="187" t="str">
        <f>IF(OR('Production data'!U30=0,'Production data'!U30="",E30=""),"",'Production data'!U30*E30/1000)</f>
        <v/>
      </c>
      <c r="J30" s="188" t="str">
        <f>IF(OR('Production data'!V30=0,'Production data'!V30="",F30=""),"",'Production data'!V30*F30/1000)</f>
        <v/>
      </c>
      <c r="K30" s="183" t="str">
        <f>IF('Input Laying'!AC31=0,"",('Input Laying'!AD32-'Input Laying'!AE32)/'Input Laying'!D31/7*'Input Laying'!AC31/1000)</f>
        <v/>
      </c>
    </row>
    <row r="31" spans="1:11" ht="15.75" customHeight="1" x14ac:dyDescent="0.2">
      <c r="A31" s="314">
        <f t="shared" si="0"/>
        <v>231</v>
      </c>
      <c r="B31" s="271">
        <v>34</v>
      </c>
      <c r="C31" s="272" t="str">
        <f>IF(OR('Input Laying'!AD32=0,'Input Laying'!AD32=""),"",'Input Laying'!AD32-'Input Laying'!AE32)</f>
        <v/>
      </c>
      <c r="D31" s="273" t="str">
        <f>IF(OR('Input Laying'!AF32=0,'Input Laying'!AF32=""),"",'Input Laying'!AF32)</f>
        <v/>
      </c>
      <c r="E31" s="274" t="str">
        <f>IF(OR('Input Laying'!AC32=0,'Input Laying'!AC32=""),"",'Input Laying'!AC32)</f>
        <v/>
      </c>
      <c r="F31" s="275" t="str">
        <f t="shared" si="1"/>
        <v/>
      </c>
      <c r="G31" s="276" t="str">
        <f>IF(OR('Production data'!S31=0,'Production data'!S31="",E31=""),"",'Production data'!S31*(E31/1000/1000))</f>
        <v/>
      </c>
      <c r="H31" s="277" t="str">
        <f>IF(OR('Production data'!T31=0,'Production data'!T31="",F31=""),"",'Production data'!T31*F31/1000/1000)</f>
        <v/>
      </c>
      <c r="I31" s="274" t="str">
        <f>IF(OR('Production data'!U31=0,'Production data'!U31="",E31=""),"",'Production data'!U31*E31/1000)</f>
        <v/>
      </c>
      <c r="J31" s="275" t="str">
        <f>IF(OR('Production data'!V31=0,'Production data'!V31="",F31=""),"",'Production data'!V31*F31/1000)</f>
        <v/>
      </c>
      <c r="K31" s="278" t="str">
        <f>IF('Input Laying'!AC32=0,"",('Input Laying'!AD33-'Input Laying'!AE33)/'Input Laying'!D32/7*'Input Laying'!AC32/1000)</f>
        <v/>
      </c>
    </row>
    <row r="32" spans="1:11" ht="15.75" customHeight="1" x14ac:dyDescent="0.2">
      <c r="A32" s="315">
        <f t="shared" si="0"/>
        <v>238</v>
      </c>
      <c r="B32" s="184">
        <v>35</v>
      </c>
      <c r="C32" s="185" t="str">
        <f>IF(OR('Input Laying'!AD33=0,'Input Laying'!AD33=""),"",'Input Laying'!AD33-'Input Laying'!AE33)</f>
        <v/>
      </c>
      <c r="D32" s="186" t="str">
        <f>IF(OR('Input Laying'!AF33=0,'Input Laying'!AF33=""),"",'Input Laying'!AF33)</f>
        <v/>
      </c>
      <c r="E32" s="187" t="str">
        <f>IF(OR('Input Laying'!AC33=0,'Input Laying'!AC33=""),"",'Input Laying'!AC33)</f>
        <v/>
      </c>
      <c r="F32" s="188" t="str">
        <f t="shared" si="1"/>
        <v/>
      </c>
      <c r="G32" s="189" t="str">
        <f>IF(OR('Production data'!S32=0,'Production data'!S32="",E32=""),"",'Production data'!S32*(E32/1000/1000))</f>
        <v/>
      </c>
      <c r="H32" s="181" t="str">
        <f>IF(OR('Production data'!T32=0,'Production data'!T32="",F32=""),"",'Production data'!T32*F32/1000/1000)</f>
        <v/>
      </c>
      <c r="I32" s="187" t="str">
        <f>IF(OR('Production data'!U32=0,'Production data'!U32="",E32=""),"",'Production data'!U32*E32/1000)</f>
        <v/>
      </c>
      <c r="J32" s="188" t="str">
        <f>IF(OR('Production data'!V32=0,'Production data'!V32="",F32=""),"",'Production data'!V32*F32/1000)</f>
        <v/>
      </c>
      <c r="K32" s="183" t="str">
        <f>IF('Input Laying'!AC33=0,"",('Input Laying'!AD34-'Input Laying'!AE34)/'Input Laying'!D33/7*'Input Laying'!AC33/1000)</f>
        <v/>
      </c>
    </row>
    <row r="33" spans="1:11" ht="15.75" customHeight="1" x14ac:dyDescent="0.2">
      <c r="A33" s="314">
        <f t="shared" si="0"/>
        <v>245</v>
      </c>
      <c r="B33" s="271">
        <v>36</v>
      </c>
      <c r="C33" s="272" t="str">
        <f>IF(OR('Input Laying'!AD34=0,'Input Laying'!AD34=""),"",'Input Laying'!AD34-'Input Laying'!AE34)</f>
        <v/>
      </c>
      <c r="D33" s="273" t="str">
        <f>IF(OR('Input Laying'!AF34=0,'Input Laying'!AF34=""),"",'Input Laying'!AF34)</f>
        <v/>
      </c>
      <c r="E33" s="274" t="str">
        <f>IF(OR('Input Laying'!AC34=0,'Input Laying'!AC34=""),"",'Input Laying'!AC34)</f>
        <v/>
      </c>
      <c r="F33" s="275" t="str">
        <f t="shared" si="1"/>
        <v/>
      </c>
      <c r="G33" s="276" t="str">
        <f>IF(OR('Production data'!S33=0,'Production data'!S33="",E33=""),"",'Production data'!S33*(E33/1000/1000))</f>
        <v/>
      </c>
      <c r="H33" s="277" t="str">
        <f>IF(OR('Production data'!T33=0,'Production data'!T33="",F33=""),"",'Production data'!T33*F33/1000/1000)</f>
        <v/>
      </c>
      <c r="I33" s="274" t="str">
        <f>IF(OR('Production data'!U33=0,'Production data'!U33="",E33=""),"",'Production data'!U33*E33/1000)</f>
        <v/>
      </c>
      <c r="J33" s="275" t="str">
        <f>IF(OR('Production data'!V33=0,'Production data'!V33="",F33=""),"",'Production data'!V33*F33/1000)</f>
        <v/>
      </c>
      <c r="K33" s="278" t="str">
        <f>IF('Input Laying'!AC34=0,"",('Input Laying'!AD35-'Input Laying'!AE35)/'Input Laying'!D34/7*'Input Laying'!AC34/1000)</f>
        <v/>
      </c>
    </row>
    <row r="34" spans="1:11" ht="15.75" customHeight="1" x14ac:dyDescent="0.2">
      <c r="A34" s="315">
        <f t="shared" si="0"/>
        <v>252</v>
      </c>
      <c r="B34" s="184">
        <v>37</v>
      </c>
      <c r="C34" s="185" t="str">
        <f>IF(OR('Input Laying'!AD35=0,'Input Laying'!AD35=""),"",'Input Laying'!AD35-'Input Laying'!AE35)</f>
        <v/>
      </c>
      <c r="D34" s="186" t="str">
        <f>IF(OR('Input Laying'!AF35=0,'Input Laying'!AF35=""),"",'Input Laying'!AF35)</f>
        <v/>
      </c>
      <c r="E34" s="187" t="str">
        <f>IF(OR('Input Laying'!AC35=0,'Input Laying'!AC35=""),"",'Input Laying'!AC35)</f>
        <v/>
      </c>
      <c r="F34" s="188" t="str">
        <f t="shared" si="1"/>
        <v/>
      </c>
      <c r="G34" s="189" t="str">
        <f>IF(OR('Production data'!S34=0,'Production data'!S34="",E34=""),"",'Production data'!S34*(E34/1000/1000))</f>
        <v/>
      </c>
      <c r="H34" s="181" t="str">
        <f>IF(OR('Production data'!T34=0,'Production data'!T34="",F34=""),"",'Production data'!T34*F34/1000/1000)</f>
        <v/>
      </c>
      <c r="I34" s="187" t="str">
        <f>IF(OR('Production data'!U34=0,'Production data'!U34="",E34=""),"",'Production data'!U34*E34/1000)</f>
        <v/>
      </c>
      <c r="J34" s="188" t="str">
        <f>IF(OR('Production data'!V34=0,'Production data'!V34="",F34=""),"",'Production data'!V34*F34/1000)</f>
        <v/>
      </c>
      <c r="K34" s="183" t="str">
        <f>IF('Input Laying'!AC35=0,"",('Input Laying'!AD36-'Input Laying'!AE36)/'Input Laying'!D35/7*'Input Laying'!AC35/1000)</f>
        <v/>
      </c>
    </row>
    <row r="35" spans="1:11" ht="15.75" customHeight="1" x14ac:dyDescent="0.2">
      <c r="A35" s="314">
        <f t="shared" si="0"/>
        <v>259</v>
      </c>
      <c r="B35" s="271">
        <v>38</v>
      </c>
      <c r="C35" s="272" t="str">
        <f>IF(OR('Input Laying'!AD36=0,'Input Laying'!AD36=""),"",'Input Laying'!AD36-'Input Laying'!AE36)</f>
        <v/>
      </c>
      <c r="D35" s="273" t="str">
        <f>IF(OR('Input Laying'!AF36=0,'Input Laying'!AF36=""),"",'Input Laying'!AF36)</f>
        <v/>
      </c>
      <c r="E35" s="274" t="str">
        <f>IF(OR('Input Laying'!AC36=0,'Input Laying'!AC36=""),"",'Input Laying'!AC36)</f>
        <v/>
      </c>
      <c r="F35" s="275" t="str">
        <f t="shared" si="1"/>
        <v/>
      </c>
      <c r="G35" s="276" t="str">
        <f>IF(OR('Production data'!S35=0,'Production data'!S35="",E35=""),"",'Production data'!S35*(E35/1000/1000))</f>
        <v/>
      </c>
      <c r="H35" s="277" t="str">
        <f>IF(OR('Production data'!T35=0,'Production data'!T35="",F35=""),"",'Production data'!T35*F35/1000/1000)</f>
        <v/>
      </c>
      <c r="I35" s="274" t="str">
        <f>IF(OR('Production data'!U35=0,'Production data'!U35="",E35=""),"",'Production data'!U35*E35/1000)</f>
        <v/>
      </c>
      <c r="J35" s="275" t="str">
        <f>IF(OR('Production data'!V35=0,'Production data'!V35="",F35=""),"",'Production data'!V35*F35/1000)</f>
        <v/>
      </c>
      <c r="K35" s="278" t="str">
        <f>IF('Input Laying'!AC36=0,"",('Input Laying'!AD37-'Input Laying'!AE37)/'Input Laying'!D36/7*'Input Laying'!AC36/1000)</f>
        <v/>
      </c>
    </row>
    <row r="36" spans="1:11" ht="15.75" customHeight="1" x14ac:dyDescent="0.2">
      <c r="A36" s="315">
        <f t="shared" si="0"/>
        <v>266</v>
      </c>
      <c r="B36" s="184">
        <v>39</v>
      </c>
      <c r="C36" s="185" t="str">
        <f>IF(OR('Input Laying'!AD37=0,'Input Laying'!AD37=""),"",'Input Laying'!AD37-'Input Laying'!AE37)</f>
        <v/>
      </c>
      <c r="D36" s="186" t="str">
        <f>IF(OR('Input Laying'!AF37=0,'Input Laying'!AF37=""),"",'Input Laying'!AF37)</f>
        <v/>
      </c>
      <c r="E36" s="187" t="str">
        <f>IF(OR('Input Laying'!AC37=0,'Input Laying'!AC37=""),"",'Input Laying'!AC37)</f>
        <v/>
      </c>
      <c r="F36" s="188" t="str">
        <f t="shared" si="1"/>
        <v/>
      </c>
      <c r="G36" s="189" t="str">
        <f>IF(OR('Production data'!S36=0,'Production data'!S36="",E36=""),"",'Production data'!S36*(E36/1000/1000))</f>
        <v/>
      </c>
      <c r="H36" s="181" t="str">
        <f>IF(OR('Production data'!T36=0,'Production data'!T36="",F36=""),"",'Production data'!T36*F36/1000/1000)</f>
        <v/>
      </c>
      <c r="I36" s="187" t="str">
        <f>IF(OR('Production data'!U36=0,'Production data'!U36="",E36=""),"",'Production data'!U36*E36/1000)</f>
        <v/>
      </c>
      <c r="J36" s="188" t="str">
        <f>IF(OR('Production data'!V36=0,'Production data'!V36="",F36=""),"",'Production data'!V36*F36/1000)</f>
        <v/>
      </c>
      <c r="K36" s="183" t="str">
        <f>IF('Input Laying'!AC37=0,"",('Input Laying'!AD38-'Input Laying'!AE38)/'Input Laying'!D37/7*'Input Laying'!AC37/1000)</f>
        <v/>
      </c>
    </row>
    <row r="37" spans="1:11" ht="15.75" customHeight="1" x14ac:dyDescent="0.2">
      <c r="A37" s="314">
        <f t="shared" si="0"/>
        <v>273</v>
      </c>
      <c r="B37" s="271">
        <v>40</v>
      </c>
      <c r="C37" s="272" t="str">
        <f>IF(OR('Input Laying'!AD38=0,'Input Laying'!AD38=""),"",'Input Laying'!AD38-'Input Laying'!AE38)</f>
        <v/>
      </c>
      <c r="D37" s="273" t="str">
        <f>IF(OR('Input Laying'!AF38=0,'Input Laying'!AF38=""),"",'Input Laying'!AF38)</f>
        <v/>
      </c>
      <c r="E37" s="274" t="str">
        <f>IF(OR('Input Laying'!AC38=0,'Input Laying'!AC38=""),"",'Input Laying'!AC38)</f>
        <v/>
      </c>
      <c r="F37" s="275" t="str">
        <f t="shared" si="1"/>
        <v/>
      </c>
      <c r="G37" s="276" t="str">
        <f>IF(OR('Production data'!S37=0,'Production data'!S37="",E37=""),"",'Production data'!S37*(E37/1000/1000))</f>
        <v/>
      </c>
      <c r="H37" s="277" t="str">
        <f>IF(OR('Production data'!T37=0,'Production data'!T37="",F37=""),"",'Production data'!T37*F37/1000/1000)</f>
        <v/>
      </c>
      <c r="I37" s="274" t="str">
        <f>IF(OR('Production data'!U37=0,'Production data'!U37="",E37=""),"",'Production data'!U37*E37/1000)</f>
        <v/>
      </c>
      <c r="J37" s="275" t="str">
        <f>IF(OR('Production data'!V37=0,'Production data'!V37="",F37=""),"",'Production data'!V37*F37/1000)</f>
        <v/>
      </c>
      <c r="K37" s="278" t="str">
        <f>IF('Input Laying'!AC38=0,"",('Input Laying'!AD39-'Input Laying'!AE39)/'Input Laying'!D38/7*'Input Laying'!AC38/1000)</f>
        <v/>
      </c>
    </row>
    <row r="38" spans="1:11" ht="15.75" customHeight="1" x14ac:dyDescent="0.2">
      <c r="A38" s="315">
        <f t="shared" si="0"/>
        <v>280</v>
      </c>
      <c r="B38" s="184">
        <v>41</v>
      </c>
      <c r="C38" s="185" t="str">
        <f>IF(OR('Input Laying'!AD39=0,'Input Laying'!AD39=""),"",'Input Laying'!AD39-'Input Laying'!AE39)</f>
        <v/>
      </c>
      <c r="D38" s="186" t="str">
        <f>IF(OR('Input Laying'!AF39=0,'Input Laying'!AF39=""),"",'Input Laying'!AF39)</f>
        <v/>
      </c>
      <c r="E38" s="187" t="str">
        <f>IF(OR('Input Laying'!AC39=0,'Input Laying'!AC39=""),"",'Input Laying'!AC39)</f>
        <v/>
      </c>
      <c r="F38" s="188" t="str">
        <f t="shared" si="1"/>
        <v/>
      </c>
      <c r="G38" s="189" t="str">
        <f>IF(OR('Production data'!S38=0,'Production data'!S38="",E38=""),"",'Production data'!S38*(E38/1000/1000))</f>
        <v/>
      </c>
      <c r="H38" s="181" t="str">
        <f>IF(OR('Production data'!T38=0,'Production data'!T38="",F38=""),"",'Production data'!T38*F38/1000/1000)</f>
        <v/>
      </c>
      <c r="I38" s="187" t="str">
        <f>IF(OR('Production data'!U38=0,'Production data'!U38="",E38=""),"",'Production data'!U38*E38/1000)</f>
        <v/>
      </c>
      <c r="J38" s="188" t="str">
        <f>IF(OR('Production data'!V38=0,'Production data'!V38="",F38=""),"",'Production data'!V38*F38/1000)</f>
        <v/>
      </c>
      <c r="K38" s="183" t="str">
        <f>IF('Input Laying'!AC39=0,"",('Input Laying'!AD40-'Input Laying'!AE40)/'Input Laying'!D39/7*'Input Laying'!AC39/1000)</f>
        <v/>
      </c>
    </row>
    <row r="39" spans="1:11" ht="15.75" customHeight="1" x14ac:dyDescent="0.2">
      <c r="A39" s="314">
        <f t="shared" si="0"/>
        <v>287</v>
      </c>
      <c r="B39" s="271">
        <v>42</v>
      </c>
      <c r="C39" s="272" t="str">
        <f>IF(OR('Input Laying'!AD40=0,'Input Laying'!AD40=""),"",'Input Laying'!AD40-'Input Laying'!AE40)</f>
        <v/>
      </c>
      <c r="D39" s="273" t="str">
        <f>IF(OR('Input Laying'!AF40=0,'Input Laying'!AF40=""),"",'Input Laying'!AF40)</f>
        <v/>
      </c>
      <c r="E39" s="274" t="str">
        <f>IF(OR('Input Laying'!AC40=0,'Input Laying'!AC40=""),"",'Input Laying'!AC40)</f>
        <v/>
      </c>
      <c r="F39" s="275" t="str">
        <f t="shared" si="1"/>
        <v/>
      </c>
      <c r="G39" s="276" t="str">
        <f>IF(OR('Production data'!S39=0,'Production data'!S39="",E39=""),"",'Production data'!S39*(E39/1000/1000))</f>
        <v/>
      </c>
      <c r="H39" s="277" t="str">
        <f>IF(OR('Production data'!T39=0,'Production data'!T39="",F39=""),"",'Production data'!T39*F39/1000/1000)</f>
        <v/>
      </c>
      <c r="I39" s="274" t="str">
        <f>IF(OR('Production data'!U39=0,'Production data'!U39="",E39=""),"",'Production data'!U39*E39/1000)</f>
        <v/>
      </c>
      <c r="J39" s="275" t="str">
        <f>IF(OR('Production data'!V39=0,'Production data'!V39="",F39=""),"",'Production data'!V39*F39/1000)</f>
        <v/>
      </c>
      <c r="K39" s="278" t="str">
        <f>IF('Input Laying'!AC40=0,"",('Input Laying'!AD41-'Input Laying'!AE41)/'Input Laying'!D40/7*'Input Laying'!AC40/1000)</f>
        <v/>
      </c>
    </row>
    <row r="40" spans="1:11" ht="15.75" customHeight="1" x14ac:dyDescent="0.2">
      <c r="A40" s="315">
        <f t="shared" si="0"/>
        <v>294</v>
      </c>
      <c r="B40" s="184">
        <v>43</v>
      </c>
      <c r="C40" s="185" t="str">
        <f>IF(OR('Input Laying'!AD41=0,'Input Laying'!AD41=""),"",'Input Laying'!AD41-'Input Laying'!AE41)</f>
        <v/>
      </c>
      <c r="D40" s="186" t="str">
        <f>IF(OR('Input Laying'!AF41=0,'Input Laying'!AF41=""),"",'Input Laying'!AF41)</f>
        <v/>
      </c>
      <c r="E40" s="187" t="str">
        <f>IF(OR('Input Laying'!AC41=0,'Input Laying'!AC41=""),"",'Input Laying'!AC41)</f>
        <v/>
      </c>
      <c r="F40" s="188" t="str">
        <f t="shared" si="1"/>
        <v/>
      </c>
      <c r="G40" s="189" t="str">
        <f>IF(OR('Production data'!S40=0,'Production data'!S40="",E40=""),"",'Production data'!S40*(E40/1000/1000))</f>
        <v/>
      </c>
      <c r="H40" s="181" t="str">
        <f>IF(OR('Production data'!T40=0,'Production data'!T40="",F40=""),"",'Production data'!T40*F40/1000/1000)</f>
        <v/>
      </c>
      <c r="I40" s="187" t="str">
        <f>IF(OR('Production data'!U40=0,'Production data'!U40="",E40=""),"",'Production data'!U40*E40/1000)</f>
        <v/>
      </c>
      <c r="J40" s="188" t="str">
        <f>IF(OR('Production data'!V40=0,'Production data'!V40="",F40=""),"",'Production data'!V40*F40/1000)</f>
        <v/>
      </c>
      <c r="K40" s="183" t="str">
        <f>IF('Input Laying'!AC41=0,"",('Input Laying'!AD42-'Input Laying'!AE42)/'Input Laying'!D41/7*'Input Laying'!AC41/1000)</f>
        <v/>
      </c>
    </row>
    <row r="41" spans="1:11" ht="15.75" customHeight="1" x14ac:dyDescent="0.2">
      <c r="A41" s="314">
        <f t="shared" si="0"/>
        <v>301</v>
      </c>
      <c r="B41" s="271">
        <v>44</v>
      </c>
      <c r="C41" s="272" t="str">
        <f>IF(OR('Input Laying'!AD42=0,'Input Laying'!AD42=""),"",'Input Laying'!AD42-'Input Laying'!AE42)</f>
        <v/>
      </c>
      <c r="D41" s="273" t="str">
        <f>IF(OR('Input Laying'!AF42=0,'Input Laying'!AF42=""),"",'Input Laying'!AF42)</f>
        <v/>
      </c>
      <c r="E41" s="274" t="str">
        <f>IF(OR('Input Laying'!AC42=0,'Input Laying'!AC42=""),"",'Input Laying'!AC42)</f>
        <v/>
      </c>
      <c r="F41" s="275" t="str">
        <f t="shared" si="1"/>
        <v/>
      </c>
      <c r="G41" s="276" t="str">
        <f>IF(OR('Production data'!S41=0,'Production data'!S41="",E41=""),"",'Production data'!S41*(E41/1000/1000))</f>
        <v/>
      </c>
      <c r="H41" s="277" t="str">
        <f>IF(OR('Production data'!T41=0,'Production data'!T41="",F41=""),"",'Production data'!T41*F41/1000/1000)</f>
        <v/>
      </c>
      <c r="I41" s="274" t="str">
        <f>IF(OR('Production data'!U41=0,'Production data'!U41="",E41=""),"",'Production data'!U41*E41/1000)</f>
        <v/>
      </c>
      <c r="J41" s="275" t="str">
        <f>IF(OR('Production data'!V41=0,'Production data'!V41="",F41=""),"",'Production data'!V41*F41/1000)</f>
        <v/>
      </c>
      <c r="K41" s="278" t="str">
        <f>IF('Input Laying'!AC42=0,"",('Input Laying'!AD43-'Input Laying'!AE43)/'Input Laying'!D42/7*'Input Laying'!AC42/1000)</f>
        <v/>
      </c>
    </row>
    <row r="42" spans="1:11" ht="15.75" customHeight="1" x14ac:dyDescent="0.2">
      <c r="A42" s="315">
        <f t="shared" si="0"/>
        <v>308</v>
      </c>
      <c r="B42" s="184">
        <v>45</v>
      </c>
      <c r="C42" s="185" t="str">
        <f>IF(OR('Input Laying'!AD43=0,'Input Laying'!AD43=""),"",'Input Laying'!AD43-'Input Laying'!AE43)</f>
        <v/>
      </c>
      <c r="D42" s="186" t="str">
        <f>IF(OR('Input Laying'!AF43=0,'Input Laying'!AF43=""),"",'Input Laying'!AF43)</f>
        <v/>
      </c>
      <c r="E42" s="187" t="str">
        <f>IF(OR('Input Laying'!AC43=0,'Input Laying'!AC43=""),"",'Input Laying'!AC43)</f>
        <v/>
      </c>
      <c r="F42" s="188" t="str">
        <f t="shared" si="1"/>
        <v/>
      </c>
      <c r="G42" s="189" t="str">
        <f>IF(OR('Production data'!S42=0,'Production data'!S42="",E42=""),"",'Production data'!S42*(E42/1000/1000))</f>
        <v/>
      </c>
      <c r="H42" s="181" t="str">
        <f>IF(OR('Production data'!T42=0,'Production data'!T42="",F42=""),"",'Production data'!T42*F42/1000/1000)</f>
        <v/>
      </c>
      <c r="I42" s="187" t="str">
        <f>IF(OR('Production data'!U42=0,'Production data'!U42="",E42=""),"",'Production data'!U42*E42/1000)</f>
        <v/>
      </c>
      <c r="J42" s="188" t="str">
        <f>IF(OR('Production data'!V42=0,'Production data'!V42="",F42=""),"",'Production data'!V42*F42/1000)</f>
        <v/>
      </c>
      <c r="K42" s="183" t="str">
        <f>IF('Input Laying'!AC43=0,"",('Input Laying'!AD44-'Input Laying'!AE44)/'Input Laying'!D43/7*'Input Laying'!AC43/1000)</f>
        <v/>
      </c>
    </row>
    <row r="43" spans="1:11" ht="15.75" customHeight="1" x14ac:dyDescent="0.2">
      <c r="A43" s="314">
        <f t="shared" si="0"/>
        <v>315</v>
      </c>
      <c r="B43" s="271">
        <v>46</v>
      </c>
      <c r="C43" s="272" t="str">
        <f>IF(OR('Input Laying'!AD44=0,'Input Laying'!AD44=""),"",'Input Laying'!AD44-'Input Laying'!AE44)</f>
        <v/>
      </c>
      <c r="D43" s="273" t="str">
        <f>IF(OR('Input Laying'!AF44=0,'Input Laying'!AF44=""),"",'Input Laying'!AF44)</f>
        <v/>
      </c>
      <c r="E43" s="274" t="str">
        <f>IF(OR('Input Laying'!AC44=0,'Input Laying'!AC44=""),"",'Input Laying'!AC44)</f>
        <v/>
      </c>
      <c r="F43" s="275" t="str">
        <f t="shared" si="1"/>
        <v/>
      </c>
      <c r="G43" s="276" t="str">
        <f>IF(OR('Production data'!S43=0,'Production data'!S43="",E43=""),"",'Production data'!S43*(E43/1000/1000))</f>
        <v/>
      </c>
      <c r="H43" s="277" t="str">
        <f>IF(OR('Production data'!T43=0,'Production data'!T43="",F43=""),"",'Production data'!T43*F43/1000/1000)</f>
        <v/>
      </c>
      <c r="I43" s="274" t="str">
        <f>IF(OR('Production data'!U43=0,'Production data'!U43="",E43=""),"",'Production data'!U43*E43/1000)</f>
        <v/>
      </c>
      <c r="J43" s="275" t="str">
        <f>IF(OR('Production data'!V43=0,'Production data'!V43="",F43=""),"",'Production data'!V43*F43/1000)</f>
        <v/>
      </c>
      <c r="K43" s="278" t="str">
        <f>IF('Input Laying'!AC44=0,"",('Input Laying'!AD45-'Input Laying'!AE45)/'Input Laying'!D44/7*'Input Laying'!AC44/1000)</f>
        <v/>
      </c>
    </row>
    <row r="44" spans="1:11" ht="15.75" customHeight="1" x14ac:dyDescent="0.2">
      <c r="A44" s="315">
        <f t="shared" si="0"/>
        <v>322</v>
      </c>
      <c r="B44" s="184">
        <v>47</v>
      </c>
      <c r="C44" s="185" t="str">
        <f>IF(OR('Input Laying'!AD45=0,'Input Laying'!AD45=""),"",'Input Laying'!AD45-'Input Laying'!AE45)</f>
        <v/>
      </c>
      <c r="D44" s="186" t="str">
        <f>IF(OR('Input Laying'!AF45=0,'Input Laying'!AF45=""),"",'Input Laying'!AF45)</f>
        <v/>
      </c>
      <c r="E44" s="187" t="str">
        <f>IF(OR('Input Laying'!AC45=0,'Input Laying'!AC45=""),"",'Input Laying'!AC45)</f>
        <v/>
      </c>
      <c r="F44" s="188" t="str">
        <f t="shared" si="1"/>
        <v/>
      </c>
      <c r="G44" s="189" t="str">
        <f>IF(OR('Production data'!S44=0,'Production data'!S44="",E44=""),"",'Production data'!S44*(E44/1000/1000))</f>
        <v/>
      </c>
      <c r="H44" s="181" t="str">
        <f>IF(OR('Production data'!T44=0,'Production data'!T44="",F44=""),"",'Production data'!T44*F44/1000/1000)</f>
        <v/>
      </c>
      <c r="I44" s="187" t="str">
        <f>IF(OR('Production data'!U44=0,'Production data'!U44="",E44=""),"",'Production data'!U44*E44/1000)</f>
        <v/>
      </c>
      <c r="J44" s="188" t="str">
        <f>IF(OR('Production data'!V44=0,'Production data'!V44="",F44=""),"",'Production data'!V44*F44/1000)</f>
        <v/>
      </c>
      <c r="K44" s="183" t="str">
        <f>IF('Input Laying'!AC45=0,"",('Input Laying'!AD46-'Input Laying'!AE46)/'Input Laying'!D45/7*'Input Laying'!AC45/1000)</f>
        <v/>
      </c>
    </row>
    <row r="45" spans="1:11" ht="15.75" customHeight="1" x14ac:dyDescent="0.2">
      <c r="A45" s="314">
        <f t="shared" si="0"/>
        <v>329</v>
      </c>
      <c r="B45" s="271">
        <v>48</v>
      </c>
      <c r="C45" s="272" t="str">
        <f>IF(OR('Input Laying'!AD46=0,'Input Laying'!AD46=""),"",'Input Laying'!AD46-'Input Laying'!AE46)</f>
        <v/>
      </c>
      <c r="D45" s="273" t="str">
        <f>IF(OR('Input Laying'!AF46=0,'Input Laying'!AF46=""),"",'Input Laying'!AF46)</f>
        <v/>
      </c>
      <c r="E45" s="274" t="str">
        <f>IF(OR('Input Laying'!AC46=0,'Input Laying'!AC46=""),"",'Input Laying'!AC46)</f>
        <v/>
      </c>
      <c r="F45" s="275" t="str">
        <f t="shared" si="1"/>
        <v/>
      </c>
      <c r="G45" s="276" t="str">
        <f>IF(OR('Production data'!S45=0,'Production data'!S45="",E45=""),"",'Production data'!S45*(E45/1000/1000))</f>
        <v/>
      </c>
      <c r="H45" s="277" t="str">
        <f>IF(OR('Production data'!T45=0,'Production data'!T45="",F45=""),"",'Production data'!T45*F45/1000/1000)</f>
        <v/>
      </c>
      <c r="I45" s="274" t="str">
        <f>IF(OR('Production data'!U45=0,'Production data'!U45="",E45=""),"",'Production data'!U45*E45/1000)</f>
        <v/>
      </c>
      <c r="J45" s="275" t="str">
        <f>IF(OR('Production data'!V45=0,'Production data'!V45="",F45=""),"",'Production data'!V45*F45/1000)</f>
        <v/>
      </c>
      <c r="K45" s="278" t="str">
        <f>IF('Input Laying'!AC46=0,"",('Input Laying'!AD47-'Input Laying'!AE47)/'Input Laying'!D46/7*'Input Laying'!AC46/1000)</f>
        <v/>
      </c>
    </row>
    <row r="46" spans="1:11" ht="15.75" customHeight="1" x14ac:dyDescent="0.2">
      <c r="A46" s="315">
        <f t="shared" ref="A46:A77" si="2">$C$3+((B46*7)-7)</f>
        <v>336</v>
      </c>
      <c r="B46" s="184">
        <v>49</v>
      </c>
      <c r="C46" s="185" t="str">
        <f>IF(OR('Input Laying'!AD47=0,'Input Laying'!AD47=""),"",'Input Laying'!AD47-'Input Laying'!AE47)</f>
        <v/>
      </c>
      <c r="D46" s="186" t="str">
        <f>IF(OR('Input Laying'!AF47=0,'Input Laying'!AF47=""),"",'Input Laying'!AF47)</f>
        <v/>
      </c>
      <c r="E46" s="187" t="str">
        <f>IF(OR('Input Laying'!AC47=0,'Input Laying'!AC47=""),"",'Input Laying'!AC47)</f>
        <v/>
      </c>
      <c r="F46" s="188" t="str">
        <f t="shared" si="1"/>
        <v/>
      </c>
      <c r="G46" s="189" t="str">
        <f>IF(OR('Production data'!S46=0,'Production data'!S46="",E46=""),"",'Production data'!S46*(E46/1000/1000))</f>
        <v/>
      </c>
      <c r="H46" s="181" t="str">
        <f>IF(OR('Production data'!T46=0,'Production data'!T46="",F46=""),"",'Production data'!T46*F46/1000/1000)</f>
        <v/>
      </c>
      <c r="I46" s="187" t="str">
        <f>IF(OR('Production data'!U46=0,'Production data'!U46="",E46=""),"",'Production data'!U46*E46/1000)</f>
        <v/>
      </c>
      <c r="J46" s="188" t="str">
        <f>IF(OR('Production data'!V46=0,'Production data'!V46="",F46=""),"",'Production data'!V46*F46/1000)</f>
        <v/>
      </c>
      <c r="K46" s="183" t="str">
        <f>IF('Input Laying'!AC47=0,"",('Input Laying'!AD48-'Input Laying'!AE48)/'Input Laying'!D47/7*'Input Laying'!AC47/1000)</f>
        <v/>
      </c>
    </row>
    <row r="47" spans="1:11" ht="15.75" customHeight="1" x14ac:dyDescent="0.2">
      <c r="A47" s="314">
        <f t="shared" si="2"/>
        <v>343</v>
      </c>
      <c r="B47" s="271">
        <v>50</v>
      </c>
      <c r="C47" s="272" t="str">
        <f>IF(OR('Input Laying'!AD48=0,'Input Laying'!AD48=""),"",'Input Laying'!AD48-'Input Laying'!AE48)</f>
        <v/>
      </c>
      <c r="D47" s="273" t="str">
        <f>IF(OR('Input Laying'!AF48=0,'Input Laying'!AF48=""),"",'Input Laying'!AF48)</f>
        <v/>
      </c>
      <c r="E47" s="274" t="str">
        <f>IF(OR('Input Laying'!AC48=0,'Input Laying'!AC48=""),"",'Input Laying'!AC48)</f>
        <v/>
      </c>
      <c r="F47" s="275" t="str">
        <f t="shared" si="1"/>
        <v/>
      </c>
      <c r="G47" s="276" t="str">
        <f>IF(OR('Production data'!S47=0,'Production data'!S47="",E47=""),"",'Production data'!S47*(E47/1000/1000))</f>
        <v/>
      </c>
      <c r="H47" s="277" t="str">
        <f>IF(OR('Production data'!T47=0,'Production data'!T47="",F47=""),"",'Production data'!T47*F47/1000/1000)</f>
        <v/>
      </c>
      <c r="I47" s="274" t="str">
        <f>IF(OR('Production data'!U47=0,'Production data'!U47="",E47=""),"",'Production data'!U47*E47/1000)</f>
        <v/>
      </c>
      <c r="J47" s="275" t="str">
        <f>IF(OR('Production data'!V47=0,'Production data'!V47="",F47=""),"",'Production data'!V47*F47/1000)</f>
        <v/>
      </c>
      <c r="K47" s="278" t="str">
        <f>IF('Input Laying'!AC48=0,"",('Input Laying'!AD49-'Input Laying'!AE49)/'Input Laying'!D48/7*'Input Laying'!AC48/1000)</f>
        <v/>
      </c>
    </row>
    <row r="48" spans="1:11" ht="15.75" customHeight="1" x14ac:dyDescent="0.2">
      <c r="A48" s="315">
        <f t="shared" si="2"/>
        <v>350</v>
      </c>
      <c r="B48" s="184">
        <v>51</v>
      </c>
      <c r="C48" s="185" t="str">
        <f>IF(OR('Input Laying'!AD49=0,'Input Laying'!AD49=""),"",'Input Laying'!AD49-'Input Laying'!AE49)</f>
        <v/>
      </c>
      <c r="D48" s="186" t="str">
        <f>IF(OR('Input Laying'!AF49=0,'Input Laying'!AF49=""),"",'Input Laying'!AF49)</f>
        <v/>
      </c>
      <c r="E48" s="187" t="str">
        <f>IF(OR('Input Laying'!AC49=0,'Input Laying'!AC49=""),"",'Input Laying'!AC49)</f>
        <v/>
      </c>
      <c r="F48" s="188" t="str">
        <f t="shared" si="1"/>
        <v/>
      </c>
      <c r="G48" s="189" t="str">
        <f>IF(OR('Production data'!S48=0,'Production data'!S48="",E48=""),"",'Production data'!S48*(E48/1000/1000))</f>
        <v/>
      </c>
      <c r="H48" s="181" t="str">
        <f>IF(OR('Production data'!T48=0,'Production data'!T48="",F48=""),"",'Production data'!T48*F48/1000/1000)</f>
        <v/>
      </c>
      <c r="I48" s="187" t="str">
        <f>IF(OR('Production data'!U48=0,'Production data'!U48="",E48=""),"",'Production data'!U48*E48/1000)</f>
        <v/>
      </c>
      <c r="J48" s="188" t="str">
        <f>IF(OR('Production data'!V48=0,'Production data'!V48="",F48=""),"",'Production data'!V48*F48/1000)</f>
        <v/>
      </c>
      <c r="K48" s="183" t="str">
        <f>IF('Input Laying'!AC49=0,"",('Input Laying'!AD50-'Input Laying'!AE50)/'Input Laying'!D49/7*'Input Laying'!AC49/1000)</f>
        <v/>
      </c>
    </row>
    <row r="49" spans="1:11" ht="15.75" customHeight="1" x14ac:dyDescent="0.2">
      <c r="A49" s="314">
        <f t="shared" si="2"/>
        <v>357</v>
      </c>
      <c r="B49" s="271">
        <v>52</v>
      </c>
      <c r="C49" s="272" t="str">
        <f>IF(OR('Input Laying'!AD50=0,'Input Laying'!AD50=""),"",'Input Laying'!AD50-'Input Laying'!AE50)</f>
        <v/>
      </c>
      <c r="D49" s="273" t="str">
        <f>IF(OR('Input Laying'!AF50=0,'Input Laying'!AF50=""),"",'Input Laying'!AF50)</f>
        <v/>
      </c>
      <c r="E49" s="274" t="str">
        <f>IF(OR('Input Laying'!AC50=0,'Input Laying'!AC50=""),"",'Input Laying'!AC50)</f>
        <v/>
      </c>
      <c r="F49" s="275" t="str">
        <f t="shared" si="1"/>
        <v/>
      </c>
      <c r="G49" s="276" t="str">
        <f>IF(OR('Production data'!S49=0,'Production data'!S49="",E49=""),"",'Production data'!S49*(E49/1000/1000))</f>
        <v/>
      </c>
      <c r="H49" s="277" t="str">
        <f>IF(OR('Production data'!T49=0,'Production data'!T49="",F49=""),"",'Production data'!T49*F49/1000/1000)</f>
        <v/>
      </c>
      <c r="I49" s="274" t="str">
        <f>IF(OR('Production data'!U49=0,'Production data'!U49="",E49=""),"",'Production data'!U49*E49/1000)</f>
        <v/>
      </c>
      <c r="J49" s="275" t="str">
        <f>IF(OR('Production data'!V49=0,'Production data'!V49="",F49=""),"",'Production data'!V49*F49/1000)</f>
        <v/>
      </c>
      <c r="K49" s="278" t="str">
        <f>IF('Input Laying'!AC50=0,"",('Input Laying'!AD51-'Input Laying'!AE51)/'Input Laying'!D50/7*'Input Laying'!AC50/1000)</f>
        <v/>
      </c>
    </row>
    <row r="50" spans="1:11" ht="15.75" customHeight="1" x14ac:dyDescent="0.2">
      <c r="A50" s="315">
        <f t="shared" si="2"/>
        <v>364</v>
      </c>
      <c r="B50" s="184">
        <v>53</v>
      </c>
      <c r="C50" s="185" t="str">
        <f>IF(OR('Input Laying'!AD51=0,'Input Laying'!AD51=""),"",'Input Laying'!AD51-'Input Laying'!AE51)</f>
        <v/>
      </c>
      <c r="D50" s="186" t="str">
        <f>IF(OR('Input Laying'!AF51=0,'Input Laying'!AF51=""),"",'Input Laying'!AF51)</f>
        <v/>
      </c>
      <c r="E50" s="187" t="str">
        <f>IF(OR('Input Laying'!AC51=0,'Input Laying'!AC51=""),"",'Input Laying'!AC51)</f>
        <v/>
      </c>
      <c r="F50" s="188" t="str">
        <f t="shared" si="1"/>
        <v/>
      </c>
      <c r="G50" s="189" t="str">
        <f>IF(OR('Production data'!S50=0,'Production data'!S50="",E50=""),"",'Production data'!S50*(E50/1000/1000))</f>
        <v/>
      </c>
      <c r="H50" s="181" t="str">
        <f>IF(OR('Production data'!T50=0,'Production data'!T50="",F50=""),"",'Production data'!T50*F50/1000/1000)</f>
        <v/>
      </c>
      <c r="I50" s="187" t="str">
        <f>IF(OR('Production data'!U50=0,'Production data'!U50="",E50=""),"",'Production data'!U50*E50/1000)</f>
        <v/>
      </c>
      <c r="J50" s="188" t="str">
        <f>IF(OR('Production data'!V50=0,'Production data'!V50="",F50=""),"",'Production data'!V50*F50/1000)</f>
        <v/>
      </c>
      <c r="K50" s="183" t="str">
        <f>IF('Input Laying'!AC51=0,"",('Input Laying'!AD52-'Input Laying'!AE52)/'Input Laying'!D51/7*'Input Laying'!AC51/1000)</f>
        <v/>
      </c>
    </row>
    <row r="51" spans="1:11" ht="15.75" customHeight="1" x14ac:dyDescent="0.2">
      <c r="A51" s="314">
        <f t="shared" si="2"/>
        <v>371</v>
      </c>
      <c r="B51" s="271">
        <v>54</v>
      </c>
      <c r="C51" s="272" t="str">
        <f>IF(OR('Input Laying'!AD52=0,'Input Laying'!AD52=""),"",'Input Laying'!AD52-'Input Laying'!AE52)</f>
        <v/>
      </c>
      <c r="D51" s="273" t="str">
        <f>IF(OR('Input Laying'!AF52=0,'Input Laying'!AF52=""),"",'Input Laying'!AF52)</f>
        <v/>
      </c>
      <c r="E51" s="274" t="str">
        <f>IF(OR('Input Laying'!AC52=0,'Input Laying'!AC52=""),"",'Input Laying'!AC52)</f>
        <v/>
      </c>
      <c r="F51" s="275" t="str">
        <f t="shared" si="1"/>
        <v/>
      </c>
      <c r="G51" s="276" t="str">
        <f>IF(OR('Production data'!S51=0,'Production data'!S51="",E51=""),"",'Production data'!S51*(E51/1000/1000))</f>
        <v/>
      </c>
      <c r="H51" s="277" t="str">
        <f>IF(OR('Production data'!T51=0,'Production data'!T51="",F51=""),"",'Production data'!T51*F51/1000/1000)</f>
        <v/>
      </c>
      <c r="I51" s="274" t="str">
        <f>IF(OR('Production data'!U51=0,'Production data'!U51="",E51=""),"",'Production data'!U51*E51/1000)</f>
        <v/>
      </c>
      <c r="J51" s="275" t="str">
        <f>IF(OR('Production data'!V51=0,'Production data'!V51="",F51=""),"",'Production data'!V51*F51/1000)</f>
        <v/>
      </c>
      <c r="K51" s="278" t="str">
        <f>IF('Input Laying'!AC52=0,"",('Input Laying'!AD53-'Input Laying'!AE53)/'Input Laying'!D52/7*'Input Laying'!AC52/1000)</f>
        <v/>
      </c>
    </row>
    <row r="52" spans="1:11" ht="15.75" customHeight="1" x14ac:dyDescent="0.2">
      <c r="A52" s="315">
        <f t="shared" si="2"/>
        <v>378</v>
      </c>
      <c r="B52" s="184">
        <v>55</v>
      </c>
      <c r="C52" s="185" t="str">
        <f>IF(OR('Input Laying'!AD53=0,'Input Laying'!AD53=""),"",'Input Laying'!AD53-'Input Laying'!AE53)</f>
        <v/>
      </c>
      <c r="D52" s="186" t="str">
        <f>IF(OR('Input Laying'!AF53=0,'Input Laying'!AF53=""),"",'Input Laying'!AF53)</f>
        <v/>
      </c>
      <c r="E52" s="187" t="str">
        <f>IF(OR('Input Laying'!AC53=0,'Input Laying'!AC53=""),"",'Input Laying'!AC53)</f>
        <v/>
      </c>
      <c r="F52" s="188" t="str">
        <f t="shared" si="1"/>
        <v/>
      </c>
      <c r="G52" s="189" t="str">
        <f>IF(OR('Production data'!S52=0,'Production data'!S52="",E52=""),"",'Production data'!S52*(E52/1000/1000))</f>
        <v/>
      </c>
      <c r="H52" s="181" t="str">
        <f>IF(OR('Production data'!T52=0,'Production data'!T52="",F52=""),"",'Production data'!T52*F52/1000/1000)</f>
        <v/>
      </c>
      <c r="I52" s="187" t="str">
        <f>IF(OR('Production data'!U52=0,'Production data'!U52="",E52=""),"",'Production data'!U52*E52/1000)</f>
        <v/>
      </c>
      <c r="J52" s="188" t="str">
        <f>IF(OR('Production data'!V52=0,'Production data'!V52="",F52=""),"",'Production data'!V52*F52/1000)</f>
        <v/>
      </c>
      <c r="K52" s="183" t="str">
        <f>IF('Input Laying'!AC53=0,"",('Input Laying'!AD54-'Input Laying'!AE54)/'Input Laying'!D53/7*'Input Laying'!AC53/1000)</f>
        <v/>
      </c>
    </row>
    <row r="53" spans="1:11" ht="15.75" customHeight="1" x14ac:dyDescent="0.2">
      <c r="A53" s="314">
        <f t="shared" si="2"/>
        <v>385</v>
      </c>
      <c r="B53" s="271">
        <v>56</v>
      </c>
      <c r="C53" s="272" t="str">
        <f>IF(OR('Input Laying'!AD54=0,'Input Laying'!AD54=""),"",'Input Laying'!AD54-'Input Laying'!AE54)</f>
        <v/>
      </c>
      <c r="D53" s="273" t="str">
        <f>IF(OR('Input Laying'!AF54=0,'Input Laying'!AF54=""),"",'Input Laying'!AF54)</f>
        <v/>
      </c>
      <c r="E53" s="274" t="str">
        <f>IF(OR('Input Laying'!AC54=0,'Input Laying'!AC54=""),"",'Input Laying'!AC54)</f>
        <v/>
      </c>
      <c r="F53" s="275" t="str">
        <f t="shared" si="1"/>
        <v/>
      </c>
      <c r="G53" s="276" t="str">
        <f>IF(OR('Production data'!S53=0,'Production data'!S53="",E53=""),"",'Production data'!S53*(E53/1000/1000))</f>
        <v/>
      </c>
      <c r="H53" s="277" t="str">
        <f>IF(OR('Production data'!T53=0,'Production data'!T53="",F53=""),"",'Production data'!T53*F53/1000/1000)</f>
        <v/>
      </c>
      <c r="I53" s="274" t="str">
        <f>IF(OR('Production data'!U53=0,'Production data'!U53="",E53=""),"",'Production data'!U53*E53/1000)</f>
        <v/>
      </c>
      <c r="J53" s="275" t="str">
        <f>IF(OR('Production data'!V53=0,'Production data'!V53="",F53=""),"",'Production data'!V53*F53/1000)</f>
        <v/>
      </c>
      <c r="K53" s="278" t="str">
        <f>IF('Input Laying'!AC54=0,"",('Input Laying'!AD55-'Input Laying'!AE55)/'Input Laying'!D54/7*'Input Laying'!AC54/1000)</f>
        <v/>
      </c>
    </row>
    <row r="54" spans="1:11" ht="15.75" customHeight="1" x14ac:dyDescent="0.2">
      <c r="A54" s="315">
        <f t="shared" si="2"/>
        <v>392</v>
      </c>
      <c r="B54" s="184">
        <v>57</v>
      </c>
      <c r="C54" s="185" t="str">
        <f>IF(OR('Input Laying'!AD55=0,'Input Laying'!AD55=""),"",'Input Laying'!AD55-'Input Laying'!AE55)</f>
        <v/>
      </c>
      <c r="D54" s="186" t="str">
        <f>IF(OR('Input Laying'!AF55=0,'Input Laying'!AF55=""),"",'Input Laying'!AF55)</f>
        <v/>
      </c>
      <c r="E54" s="187" t="str">
        <f>IF(OR('Input Laying'!AC55=0,'Input Laying'!AC55=""),"",'Input Laying'!AC55)</f>
        <v/>
      </c>
      <c r="F54" s="188" t="str">
        <f t="shared" si="1"/>
        <v/>
      </c>
      <c r="G54" s="189" t="str">
        <f>IF(OR('Production data'!S54=0,'Production data'!S54="",E54=""),"",'Production data'!S54*(E54/1000/1000))</f>
        <v/>
      </c>
      <c r="H54" s="181" t="str">
        <f>IF(OR('Production data'!T54=0,'Production data'!T54="",F54=""),"",'Production data'!T54*F54/1000/1000)</f>
        <v/>
      </c>
      <c r="I54" s="187" t="str">
        <f>IF(OR('Production data'!U54=0,'Production data'!U54="",E54=""),"",'Production data'!U54*E54/1000)</f>
        <v/>
      </c>
      <c r="J54" s="188" t="str">
        <f>IF(OR('Production data'!V54=0,'Production data'!V54="",F54=""),"",'Production data'!V54*F54/1000)</f>
        <v/>
      </c>
      <c r="K54" s="183" t="str">
        <f>IF('Input Laying'!AC55=0,"",('Input Laying'!AD56-'Input Laying'!AE56)/'Input Laying'!D55/7*'Input Laying'!AC55/1000)</f>
        <v/>
      </c>
    </row>
    <row r="55" spans="1:11" ht="15.75" customHeight="1" x14ac:dyDescent="0.2">
      <c r="A55" s="314">
        <f t="shared" si="2"/>
        <v>399</v>
      </c>
      <c r="B55" s="271">
        <v>58</v>
      </c>
      <c r="C55" s="272" t="str">
        <f>IF(OR('Input Laying'!AD56=0,'Input Laying'!AD56=""),"",'Input Laying'!AD56-'Input Laying'!AE56)</f>
        <v/>
      </c>
      <c r="D55" s="273" t="str">
        <f>IF(OR('Input Laying'!AF56=0,'Input Laying'!AF56=""),"",'Input Laying'!AF56)</f>
        <v/>
      </c>
      <c r="E55" s="274" t="str">
        <f>IF(OR('Input Laying'!AC56=0,'Input Laying'!AC56=""),"",'Input Laying'!AC56)</f>
        <v/>
      </c>
      <c r="F55" s="275" t="str">
        <f t="shared" si="1"/>
        <v/>
      </c>
      <c r="G55" s="276" t="str">
        <f>IF(OR('Production data'!S55=0,'Production data'!S55="",E55=""),"",'Production data'!S55*(E55/1000/1000))</f>
        <v/>
      </c>
      <c r="H55" s="277" t="str">
        <f>IF(OR('Production data'!T55=0,'Production data'!T55="",F55=""),"",'Production data'!T55*F55/1000/1000)</f>
        <v/>
      </c>
      <c r="I55" s="274" t="str">
        <f>IF(OR('Production data'!U55=0,'Production data'!U55="",E55=""),"",'Production data'!U55*E55/1000)</f>
        <v/>
      </c>
      <c r="J55" s="275" t="str">
        <f>IF(OR('Production data'!V55=0,'Production data'!V55="",F55=""),"",'Production data'!V55*F55/1000)</f>
        <v/>
      </c>
      <c r="K55" s="278" t="str">
        <f>IF('Input Laying'!AC56=0,"",('Input Laying'!AD57-'Input Laying'!AE57)/'Input Laying'!D56/7*'Input Laying'!AC56/1000)</f>
        <v/>
      </c>
    </row>
    <row r="56" spans="1:11" ht="15.75" customHeight="1" x14ac:dyDescent="0.2">
      <c r="A56" s="315">
        <f t="shared" si="2"/>
        <v>406</v>
      </c>
      <c r="B56" s="184">
        <v>59</v>
      </c>
      <c r="C56" s="185" t="str">
        <f>IF(OR('Input Laying'!AD57=0,'Input Laying'!AD57=""),"",'Input Laying'!AD57-'Input Laying'!AE57)</f>
        <v/>
      </c>
      <c r="D56" s="186" t="str">
        <f>IF(OR('Input Laying'!AF57=0,'Input Laying'!AF57=""),"",'Input Laying'!AF57)</f>
        <v/>
      </c>
      <c r="E56" s="187" t="str">
        <f>IF(OR('Input Laying'!AC57=0,'Input Laying'!AC57=""),"",'Input Laying'!AC57)</f>
        <v/>
      </c>
      <c r="F56" s="188" t="str">
        <f t="shared" si="1"/>
        <v/>
      </c>
      <c r="G56" s="189" t="str">
        <f>IF(OR('Production data'!S56=0,'Production data'!S56="",E56=""),"",'Production data'!S56*(E56/1000/1000))</f>
        <v/>
      </c>
      <c r="H56" s="181" t="str">
        <f>IF(OR('Production data'!T56=0,'Production data'!T56="",F56=""),"",'Production data'!T56*F56/1000/1000)</f>
        <v/>
      </c>
      <c r="I56" s="187" t="str">
        <f>IF(OR('Production data'!U56=0,'Production data'!U56="",E56=""),"",'Production data'!U56*E56/1000)</f>
        <v/>
      </c>
      <c r="J56" s="188" t="str">
        <f>IF(OR('Production data'!V56=0,'Production data'!V56="",F56=""),"",'Production data'!V56*F56/1000)</f>
        <v/>
      </c>
      <c r="K56" s="183" t="str">
        <f>IF('Input Laying'!AC57=0,"",('Input Laying'!AD58-'Input Laying'!AE58)/'Input Laying'!D57/7*'Input Laying'!AC57/1000)</f>
        <v/>
      </c>
    </row>
    <row r="57" spans="1:11" ht="15.75" customHeight="1" x14ac:dyDescent="0.2">
      <c r="A57" s="314">
        <f t="shared" si="2"/>
        <v>413</v>
      </c>
      <c r="B57" s="271">
        <v>60</v>
      </c>
      <c r="C57" s="272" t="str">
        <f>IF(OR('Input Laying'!AD58=0,'Input Laying'!AD58=""),"",'Input Laying'!AD58-'Input Laying'!AE58)</f>
        <v/>
      </c>
      <c r="D57" s="273" t="str">
        <f>IF(OR('Input Laying'!AF58=0,'Input Laying'!AF58=""),"",'Input Laying'!AF58)</f>
        <v/>
      </c>
      <c r="E57" s="274" t="str">
        <f>IF(OR('Input Laying'!AC58=0,'Input Laying'!AC58=""),"",'Input Laying'!AC58)</f>
        <v/>
      </c>
      <c r="F57" s="275" t="str">
        <f t="shared" si="1"/>
        <v/>
      </c>
      <c r="G57" s="276" t="str">
        <f>IF(OR('Production data'!S57=0,'Production data'!S57="",E57=""),"",'Production data'!S57*(E57/1000/1000))</f>
        <v/>
      </c>
      <c r="H57" s="277" t="str">
        <f>IF(OR('Production data'!T57=0,'Production data'!T57="",F57=""),"",'Production data'!T57*F57/1000/1000)</f>
        <v/>
      </c>
      <c r="I57" s="274" t="str">
        <f>IF(OR('Production data'!U57=0,'Production data'!U57="",E57=""),"",'Production data'!U57*E57/1000)</f>
        <v/>
      </c>
      <c r="J57" s="275" t="str">
        <f>IF(OR('Production data'!V57=0,'Production data'!V57="",F57=""),"",'Production data'!V57*F57/1000)</f>
        <v/>
      </c>
      <c r="K57" s="278" t="str">
        <f>IF('Input Laying'!AC58=0,"",('Input Laying'!AD59-'Input Laying'!AE59)/'Input Laying'!D58/7*'Input Laying'!AC58/1000)</f>
        <v/>
      </c>
    </row>
    <row r="58" spans="1:11" ht="15.75" customHeight="1" x14ac:dyDescent="0.2">
      <c r="A58" s="315">
        <f t="shared" si="2"/>
        <v>420</v>
      </c>
      <c r="B58" s="184">
        <v>61</v>
      </c>
      <c r="C58" s="185" t="str">
        <f>IF(OR('Input Laying'!AD59=0,'Input Laying'!AD59=""),"",'Input Laying'!AD59-'Input Laying'!AE59)</f>
        <v/>
      </c>
      <c r="D58" s="186" t="str">
        <f>IF(OR('Input Laying'!AF59=0,'Input Laying'!AF59=""),"",'Input Laying'!AF59)</f>
        <v/>
      </c>
      <c r="E58" s="187" t="str">
        <f>IF(OR('Input Laying'!AC59=0,'Input Laying'!AC59=""),"",'Input Laying'!AC59)</f>
        <v/>
      </c>
      <c r="F58" s="188" t="str">
        <f t="shared" si="1"/>
        <v/>
      </c>
      <c r="G58" s="189" t="str">
        <f>IF(OR('Production data'!S58=0,'Production data'!S58="",E58=""),"",'Production data'!S58*(E58/1000/1000))</f>
        <v/>
      </c>
      <c r="H58" s="181" t="str">
        <f>IF(OR('Production data'!T58=0,'Production data'!T58="",F58=""),"",'Production data'!T58*F58/1000/1000)</f>
        <v/>
      </c>
      <c r="I58" s="187" t="str">
        <f>IF(OR('Production data'!U58=0,'Production data'!U58="",E58=""),"",'Production data'!U58*E58/1000)</f>
        <v/>
      </c>
      <c r="J58" s="188" t="str">
        <f>IF(OR('Production data'!V58=0,'Production data'!V58="",F58=""),"",'Production data'!V58*F58/1000)</f>
        <v/>
      </c>
      <c r="K58" s="183" t="str">
        <f>IF('Input Laying'!AC59=0,"",('Input Laying'!AD60-'Input Laying'!AE60)/'Input Laying'!D59/7*'Input Laying'!AC59/1000)</f>
        <v/>
      </c>
    </row>
    <row r="59" spans="1:11" ht="15.75" customHeight="1" x14ac:dyDescent="0.2">
      <c r="A59" s="314">
        <f t="shared" si="2"/>
        <v>427</v>
      </c>
      <c r="B59" s="271">
        <v>62</v>
      </c>
      <c r="C59" s="272" t="str">
        <f>IF(OR('Input Laying'!AD60=0,'Input Laying'!AD60=""),"",'Input Laying'!AD60-'Input Laying'!AE60)</f>
        <v/>
      </c>
      <c r="D59" s="273" t="str">
        <f>IF(OR('Input Laying'!AF60=0,'Input Laying'!AF60=""),"",'Input Laying'!AF60)</f>
        <v/>
      </c>
      <c r="E59" s="274" t="str">
        <f>IF(OR('Input Laying'!AC60=0,'Input Laying'!AC60=""),"",'Input Laying'!AC60)</f>
        <v/>
      </c>
      <c r="F59" s="275" t="str">
        <f t="shared" si="1"/>
        <v/>
      </c>
      <c r="G59" s="276" t="str">
        <f>IF(OR('Production data'!S59=0,'Production data'!S59="",E59=""),"",'Production data'!S59*(E59/1000/1000))</f>
        <v/>
      </c>
      <c r="H59" s="277" t="str">
        <f>IF(OR('Production data'!T59=0,'Production data'!T59="",F59=""),"",'Production data'!T59*F59/1000/1000)</f>
        <v/>
      </c>
      <c r="I59" s="274" t="str">
        <f>IF(OR('Production data'!U59=0,'Production data'!U59="",E59=""),"",'Production data'!U59*E59/1000)</f>
        <v/>
      </c>
      <c r="J59" s="275" t="str">
        <f>IF(OR('Production data'!V59=0,'Production data'!V59="",F59=""),"",'Production data'!V59*F59/1000)</f>
        <v/>
      </c>
      <c r="K59" s="278" t="str">
        <f>IF('Input Laying'!AC60=0,"",('Input Laying'!AD61-'Input Laying'!AE61)/'Input Laying'!D60/7*'Input Laying'!AC60/1000)</f>
        <v/>
      </c>
    </row>
    <row r="60" spans="1:11" ht="15.75" customHeight="1" x14ac:dyDescent="0.2">
      <c r="A60" s="315">
        <f t="shared" si="2"/>
        <v>434</v>
      </c>
      <c r="B60" s="184">
        <v>63</v>
      </c>
      <c r="C60" s="185" t="str">
        <f>IF(OR('Input Laying'!AD61=0,'Input Laying'!AD61=""),"",'Input Laying'!AD61-'Input Laying'!AE61)</f>
        <v/>
      </c>
      <c r="D60" s="186" t="str">
        <f>IF(OR('Input Laying'!AF61=0,'Input Laying'!AF61=""),"",'Input Laying'!AF61)</f>
        <v/>
      </c>
      <c r="E60" s="187" t="str">
        <f>IF(OR('Input Laying'!AC61=0,'Input Laying'!AC61=""),"",'Input Laying'!AC61)</f>
        <v/>
      </c>
      <c r="F60" s="188" t="str">
        <f t="shared" si="1"/>
        <v/>
      </c>
      <c r="G60" s="189" t="str">
        <f>IF(OR('Production data'!S60=0,'Production data'!S60="",E60=""),"",'Production data'!S60*(E60/1000/1000))</f>
        <v/>
      </c>
      <c r="H60" s="181" t="str">
        <f>IF(OR('Production data'!T60=0,'Production data'!T60="",F60=""),"",'Production data'!T60*F60/1000/1000)</f>
        <v/>
      </c>
      <c r="I60" s="187" t="str">
        <f>IF(OR('Production data'!U60=0,'Production data'!U60="",E60=""),"",'Production data'!U60*E60/1000)</f>
        <v/>
      </c>
      <c r="J60" s="188" t="str">
        <f>IF(OR('Production data'!V60=0,'Production data'!V60="",F60=""),"",'Production data'!V60*F60/1000)</f>
        <v/>
      </c>
      <c r="K60" s="183" t="str">
        <f>IF('Input Laying'!AC61=0,"",('Input Laying'!AD62-'Input Laying'!AE62)/'Input Laying'!D61/7*'Input Laying'!AC61/1000)</f>
        <v/>
      </c>
    </row>
    <row r="61" spans="1:11" ht="15.75" customHeight="1" x14ac:dyDescent="0.2">
      <c r="A61" s="314">
        <f t="shared" si="2"/>
        <v>441</v>
      </c>
      <c r="B61" s="271">
        <v>64</v>
      </c>
      <c r="C61" s="272" t="str">
        <f>IF(OR('Input Laying'!AD62=0,'Input Laying'!AD62=""),"",'Input Laying'!AD62-'Input Laying'!AE62)</f>
        <v/>
      </c>
      <c r="D61" s="273" t="str">
        <f>IF(OR('Input Laying'!AF62=0,'Input Laying'!AF62=""),"",'Input Laying'!AF62)</f>
        <v/>
      </c>
      <c r="E61" s="274" t="str">
        <f>IF(OR('Input Laying'!AC62=0,'Input Laying'!AC62=""),"",'Input Laying'!AC62)</f>
        <v/>
      </c>
      <c r="F61" s="275" t="str">
        <f t="shared" si="1"/>
        <v/>
      </c>
      <c r="G61" s="276" t="str">
        <f>IF(OR('Production data'!S61=0,'Production data'!S61="",E61=""),"",'Production data'!S61*(E61/1000/1000))</f>
        <v/>
      </c>
      <c r="H61" s="277" t="str">
        <f>IF(OR('Production data'!T61=0,'Production data'!T61="",F61=""),"",'Production data'!T61*F61/1000/1000)</f>
        <v/>
      </c>
      <c r="I61" s="274" t="str">
        <f>IF(OR('Production data'!U61=0,'Production data'!U61="",E61=""),"",'Production data'!U61*E61/1000)</f>
        <v/>
      </c>
      <c r="J61" s="275" t="str">
        <f>IF(OR('Production data'!V61=0,'Production data'!V61="",F61=""),"",'Production data'!V61*F61/1000)</f>
        <v/>
      </c>
      <c r="K61" s="278" t="str">
        <f>IF('Input Laying'!AC62=0,"",('Input Laying'!AD63-'Input Laying'!AE63)/'Input Laying'!D62/7*'Input Laying'!AC62/1000)</f>
        <v/>
      </c>
    </row>
    <row r="62" spans="1:11" ht="15.75" customHeight="1" x14ac:dyDescent="0.2">
      <c r="A62" s="315">
        <f t="shared" si="2"/>
        <v>448</v>
      </c>
      <c r="B62" s="184">
        <v>65</v>
      </c>
      <c r="C62" s="185" t="str">
        <f>IF(OR('Input Laying'!AD63=0,'Input Laying'!AD63=""),"",'Input Laying'!AD63-'Input Laying'!AE63)</f>
        <v/>
      </c>
      <c r="D62" s="186" t="str">
        <f>IF(OR('Input Laying'!AF63=0,'Input Laying'!AF63=""),"",'Input Laying'!AF63)</f>
        <v/>
      </c>
      <c r="E62" s="187" t="str">
        <f>IF(OR('Input Laying'!AC63=0,'Input Laying'!AC63=""),"",'Input Laying'!AC63)</f>
        <v/>
      </c>
      <c r="F62" s="188" t="str">
        <f t="shared" si="1"/>
        <v/>
      </c>
      <c r="G62" s="189" t="str">
        <f>IF(OR('Production data'!S62=0,'Production data'!S62="",E62=""),"",'Production data'!S62*(E62/1000/1000))</f>
        <v/>
      </c>
      <c r="H62" s="181" t="str">
        <f>IF(OR('Production data'!T62=0,'Production data'!T62="",F62=""),"",'Production data'!T62*F62/1000/1000)</f>
        <v/>
      </c>
      <c r="I62" s="187" t="str">
        <f>IF(OR('Production data'!U62=0,'Production data'!U62="",E62=""),"",'Production data'!U62*E62/1000)</f>
        <v/>
      </c>
      <c r="J62" s="188" t="str">
        <f>IF(OR('Production data'!V62=0,'Production data'!V62="",F62=""),"",'Production data'!V62*F62/1000)</f>
        <v/>
      </c>
      <c r="K62" s="183" t="str">
        <f>IF('Input Laying'!AC63=0,"",('Input Laying'!AD64-'Input Laying'!AE64)/'Input Laying'!D63/7*'Input Laying'!AC63/1000)</f>
        <v/>
      </c>
    </row>
    <row r="63" spans="1:11" ht="15.75" customHeight="1" x14ac:dyDescent="0.2">
      <c r="A63" s="314">
        <f t="shared" si="2"/>
        <v>455</v>
      </c>
      <c r="B63" s="271">
        <v>66</v>
      </c>
      <c r="C63" s="272" t="str">
        <f>IF(OR('Input Laying'!AD64=0,'Input Laying'!AD64=""),"",'Input Laying'!AD64-'Input Laying'!AE64)</f>
        <v/>
      </c>
      <c r="D63" s="273" t="str">
        <f>IF(OR('Input Laying'!AF64=0,'Input Laying'!AF64=""),"",'Input Laying'!AF64)</f>
        <v/>
      </c>
      <c r="E63" s="274" t="str">
        <f>IF(OR('Input Laying'!AC64=0,'Input Laying'!AC64=""),"",'Input Laying'!AC64)</f>
        <v/>
      </c>
      <c r="F63" s="275" t="str">
        <f t="shared" si="1"/>
        <v/>
      </c>
      <c r="G63" s="276" t="str">
        <f>IF(OR('Production data'!S63=0,'Production data'!S63="",E63=""),"",'Production data'!S63*(E63/1000/1000))</f>
        <v/>
      </c>
      <c r="H63" s="277" t="str">
        <f>IF(OR('Production data'!T63=0,'Production data'!T63="",F63=""),"",'Production data'!T63*F63/1000/1000)</f>
        <v/>
      </c>
      <c r="I63" s="274" t="str">
        <f>IF(OR('Production data'!U63=0,'Production data'!U63="",E63=""),"",'Production data'!U63*E63/1000)</f>
        <v/>
      </c>
      <c r="J63" s="275" t="str">
        <f>IF(OR('Production data'!V63=0,'Production data'!V63="",F63=""),"",'Production data'!V63*F63/1000)</f>
        <v/>
      </c>
      <c r="K63" s="278" t="str">
        <f>IF('Input Laying'!AC64=0,"",('Input Laying'!AD65-'Input Laying'!AE65)/'Input Laying'!D64/7*'Input Laying'!AC64/1000)</f>
        <v/>
      </c>
    </row>
    <row r="64" spans="1:11" ht="15.75" customHeight="1" x14ac:dyDescent="0.2">
      <c r="A64" s="315">
        <f t="shared" si="2"/>
        <v>462</v>
      </c>
      <c r="B64" s="184">
        <v>67</v>
      </c>
      <c r="C64" s="185" t="str">
        <f>IF(OR('Input Laying'!AD65=0,'Input Laying'!AD65=""),"",'Input Laying'!AD65-'Input Laying'!AE65)</f>
        <v/>
      </c>
      <c r="D64" s="186" t="str">
        <f>IF(OR('Input Laying'!AF65=0,'Input Laying'!AF65=""),"",'Input Laying'!AF65)</f>
        <v/>
      </c>
      <c r="E64" s="187" t="str">
        <f>IF(OR('Input Laying'!AC65=0,'Input Laying'!AC65=""),"",'Input Laying'!AC65)</f>
        <v/>
      </c>
      <c r="F64" s="188" t="str">
        <f t="shared" si="1"/>
        <v/>
      </c>
      <c r="G64" s="189" t="str">
        <f>IF(OR('Production data'!S64=0,'Production data'!S64="",E64=""),"",'Production data'!S64*(E64/1000/1000))</f>
        <v/>
      </c>
      <c r="H64" s="181" t="str">
        <f>IF(OR('Production data'!T64=0,'Production data'!T64="",F64=""),"",'Production data'!T64*F64/1000/1000)</f>
        <v/>
      </c>
      <c r="I64" s="187" t="str">
        <f>IF(OR('Production data'!U64=0,'Production data'!U64="",E64=""),"",'Production data'!U64*E64/1000)</f>
        <v/>
      </c>
      <c r="J64" s="188" t="str">
        <f>IF(OR('Production data'!V64=0,'Production data'!V64="",F64=""),"",'Production data'!V64*F64/1000)</f>
        <v/>
      </c>
      <c r="K64" s="183" t="str">
        <f>IF('Input Laying'!AC65=0,"",('Input Laying'!AD66-'Input Laying'!AE66)/'Input Laying'!D65/7*'Input Laying'!AC65/1000)</f>
        <v/>
      </c>
    </row>
    <row r="65" spans="1:11" ht="15.75" customHeight="1" x14ac:dyDescent="0.2">
      <c r="A65" s="314">
        <f t="shared" si="2"/>
        <v>469</v>
      </c>
      <c r="B65" s="271">
        <v>68</v>
      </c>
      <c r="C65" s="272" t="str">
        <f>IF(OR('Input Laying'!AD66=0,'Input Laying'!AD66=""),"",'Input Laying'!AD66-'Input Laying'!AE66)</f>
        <v/>
      </c>
      <c r="D65" s="273" t="str">
        <f>IF(OR('Input Laying'!AF66=0,'Input Laying'!AF66=""),"",'Input Laying'!AF66)</f>
        <v/>
      </c>
      <c r="E65" s="274" t="str">
        <f>IF(OR('Input Laying'!AC66=0,'Input Laying'!AC66=""),"",'Input Laying'!AC66)</f>
        <v/>
      </c>
      <c r="F65" s="275" t="str">
        <f t="shared" si="1"/>
        <v/>
      </c>
      <c r="G65" s="276" t="str">
        <f>IF(OR('Production data'!S65=0,'Production data'!S65="",E65=""),"",'Production data'!S65*(E65/1000/1000))</f>
        <v/>
      </c>
      <c r="H65" s="277" t="str">
        <f>IF(OR('Production data'!T65=0,'Production data'!T65="",F65=""),"",'Production data'!T65*F65/1000/1000)</f>
        <v/>
      </c>
      <c r="I65" s="274" t="str">
        <f>IF(OR('Production data'!U65=0,'Production data'!U65="",E65=""),"",'Production data'!U65*E65/1000)</f>
        <v/>
      </c>
      <c r="J65" s="275" t="str">
        <f>IF(OR('Production data'!V65=0,'Production data'!V65="",F65=""),"",'Production data'!V65*F65/1000)</f>
        <v/>
      </c>
      <c r="K65" s="278" t="str">
        <f>IF('Input Laying'!AC66=0,"",('Input Laying'!AD67-'Input Laying'!AE67)/'Input Laying'!D66/7*'Input Laying'!AC66/1000)</f>
        <v/>
      </c>
    </row>
    <row r="66" spans="1:11" ht="15.75" customHeight="1" x14ac:dyDescent="0.2">
      <c r="A66" s="315">
        <f t="shared" si="2"/>
        <v>476</v>
      </c>
      <c r="B66" s="184">
        <v>69</v>
      </c>
      <c r="C66" s="185" t="str">
        <f>IF(OR('Input Laying'!AD67=0,'Input Laying'!AD67=""),"",'Input Laying'!AD67-'Input Laying'!AE67)</f>
        <v/>
      </c>
      <c r="D66" s="186" t="str">
        <f>IF(OR('Input Laying'!AF67=0,'Input Laying'!AF67=""),"",'Input Laying'!AF67)</f>
        <v/>
      </c>
      <c r="E66" s="187" t="str">
        <f>IF(OR('Input Laying'!AC67=0,'Input Laying'!AC67=""),"",'Input Laying'!AC67)</f>
        <v/>
      </c>
      <c r="F66" s="188" t="str">
        <f t="shared" si="1"/>
        <v/>
      </c>
      <c r="G66" s="189" t="str">
        <f>IF(OR('Production data'!S66=0,'Production data'!S66="",E66=""),"",'Production data'!S66*(E66/1000/1000))</f>
        <v/>
      </c>
      <c r="H66" s="181" t="str">
        <f>IF(OR('Production data'!T66=0,'Production data'!T66="",F66=""),"",'Production data'!T66*F66/1000/1000)</f>
        <v/>
      </c>
      <c r="I66" s="187" t="str">
        <f>IF(OR('Production data'!U66=0,'Production data'!U66="",E66=""),"",'Production data'!U66*E66/1000)</f>
        <v/>
      </c>
      <c r="J66" s="188" t="str">
        <f>IF(OR('Production data'!V66=0,'Production data'!V66="",F66=""),"",'Production data'!V66*F66/1000)</f>
        <v/>
      </c>
      <c r="K66" s="183" t="str">
        <f>IF('Input Laying'!AC67=0,"",('Input Laying'!AD68-'Input Laying'!AE68)/'Input Laying'!D67/7*'Input Laying'!AC67/1000)</f>
        <v/>
      </c>
    </row>
    <row r="67" spans="1:11" ht="15.75" customHeight="1" x14ac:dyDescent="0.2">
      <c r="A67" s="314">
        <f t="shared" si="2"/>
        <v>483</v>
      </c>
      <c r="B67" s="271">
        <v>70</v>
      </c>
      <c r="C67" s="272" t="str">
        <f>IF(OR('Input Laying'!AD68=0,'Input Laying'!AD68=""),"",'Input Laying'!AD68-'Input Laying'!AE68)</f>
        <v/>
      </c>
      <c r="D67" s="273" t="str">
        <f>IF(OR('Input Laying'!AF68=0,'Input Laying'!AF68=""),"",'Input Laying'!AF68)</f>
        <v/>
      </c>
      <c r="E67" s="274" t="str">
        <f>IF(OR('Input Laying'!AC68=0,'Input Laying'!AC68=""),"",'Input Laying'!AC68)</f>
        <v/>
      </c>
      <c r="F67" s="275" t="str">
        <f t="shared" si="1"/>
        <v/>
      </c>
      <c r="G67" s="276" t="str">
        <f>IF(OR('Production data'!S67=0,'Production data'!S67="",E67=""),"",'Production data'!S67*(E67/1000/1000))</f>
        <v/>
      </c>
      <c r="H67" s="277" t="str">
        <f>IF(OR('Production data'!T67=0,'Production data'!T67="",F67=""),"",'Production data'!T67*F67/1000/1000)</f>
        <v/>
      </c>
      <c r="I67" s="274" t="str">
        <f>IF(OR('Production data'!U67=0,'Production data'!U67="",E67=""),"",'Production data'!U67*E67/1000)</f>
        <v/>
      </c>
      <c r="J67" s="275" t="str">
        <f>IF(OR('Production data'!V67=0,'Production data'!V67="",F67=""),"",'Production data'!V67*F67/1000)</f>
        <v/>
      </c>
      <c r="K67" s="278" t="str">
        <f>IF('Input Laying'!AC68=0,"",('Input Laying'!AD69-'Input Laying'!AE69)/'Input Laying'!D68/7*'Input Laying'!AC68/1000)</f>
        <v/>
      </c>
    </row>
    <row r="68" spans="1:11" ht="15.75" customHeight="1" x14ac:dyDescent="0.2">
      <c r="A68" s="315">
        <f t="shared" si="2"/>
        <v>490</v>
      </c>
      <c r="B68" s="184">
        <v>71</v>
      </c>
      <c r="C68" s="185" t="str">
        <f>IF(OR('Input Laying'!AD69=0,'Input Laying'!AD69=""),"",'Input Laying'!AD69-'Input Laying'!AE69)</f>
        <v/>
      </c>
      <c r="D68" s="186" t="str">
        <f>IF(OR('Input Laying'!AF69=0,'Input Laying'!AF69=""),"",'Input Laying'!AF69)</f>
        <v/>
      </c>
      <c r="E68" s="187" t="str">
        <f>IF(OR('Input Laying'!AC69=0,'Input Laying'!AC69=""),"",'Input Laying'!AC69)</f>
        <v/>
      </c>
      <c r="F68" s="188" t="str">
        <f t="shared" si="1"/>
        <v/>
      </c>
      <c r="G68" s="189" t="str">
        <f>IF(OR('Production data'!S68=0,'Production data'!S68="",E68=""),"",'Production data'!S68*(E68/1000/1000))</f>
        <v/>
      </c>
      <c r="H68" s="181" t="str">
        <f>IF(OR('Production data'!T68=0,'Production data'!T68="",F68=""),"",'Production data'!T68*F68/1000/1000)</f>
        <v/>
      </c>
      <c r="I68" s="187" t="str">
        <f>IF(OR('Production data'!U68=0,'Production data'!U68="",E68=""),"",'Production data'!U68*E68/1000)</f>
        <v/>
      </c>
      <c r="J68" s="188" t="str">
        <f>IF(OR('Production data'!V68=0,'Production data'!V68="",F68=""),"",'Production data'!V68*F68/1000)</f>
        <v/>
      </c>
      <c r="K68" s="183" t="str">
        <f>IF('Input Laying'!AC69=0,"",('Input Laying'!AD70-'Input Laying'!AE70)/'Input Laying'!D69/7*'Input Laying'!AC69/1000)</f>
        <v/>
      </c>
    </row>
    <row r="69" spans="1:11" ht="15.75" customHeight="1" x14ac:dyDescent="0.2">
      <c r="A69" s="314">
        <f t="shared" si="2"/>
        <v>497</v>
      </c>
      <c r="B69" s="271">
        <v>72</v>
      </c>
      <c r="C69" s="272" t="str">
        <f>IF(OR('Input Laying'!AD70=0,'Input Laying'!AD70=""),"",'Input Laying'!AD70-'Input Laying'!AE70)</f>
        <v/>
      </c>
      <c r="D69" s="273" t="str">
        <f>IF(OR('Input Laying'!AF70=0,'Input Laying'!AF70=""),"",'Input Laying'!AF70)</f>
        <v/>
      </c>
      <c r="E69" s="274" t="str">
        <f>IF(OR('Input Laying'!AC70=0,'Input Laying'!AC70=""),"",'Input Laying'!AC70)</f>
        <v/>
      </c>
      <c r="F69" s="275" t="str">
        <f t="shared" si="1"/>
        <v/>
      </c>
      <c r="G69" s="276" t="str">
        <f>IF(OR('Production data'!S69=0,'Production data'!S69="",E69=""),"",'Production data'!S69*(E69/1000/1000))</f>
        <v/>
      </c>
      <c r="H69" s="277" t="str">
        <f>IF(OR('Production data'!T69=0,'Production data'!T69="",F69=""),"",'Production data'!T69*F69/1000/1000)</f>
        <v/>
      </c>
      <c r="I69" s="274" t="str">
        <f>IF(OR('Production data'!U69=0,'Production data'!U69="",E69=""),"",'Production data'!U69*E69/1000)</f>
        <v/>
      </c>
      <c r="J69" s="275" t="str">
        <f>IF(OR('Production data'!V69=0,'Production data'!V69="",F69=""),"",'Production data'!V69*F69/1000)</f>
        <v/>
      </c>
      <c r="K69" s="278" t="str">
        <f>IF('Input Laying'!AC70=0,"",('Input Laying'!AD71-'Input Laying'!AE71)/'Input Laying'!D70/7*'Input Laying'!AC70/1000)</f>
        <v/>
      </c>
    </row>
    <row r="70" spans="1:11" ht="15.75" customHeight="1" x14ac:dyDescent="0.2">
      <c r="A70" s="315">
        <f t="shared" si="2"/>
        <v>504</v>
      </c>
      <c r="B70" s="184">
        <v>73</v>
      </c>
      <c r="C70" s="185" t="str">
        <f>IF(OR('Input Laying'!AD71=0,'Input Laying'!AD71=""),"",'Input Laying'!AD71-'Input Laying'!AE71)</f>
        <v/>
      </c>
      <c r="D70" s="186" t="str">
        <f>IF(OR('Input Laying'!AF71=0,'Input Laying'!AF71=""),"",'Input Laying'!AF71)</f>
        <v/>
      </c>
      <c r="E70" s="187" t="str">
        <f>IF(OR('Input Laying'!AC71=0,'Input Laying'!AC71=""),"",'Input Laying'!AC71)</f>
        <v/>
      </c>
      <c r="F70" s="188" t="str">
        <f t="shared" si="1"/>
        <v/>
      </c>
      <c r="G70" s="189" t="str">
        <f>IF(OR('Production data'!S70=0,'Production data'!S70="",E70=""),"",'Production data'!S70*(E70/1000/1000))</f>
        <v/>
      </c>
      <c r="H70" s="181" t="str">
        <f>IF(OR('Production data'!T70=0,'Production data'!T70="",F70=""),"",'Production data'!T70*F70/1000/1000)</f>
        <v/>
      </c>
      <c r="I70" s="187" t="str">
        <f>IF(OR('Production data'!U70=0,'Production data'!U70="",E70=""),"",'Production data'!U70*E70/1000)</f>
        <v/>
      </c>
      <c r="J70" s="188" t="str">
        <f>IF(OR('Production data'!V70=0,'Production data'!V70="",F70=""),"",'Production data'!V70*F70/1000)</f>
        <v/>
      </c>
      <c r="K70" s="183" t="str">
        <f>IF('Input Laying'!AC71=0,"",('Input Laying'!AD72-'Input Laying'!AE72)/'Input Laying'!D71/7*'Input Laying'!AC71/1000)</f>
        <v/>
      </c>
    </row>
    <row r="71" spans="1:11" ht="15.75" customHeight="1" x14ac:dyDescent="0.2">
      <c r="A71" s="314">
        <f t="shared" si="2"/>
        <v>511</v>
      </c>
      <c r="B71" s="271">
        <v>74</v>
      </c>
      <c r="C71" s="272" t="str">
        <f>IF(OR('Input Laying'!AD72=0,'Input Laying'!AD72=""),"",'Input Laying'!AD72-'Input Laying'!AE72)</f>
        <v/>
      </c>
      <c r="D71" s="273" t="str">
        <f>IF(OR('Input Laying'!AF72=0,'Input Laying'!AF72=""),"",'Input Laying'!AF72)</f>
        <v/>
      </c>
      <c r="E71" s="274" t="str">
        <f>IF(OR('Input Laying'!AC72=0,'Input Laying'!AC72=""),"",'Input Laying'!AC72)</f>
        <v/>
      </c>
      <c r="F71" s="275" t="str">
        <f t="shared" si="1"/>
        <v/>
      </c>
      <c r="G71" s="276" t="str">
        <f>IF(OR('Production data'!S71=0,'Production data'!S71="",E71=""),"",'Production data'!S71*(E71/1000/1000))</f>
        <v/>
      </c>
      <c r="H71" s="277" t="str">
        <f>IF(OR('Production data'!T71=0,'Production data'!T71="",F71=""),"",'Production data'!T71*F71/1000/1000)</f>
        <v/>
      </c>
      <c r="I71" s="274" t="str">
        <f>IF(OR('Production data'!U71=0,'Production data'!U71="",E71=""),"",'Production data'!U71*E71/1000)</f>
        <v/>
      </c>
      <c r="J71" s="275" t="str">
        <f>IF(OR('Production data'!V71=0,'Production data'!V71="",F71=""),"",'Production data'!V71*F71/1000)</f>
        <v/>
      </c>
      <c r="K71" s="278" t="str">
        <f>IF('Input Laying'!AC72=0,"",('Input Laying'!AD73-'Input Laying'!AE73)/'Input Laying'!D72/7*'Input Laying'!AC72/1000)</f>
        <v/>
      </c>
    </row>
    <row r="72" spans="1:11" ht="15.75" customHeight="1" x14ac:dyDescent="0.2">
      <c r="A72" s="315">
        <f t="shared" si="2"/>
        <v>518</v>
      </c>
      <c r="B72" s="184">
        <v>75</v>
      </c>
      <c r="C72" s="185" t="str">
        <f>IF(OR('Input Laying'!AD73=0,'Input Laying'!AD73=""),"",'Input Laying'!AD73-'Input Laying'!AE73)</f>
        <v/>
      </c>
      <c r="D72" s="186" t="str">
        <f>IF(OR('Input Laying'!AF73=0,'Input Laying'!AF73=""),"",'Input Laying'!AF73)</f>
        <v/>
      </c>
      <c r="E72" s="187" t="str">
        <f>IF(OR('Input Laying'!AC73=0,'Input Laying'!AC73=""),"",'Input Laying'!AC73)</f>
        <v/>
      </c>
      <c r="F72" s="188" t="str">
        <f t="shared" si="1"/>
        <v/>
      </c>
      <c r="G72" s="189" t="str">
        <f>IF(OR('Production data'!S72=0,'Production data'!S72="",E72=""),"",'Production data'!S72*(E72/1000/1000))</f>
        <v/>
      </c>
      <c r="H72" s="181" t="str">
        <f>IF(OR('Production data'!T72=0,'Production data'!T72="",F72=""),"",'Production data'!T72*F72/1000/1000)</f>
        <v/>
      </c>
      <c r="I72" s="187" t="str">
        <f>IF(OR('Production data'!U72=0,'Production data'!U72="",E72=""),"",'Production data'!U72*E72/1000)</f>
        <v/>
      </c>
      <c r="J72" s="188" t="str">
        <f>IF(OR('Production data'!V72=0,'Production data'!V72="",F72=""),"",'Production data'!V72*F72/1000)</f>
        <v/>
      </c>
      <c r="K72" s="183" t="str">
        <f>IF('Input Laying'!AC73=0,"",('Input Laying'!AD74-'Input Laying'!AE74)/'Input Laying'!D73/7*'Input Laying'!AC73/1000)</f>
        <v/>
      </c>
    </row>
    <row r="73" spans="1:11" ht="15.75" customHeight="1" x14ac:dyDescent="0.2">
      <c r="A73" s="314">
        <f t="shared" si="2"/>
        <v>525</v>
      </c>
      <c r="B73" s="271">
        <v>76</v>
      </c>
      <c r="C73" s="272" t="str">
        <f>IF(OR('Input Laying'!AD74=0,'Input Laying'!AD74=""),"",'Input Laying'!AD74-'Input Laying'!AE74)</f>
        <v/>
      </c>
      <c r="D73" s="273" t="str">
        <f>IF(OR('Input Laying'!AF74=0,'Input Laying'!AF74=""),"",'Input Laying'!AF74)</f>
        <v/>
      </c>
      <c r="E73" s="274" t="str">
        <f>IF(OR('Input Laying'!AC74=0,'Input Laying'!AC74=""),"",'Input Laying'!AC74)</f>
        <v/>
      </c>
      <c r="F73" s="275" t="str">
        <f t="shared" si="1"/>
        <v/>
      </c>
      <c r="G73" s="276" t="str">
        <f>IF(OR('Production data'!S73=0,'Production data'!S73="",E73=""),"",'Production data'!S73*(E73/1000/1000))</f>
        <v/>
      </c>
      <c r="H73" s="277" t="str">
        <f>IF(OR('Production data'!T73=0,'Production data'!T73="",F73=""),"",'Production data'!T73*F73/1000/1000)</f>
        <v/>
      </c>
      <c r="I73" s="274" t="str">
        <f>IF(OR('Production data'!U73=0,'Production data'!U73="",E73=""),"",'Production data'!U73*E73/1000)</f>
        <v/>
      </c>
      <c r="J73" s="275" t="str">
        <f>IF(OR('Production data'!V73=0,'Production data'!V73="",F73=""),"",'Production data'!V73*F73/1000)</f>
        <v/>
      </c>
      <c r="K73" s="278" t="str">
        <f>IF('Input Laying'!AC74=0,"",('Input Laying'!AD75-'Input Laying'!AE75)/'Input Laying'!D74/7*'Input Laying'!AC74/1000)</f>
        <v/>
      </c>
    </row>
    <row r="74" spans="1:11" ht="15.75" customHeight="1" x14ac:dyDescent="0.2">
      <c r="A74" s="315">
        <f t="shared" si="2"/>
        <v>532</v>
      </c>
      <c r="B74" s="184">
        <v>77</v>
      </c>
      <c r="C74" s="185" t="str">
        <f>IF(OR('Input Laying'!AD75=0,'Input Laying'!AD75=""),"",'Input Laying'!AD75-'Input Laying'!AE75)</f>
        <v/>
      </c>
      <c r="D74" s="186" t="str">
        <f>IF(OR('Input Laying'!AF75=0,'Input Laying'!AF75=""),"",'Input Laying'!AF75)</f>
        <v/>
      </c>
      <c r="E74" s="187" t="str">
        <f>IF(OR('Input Laying'!AC75=0,'Input Laying'!AC75=""),"",'Input Laying'!AC75)</f>
        <v/>
      </c>
      <c r="F74" s="188" t="str">
        <f t="shared" si="1"/>
        <v/>
      </c>
      <c r="G74" s="189" t="str">
        <f>IF(OR('Production data'!S74=0,'Production data'!S74="",E74=""),"",'Production data'!S74*(E74/1000/1000))</f>
        <v/>
      </c>
      <c r="H74" s="181" t="str">
        <f>IF(OR('Production data'!T74=0,'Production data'!T74="",F74=""),"",'Production data'!T74*F74/1000/1000)</f>
        <v/>
      </c>
      <c r="I74" s="187" t="str">
        <f>IF(OR('Production data'!U74=0,'Production data'!U74="",E74=""),"",'Production data'!U74*E74/1000)</f>
        <v/>
      </c>
      <c r="J74" s="188" t="str">
        <f>IF(OR('Production data'!V74=0,'Production data'!V74="",F74=""),"",'Production data'!V74*F74/1000)</f>
        <v/>
      </c>
      <c r="K74" s="183" t="str">
        <f>IF('Input Laying'!AC75=0,"",('Input Laying'!AD76-'Input Laying'!AE76)/'Input Laying'!D75/7*'Input Laying'!AC75/1000)</f>
        <v/>
      </c>
    </row>
    <row r="75" spans="1:11" ht="15.75" customHeight="1" x14ac:dyDescent="0.2">
      <c r="A75" s="314">
        <f t="shared" si="2"/>
        <v>539</v>
      </c>
      <c r="B75" s="271">
        <v>78</v>
      </c>
      <c r="C75" s="272" t="str">
        <f>IF(OR('Input Laying'!AD76=0,'Input Laying'!AD76=""),"",'Input Laying'!AD76-'Input Laying'!AE76)</f>
        <v/>
      </c>
      <c r="D75" s="273" t="str">
        <f>IF(OR('Input Laying'!AF76=0,'Input Laying'!AF76=""),"",'Input Laying'!AF76)</f>
        <v/>
      </c>
      <c r="E75" s="274" t="str">
        <f>IF(OR('Input Laying'!AC76=0,'Input Laying'!AC76=""),"",'Input Laying'!AC76)</f>
        <v/>
      </c>
      <c r="F75" s="275" t="str">
        <f t="shared" si="1"/>
        <v/>
      </c>
      <c r="G75" s="276" t="str">
        <f>IF(OR('Production data'!S75=0,'Production data'!S75="",E75=""),"",'Production data'!S75*(E75/1000/1000))</f>
        <v/>
      </c>
      <c r="H75" s="277" t="str">
        <f>IF(OR('Production data'!T75=0,'Production data'!T75="",F75=""),"",'Production data'!T75*F75/1000/1000)</f>
        <v/>
      </c>
      <c r="I75" s="274" t="str">
        <f>IF(OR('Production data'!U75=0,'Production data'!U75="",E75=""),"",'Production data'!U75*E75/1000)</f>
        <v/>
      </c>
      <c r="J75" s="275" t="str">
        <f>IF(OR('Production data'!V75=0,'Production data'!V75="",F75=""),"",'Production data'!V75*F75/1000)</f>
        <v/>
      </c>
      <c r="K75" s="278" t="str">
        <f>IF('Input Laying'!AC76=0,"",('Input Laying'!AD77-'Input Laying'!AE77)/'Input Laying'!D76/7*'Input Laying'!AC76/1000)</f>
        <v/>
      </c>
    </row>
    <row r="76" spans="1:11" ht="15.75" customHeight="1" x14ac:dyDescent="0.2">
      <c r="A76" s="315">
        <f t="shared" si="2"/>
        <v>546</v>
      </c>
      <c r="B76" s="184">
        <v>79</v>
      </c>
      <c r="C76" s="185" t="str">
        <f>IF(OR('Input Laying'!AD77=0,'Input Laying'!AD77=""),"",'Input Laying'!AD77-'Input Laying'!AE77)</f>
        <v/>
      </c>
      <c r="D76" s="186" t="str">
        <f>IF(OR('Input Laying'!AF77=0,'Input Laying'!AF77=""),"",'Input Laying'!AF77)</f>
        <v/>
      </c>
      <c r="E76" s="187" t="str">
        <f>IF(OR('Input Laying'!AC77=0,'Input Laying'!AC77=""),"",'Input Laying'!AC77)</f>
        <v/>
      </c>
      <c r="F76" s="188" t="str">
        <f t="shared" si="1"/>
        <v/>
      </c>
      <c r="G76" s="189" t="str">
        <f>IF(OR('Production data'!S76=0,'Production data'!S76="",E76=""),"",'Production data'!S76*(E76/1000/1000))</f>
        <v/>
      </c>
      <c r="H76" s="181" t="str">
        <f>IF(OR('Production data'!T76=0,'Production data'!T76="",F76=""),"",'Production data'!T76*F76/1000/1000)</f>
        <v/>
      </c>
      <c r="I76" s="187" t="str">
        <f>IF(OR('Production data'!U76=0,'Production data'!U76="",E76=""),"",'Production data'!U76*E76/1000)</f>
        <v/>
      </c>
      <c r="J76" s="188" t="str">
        <f>IF(OR('Production data'!V76=0,'Production data'!V76="",F76=""),"",'Production data'!V76*F76/1000)</f>
        <v/>
      </c>
      <c r="K76" s="183" t="str">
        <f>IF('Input Laying'!AC77=0,"",('Input Laying'!AD78-'Input Laying'!AE78)/'Input Laying'!D77/7*'Input Laying'!AC77/1000)</f>
        <v/>
      </c>
    </row>
    <row r="77" spans="1:11" ht="15.75" customHeight="1" x14ac:dyDescent="0.2">
      <c r="A77" s="314">
        <f t="shared" si="2"/>
        <v>553</v>
      </c>
      <c r="B77" s="271">
        <v>80</v>
      </c>
      <c r="C77" s="272" t="str">
        <f>IF(OR('Input Laying'!AD78=0,'Input Laying'!AD78=""),"",'Input Laying'!AD78-'Input Laying'!AE78)</f>
        <v/>
      </c>
      <c r="D77" s="273" t="str">
        <f>IF(OR('Input Laying'!AF78=0,'Input Laying'!AF78=""),"",'Input Laying'!AF78)</f>
        <v/>
      </c>
      <c r="E77" s="274" t="str">
        <f>IF(OR('Input Laying'!AC78=0,'Input Laying'!AC78=""),"",'Input Laying'!AC78)</f>
        <v/>
      </c>
      <c r="F77" s="275" t="str">
        <f t="shared" si="1"/>
        <v/>
      </c>
      <c r="G77" s="276" t="str">
        <f>IF(OR('Production data'!S77=0,'Production data'!S77="",E77=""),"",'Production data'!S77*(E77/1000/1000))</f>
        <v/>
      </c>
      <c r="H77" s="277" t="str">
        <f>IF(OR('Production data'!T77=0,'Production data'!T77="",F77=""),"",'Production data'!T77*F77/1000/1000)</f>
        <v/>
      </c>
      <c r="I77" s="274" t="str">
        <f>IF(OR('Production data'!U77=0,'Production data'!U77="",E77=""),"",'Production data'!U77*E77/1000)</f>
        <v/>
      </c>
      <c r="J77" s="275" t="str">
        <f>IF(OR('Production data'!V77=0,'Production data'!V77="",F77=""),"",'Production data'!V77*F77/1000)</f>
        <v/>
      </c>
      <c r="K77" s="278" t="str">
        <f>IF('Input Laying'!AC78=0,"",('Input Laying'!AD79-'Input Laying'!AE79)/'Input Laying'!D78/7*'Input Laying'!AC78/1000)</f>
        <v/>
      </c>
    </row>
    <row r="78" spans="1:11" ht="15.75" customHeight="1" x14ac:dyDescent="0.2">
      <c r="A78" s="315">
        <f t="shared" ref="A78:A87" si="3">$C$3+((B78*7)-7)</f>
        <v>560</v>
      </c>
      <c r="B78" s="184">
        <v>81</v>
      </c>
      <c r="C78" s="185" t="str">
        <f>IF(OR('Input Laying'!AD79=0,'Input Laying'!AD79=""),"",'Input Laying'!AD79-'Input Laying'!AE79)</f>
        <v/>
      </c>
      <c r="D78" s="186" t="str">
        <f>IF(OR('Input Laying'!AF79=0,'Input Laying'!AF79=""),"",'Input Laying'!AF79)</f>
        <v/>
      </c>
      <c r="E78" s="187" t="str">
        <f>IF(OR('Input Laying'!AC79=0,'Input Laying'!AC79=""),"",'Input Laying'!AC79)</f>
        <v/>
      </c>
      <c r="F78" s="188" t="str">
        <f t="shared" si="1"/>
        <v/>
      </c>
      <c r="G78" s="189" t="str">
        <f>IF(OR('Production data'!S78=0,'Production data'!S78="",E78=""),"",'Production data'!S78*(E78/1000/1000))</f>
        <v/>
      </c>
      <c r="H78" s="181" t="str">
        <f>IF(OR('Production data'!T78=0,'Production data'!T78="",F78=""),"",'Production data'!T78*F78/1000/1000)</f>
        <v/>
      </c>
      <c r="I78" s="187" t="str">
        <f>IF(OR('Production data'!U78=0,'Production data'!U78="",E78=""),"",'Production data'!U78*E78/1000)</f>
        <v/>
      </c>
      <c r="J78" s="188" t="str">
        <f>IF(OR('Production data'!V78=0,'Production data'!V78="",F78=""),"",'Production data'!V78*F78/1000)</f>
        <v/>
      </c>
      <c r="K78" s="183" t="str">
        <f>IF('Input Laying'!AC79=0,"",('Input Laying'!AD80-'Input Laying'!AE80)/'Input Laying'!D79/7*'Input Laying'!AC79/1000)</f>
        <v/>
      </c>
    </row>
    <row r="79" spans="1:11" ht="15.75" customHeight="1" x14ac:dyDescent="0.2">
      <c r="A79" s="314">
        <f t="shared" si="3"/>
        <v>567</v>
      </c>
      <c r="B79" s="271">
        <v>82</v>
      </c>
      <c r="C79" s="272" t="str">
        <f>IF(OR('Input Laying'!AD80=0,'Input Laying'!AD80=""),"",'Input Laying'!AD80-'Input Laying'!AE80)</f>
        <v/>
      </c>
      <c r="D79" s="273" t="str">
        <f>IF(OR('Input Laying'!AF80=0,'Input Laying'!AF80=""),"",'Input Laying'!AF80)</f>
        <v/>
      </c>
      <c r="E79" s="274" t="str">
        <f>IF(OR('Input Laying'!AC80=0,'Input Laying'!AC80=""),"",'Input Laying'!AC80)</f>
        <v/>
      </c>
      <c r="F79" s="275" t="str">
        <f t="shared" ref="F79:F87" si="4">IF(C79="","",IF(E79="","",(C79*E79)/C79))</f>
        <v/>
      </c>
      <c r="G79" s="276" t="str">
        <f>IF(OR('Production data'!S79=0,'Production data'!S79="",E79=""),"",'Production data'!S79*(E79/1000/1000))</f>
        <v/>
      </c>
      <c r="H79" s="277" t="str">
        <f>IF(OR('Production data'!T79=0,'Production data'!T79="",F79=""),"",'Production data'!T79*F79/1000/1000)</f>
        <v/>
      </c>
      <c r="I79" s="274" t="str">
        <f>IF(OR('Production data'!U79=0,'Production data'!U79="",E79=""),"",'Production data'!U79*E79/1000)</f>
        <v/>
      </c>
      <c r="J79" s="275" t="str">
        <f>IF(OR('Production data'!V79=0,'Production data'!V79="",F79=""),"",'Production data'!V79*F79/1000)</f>
        <v/>
      </c>
      <c r="K79" s="278" t="str">
        <f>IF('Input Laying'!AC80=0,"",('Input Laying'!AD81-'Input Laying'!AE81)/'Input Laying'!D80/7*'Input Laying'!AC80/1000)</f>
        <v/>
      </c>
    </row>
    <row r="80" spans="1:11" ht="15.75" customHeight="1" x14ac:dyDescent="0.2">
      <c r="A80" s="315">
        <f t="shared" si="3"/>
        <v>574</v>
      </c>
      <c r="B80" s="184">
        <v>83</v>
      </c>
      <c r="C80" s="185" t="str">
        <f>IF(OR('Input Laying'!AD81=0,'Input Laying'!AD81=""),"",'Input Laying'!AD81-'Input Laying'!AE81)</f>
        <v/>
      </c>
      <c r="D80" s="186" t="str">
        <f>IF(OR('Input Laying'!AF81=0,'Input Laying'!AF81=""),"",'Input Laying'!AF81)</f>
        <v/>
      </c>
      <c r="E80" s="187" t="str">
        <f>IF(OR('Input Laying'!AC81=0,'Input Laying'!AC81=""),"",'Input Laying'!AC81)</f>
        <v/>
      </c>
      <c r="F80" s="188" t="str">
        <f t="shared" si="4"/>
        <v/>
      </c>
      <c r="G80" s="189" t="str">
        <f>IF(OR('Production data'!S80=0,'Production data'!S80="",E80=""),"",'Production data'!S80*(E80/1000/1000))</f>
        <v/>
      </c>
      <c r="H80" s="181" t="str">
        <f>IF(OR('Production data'!T80=0,'Production data'!T80="",F80=""),"",'Production data'!T80*F80/1000/1000)</f>
        <v/>
      </c>
      <c r="I80" s="187" t="str">
        <f>IF(OR('Production data'!U80=0,'Production data'!U80="",E80=""),"",'Production data'!U80*E80/1000)</f>
        <v/>
      </c>
      <c r="J80" s="188" t="str">
        <f>IF(OR('Production data'!V80=0,'Production data'!V80="",F80=""),"",'Production data'!V80*F80/1000)</f>
        <v/>
      </c>
      <c r="K80" s="183" t="str">
        <f>IF('Input Laying'!AC81=0,"",('Input Laying'!AD82-'Input Laying'!AE82)/'Input Laying'!D81/7*'Input Laying'!AC81/1000)</f>
        <v/>
      </c>
    </row>
    <row r="81" spans="1:11" ht="15.75" customHeight="1" x14ac:dyDescent="0.2">
      <c r="A81" s="314">
        <f t="shared" si="3"/>
        <v>581</v>
      </c>
      <c r="B81" s="271">
        <v>84</v>
      </c>
      <c r="C81" s="272" t="str">
        <f>IF(OR('Input Laying'!AD82=0,'Input Laying'!AD82=""),"",'Input Laying'!AD82-'Input Laying'!AE82)</f>
        <v/>
      </c>
      <c r="D81" s="273" t="str">
        <f>IF(OR('Input Laying'!AF82=0,'Input Laying'!AF82=""),"",'Input Laying'!AF82)</f>
        <v/>
      </c>
      <c r="E81" s="274" t="str">
        <f>IF(OR('Input Laying'!AC82=0,'Input Laying'!AC82=""),"",'Input Laying'!AC82)</f>
        <v/>
      </c>
      <c r="F81" s="275" t="str">
        <f t="shared" si="4"/>
        <v/>
      </c>
      <c r="G81" s="276" t="str">
        <f>IF(OR('Production data'!S81=0,'Production data'!S81="",E81=""),"",'Production data'!S81*(E81/1000/1000))</f>
        <v/>
      </c>
      <c r="H81" s="277" t="str">
        <f>IF(OR('Production data'!T81=0,'Production data'!T81="",F81=""),"",'Production data'!T81*F81/1000/1000)</f>
        <v/>
      </c>
      <c r="I81" s="274" t="str">
        <f>IF(OR('Production data'!U81=0,'Production data'!U81="",E81=""),"",'Production data'!U81*E81/1000)</f>
        <v/>
      </c>
      <c r="J81" s="275" t="str">
        <f>IF(OR('Production data'!V81=0,'Production data'!V81="",F81=""),"",'Production data'!V81*F81/1000)</f>
        <v/>
      </c>
      <c r="K81" s="278" t="str">
        <f>IF('Input Laying'!AC82=0,"",('Input Laying'!AD83-'Input Laying'!AE83)/'Input Laying'!D82/7*'Input Laying'!AC82/1000)</f>
        <v/>
      </c>
    </row>
    <row r="82" spans="1:11" ht="15.75" customHeight="1" x14ac:dyDescent="0.2">
      <c r="A82" s="315">
        <f t="shared" si="3"/>
        <v>588</v>
      </c>
      <c r="B82" s="184">
        <v>85</v>
      </c>
      <c r="C82" s="185" t="str">
        <f>IF(OR('Input Laying'!AD83=0,'Input Laying'!AD83=""),"",'Input Laying'!AD83-'Input Laying'!AE83)</f>
        <v/>
      </c>
      <c r="D82" s="186" t="str">
        <f>IF(OR('Input Laying'!AF83=0,'Input Laying'!AF83=""),"",'Input Laying'!AF83)</f>
        <v/>
      </c>
      <c r="E82" s="187" t="str">
        <f>IF(OR('Input Laying'!AC83=0,'Input Laying'!AC83=""),"",'Input Laying'!AC83)</f>
        <v/>
      </c>
      <c r="F82" s="188" t="str">
        <f t="shared" si="4"/>
        <v/>
      </c>
      <c r="G82" s="189" t="str">
        <f>IF(OR('Production data'!S82=0,'Production data'!S82="",E82=""),"",'Production data'!S82*(E82/1000/1000))</f>
        <v/>
      </c>
      <c r="H82" s="181" t="str">
        <f>IF(OR('Production data'!T82=0,'Production data'!T82="",F82=""),"",'Production data'!T82*F82/1000/1000)</f>
        <v/>
      </c>
      <c r="I82" s="187" t="str">
        <f>IF(OR('Production data'!U82=0,'Production data'!U82="",E82=""),"",'Production data'!U82*E82/1000)</f>
        <v/>
      </c>
      <c r="J82" s="188" t="str">
        <f>IF(OR('Production data'!V82=0,'Production data'!V82="",F82=""),"",'Production data'!V82*F82/1000)</f>
        <v/>
      </c>
      <c r="K82" s="183" t="str">
        <f>IF('Input Laying'!AC83=0,"",('Input Laying'!AD84-'Input Laying'!AE84)/'Input Laying'!D83/7*'Input Laying'!AC83/1000)</f>
        <v/>
      </c>
    </row>
    <row r="83" spans="1:11" ht="15.75" customHeight="1" x14ac:dyDescent="0.2">
      <c r="A83" s="314">
        <f t="shared" si="3"/>
        <v>595</v>
      </c>
      <c r="B83" s="271">
        <v>86</v>
      </c>
      <c r="C83" s="272" t="str">
        <f>IF(OR('Input Laying'!AD84=0,'Input Laying'!AD84=""),"",'Input Laying'!AD84-'Input Laying'!AE84)</f>
        <v/>
      </c>
      <c r="D83" s="273" t="str">
        <f>IF(OR('Input Laying'!AF84=0,'Input Laying'!AF84=""),"",'Input Laying'!AF84)</f>
        <v/>
      </c>
      <c r="E83" s="274" t="str">
        <f>IF(OR('Input Laying'!AC84=0,'Input Laying'!AC84=""),"",'Input Laying'!AC84)</f>
        <v/>
      </c>
      <c r="F83" s="275" t="str">
        <f t="shared" si="4"/>
        <v/>
      </c>
      <c r="G83" s="276" t="str">
        <f>IF(OR('Production data'!S83=0,'Production data'!S83="",E83=""),"",'Production data'!S83*(E83/1000/1000))</f>
        <v/>
      </c>
      <c r="H83" s="277" t="str">
        <f>IF(OR('Production data'!T83=0,'Production data'!T83="",F83=""),"",'Production data'!T83*F83/1000/1000)</f>
        <v/>
      </c>
      <c r="I83" s="274" t="str">
        <f>IF(OR('Production data'!U83=0,'Production data'!U83="",E83=""),"",'Production data'!U83*E83/1000)</f>
        <v/>
      </c>
      <c r="J83" s="275" t="str">
        <f>IF(OR('Production data'!V83=0,'Production data'!V83="",F83=""),"",'Production data'!V83*F83/1000)</f>
        <v/>
      </c>
      <c r="K83" s="278" t="str">
        <f>IF('Input Laying'!AC84=0,"",('Input Laying'!AD85-'Input Laying'!AE85)/'Input Laying'!D84/7*'Input Laying'!AC84/1000)</f>
        <v/>
      </c>
    </row>
    <row r="84" spans="1:11" ht="15.75" customHeight="1" x14ac:dyDescent="0.2">
      <c r="A84" s="315">
        <f t="shared" si="3"/>
        <v>602</v>
      </c>
      <c r="B84" s="184">
        <v>87</v>
      </c>
      <c r="C84" s="185" t="str">
        <f>IF(OR('Input Laying'!AD85=0,'Input Laying'!AD85=""),"",'Input Laying'!AD85-'Input Laying'!AE85)</f>
        <v/>
      </c>
      <c r="D84" s="186" t="str">
        <f>IF(OR('Input Laying'!AF85=0,'Input Laying'!AF85=""),"",'Input Laying'!AF85)</f>
        <v/>
      </c>
      <c r="E84" s="187" t="str">
        <f>IF(OR('Input Laying'!AC85=0,'Input Laying'!AC85=""),"",'Input Laying'!AC85)</f>
        <v/>
      </c>
      <c r="F84" s="188" t="str">
        <f t="shared" si="4"/>
        <v/>
      </c>
      <c r="G84" s="189" t="str">
        <f>IF(OR('Production data'!S84=0,'Production data'!S84="",E84=""),"",'Production data'!S84*(E84/1000/1000))</f>
        <v/>
      </c>
      <c r="H84" s="181" t="str">
        <f>IF(OR('Production data'!T84=0,'Production data'!T84="",F84=""),"",'Production data'!T84*F84/1000/1000)</f>
        <v/>
      </c>
      <c r="I84" s="187" t="str">
        <f>IF(OR('Production data'!U84=0,'Production data'!U84="",E84=""),"",'Production data'!U84*E84/1000)</f>
        <v/>
      </c>
      <c r="J84" s="188" t="str">
        <f>IF(OR('Production data'!V84=0,'Production data'!V84="",F84=""),"",'Production data'!V84*F84/1000)</f>
        <v/>
      </c>
      <c r="K84" s="183" t="str">
        <f>IF('Input Laying'!AC85=0,"",('Input Laying'!AD86-'Input Laying'!AE86)/'Input Laying'!D85/7*'Input Laying'!AC85/1000)</f>
        <v/>
      </c>
    </row>
    <row r="85" spans="1:11" ht="15.75" customHeight="1" x14ac:dyDescent="0.2">
      <c r="A85" s="314">
        <f t="shared" si="3"/>
        <v>609</v>
      </c>
      <c r="B85" s="271">
        <v>88</v>
      </c>
      <c r="C85" s="272" t="str">
        <f>IF(OR('Input Laying'!AD86=0,'Input Laying'!AD86=""),"",'Input Laying'!AD86-'Input Laying'!AE86)</f>
        <v/>
      </c>
      <c r="D85" s="273" t="str">
        <f>IF(OR('Input Laying'!AF86=0,'Input Laying'!AF86=""),"",'Input Laying'!AF86)</f>
        <v/>
      </c>
      <c r="E85" s="274" t="str">
        <f>IF(OR('Input Laying'!AC86=0,'Input Laying'!AC86=""),"",'Input Laying'!AC86)</f>
        <v/>
      </c>
      <c r="F85" s="275" t="str">
        <f t="shared" si="4"/>
        <v/>
      </c>
      <c r="G85" s="276" t="str">
        <f>IF(OR('Production data'!S85=0,'Production data'!S85="",E85=""),"",'Production data'!S85*(E85/1000/1000))</f>
        <v/>
      </c>
      <c r="H85" s="277" t="str">
        <f>IF(OR('Production data'!T85=0,'Production data'!T85="",F85=""),"",'Production data'!T85*F85/1000/1000)</f>
        <v/>
      </c>
      <c r="I85" s="274" t="str">
        <f>IF(OR('Production data'!U85=0,'Production data'!U85="",E85=""),"",'Production data'!U85*E85/1000)</f>
        <v/>
      </c>
      <c r="J85" s="275" t="str">
        <f>IF(OR('Production data'!V85=0,'Production data'!V85="",F85=""),"",'Production data'!V85*F85/1000)</f>
        <v/>
      </c>
      <c r="K85" s="278" t="str">
        <f>IF('Input Laying'!AC86=0,"",('Input Laying'!AD87-'Input Laying'!AE87)/'Input Laying'!D86/7*'Input Laying'!AC86/1000)</f>
        <v/>
      </c>
    </row>
    <row r="86" spans="1:11" ht="15.75" customHeight="1" x14ac:dyDescent="0.2">
      <c r="A86" s="315">
        <f t="shared" si="3"/>
        <v>616</v>
      </c>
      <c r="B86" s="184">
        <v>89</v>
      </c>
      <c r="C86" s="185" t="str">
        <f>IF(OR('Input Laying'!AD87=0,'Input Laying'!AD87=""),"",'Input Laying'!AD87-'Input Laying'!AE87)</f>
        <v/>
      </c>
      <c r="D86" s="186" t="str">
        <f>IF(OR('Input Laying'!AF87=0,'Input Laying'!AF87=""),"",'Input Laying'!AF87)</f>
        <v/>
      </c>
      <c r="E86" s="187" t="str">
        <f>IF(OR('Input Laying'!AC87=0,'Input Laying'!AC87=""),"",'Input Laying'!AC87)</f>
        <v/>
      </c>
      <c r="F86" s="188" t="str">
        <f t="shared" si="4"/>
        <v/>
      </c>
      <c r="G86" s="189" t="str">
        <f>IF(OR('Production data'!S86=0,'Production data'!S86="",E86=""),"",'Production data'!S86*(E86/1000/1000))</f>
        <v/>
      </c>
      <c r="H86" s="181" t="str">
        <f>IF(OR('Production data'!T86=0,'Production data'!T86="",F86=""),"",'Production data'!T86*F86/1000/1000)</f>
        <v/>
      </c>
      <c r="I86" s="187" t="str">
        <f>IF(OR('Production data'!U86=0,'Production data'!U86="",E86=""),"",'Production data'!U86*E86/1000)</f>
        <v/>
      </c>
      <c r="J86" s="188" t="str">
        <f>IF(OR('Production data'!V86=0,'Production data'!V86="",F86=""),"",'Production data'!V86*F86/1000)</f>
        <v/>
      </c>
      <c r="K86" s="183" t="str">
        <f>IF('Input Laying'!AC87=0,"",('Input Laying'!AD88-'Input Laying'!AE88)/'Input Laying'!D87/7*'Input Laying'!AC87/1000)</f>
        <v/>
      </c>
    </row>
    <row r="87" spans="1:11" ht="15.75" customHeight="1" x14ac:dyDescent="0.2">
      <c r="A87" s="314">
        <f t="shared" si="3"/>
        <v>623</v>
      </c>
      <c r="B87" s="271">
        <v>90</v>
      </c>
      <c r="C87" s="272" t="str">
        <f>IF(OR('Input Laying'!AD88=0,'Input Laying'!AD88=""),"",'Input Laying'!AD88-'Input Laying'!AE88)</f>
        <v/>
      </c>
      <c r="D87" s="273" t="str">
        <f>IF(OR('Input Laying'!AF88=0,'Input Laying'!AF88=""),"",'Input Laying'!AF88)</f>
        <v/>
      </c>
      <c r="E87" s="274" t="str">
        <f>IF(OR('Input Laying'!AC88=0,'Input Laying'!AC88=""),"",'Input Laying'!AC88)</f>
        <v/>
      </c>
      <c r="F87" s="275" t="str">
        <f t="shared" si="4"/>
        <v/>
      </c>
      <c r="G87" s="276" t="str">
        <f>IF(OR('Production data'!S87=0,'Production data'!S87="",E87=""),"",'Production data'!S87*(E87/1000/1000))</f>
        <v/>
      </c>
      <c r="H87" s="277" t="str">
        <f>IF(OR('Production data'!T87=0,'Production data'!T87="",F87=""),"",'Production data'!T87*F87/1000/1000)</f>
        <v/>
      </c>
      <c r="I87" s="274" t="str">
        <f>IF(OR('Production data'!U87=0,'Production data'!U87="",E87=""),"",'Production data'!U87*E87/1000)</f>
        <v/>
      </c>
      <c r="J87" s="275" t="str">
        <f>IF(OR('Production data'!V87=0,'Production data'!V87="",F87=""),"",'Production data'!V87*F87/1000)</f>
        <v/>
      </c>
      <c r="K87" s="278" t="str">
        <f>IF('Input Laying'!AC88=0,"",('Input Laying'!AD89-'Input Laying'!AE89)/'Input Laying'!D88/7*'Input Laying'!AC88/1000)</f>
        <v/>
      </c>
    </row>
    <row r="88" spans="1:11" ht="15.75" hidden="1" customHeight="1" x14ac:dyDescent="0.2">
      <c r="A88" s="315">
        <f t="shared" ref="A88:A96" si="5">$C$3+((B88*7)-7)</f>
        <v>630</v>
      </c>
      <c r="B88" s="184">
        <v>91</v>
      </c>
      <c r="C88" s="185" t="str">
        <f>IF(OR('Input Laying'!AD89=0,'Input Laying'!AD89=""),"",'Input Laying'!AD89-'Input Laying'!AE89)</f>
        <v/>
      </c>
      <c r="D88" s="186" t="str">
        <f>IF(OR('Input Laying'!AF89=0,'Input Laying'!AF89=""),"",'Input Laying'!AF89)</f>
        <v/>
      </c>
      <c r="E88" s="187" t="str">
        <f>IF(OR('Input Laying'!AC89=0,'Input Laying'!AC89=""),"",'Input Laying'!AC89)</f>
        <v/>
      </c>
      <c r="F88" s="188" t="str">
        <f t="shared" ref="F88:F96" si="6">IF(C88="","",IF(E88="","",(C88*E88)/C88))</f>
        <v/>
      </c>
      <c r="G88" s="189" t="str">
        <f>IF(OR('Production data'!S88=0,'Production data'!S88="",E88=""),"",'Production data'!S88*(E88/1000/1000))</f>
        <v/>
      </c>
      <c r="H88" s="181" t="str">
        <f>IF(OR('Production data'!T88=0,'Production data'!T88="",F88=""),"",'Production data'!T88*F88/1000/1000)</f>
        <v/>
      </c>
      <c r="I88" s="187" t="str">
        <f>IF(OR('Production data'!U88=0,'Production data'!U88="",E88=""),"",'Production data'!U88*E88/1000)</f>
        <v/>
      </c>
      <c r="J88" s="188" t="str">
        <f>IF(OR('Production data'!V88=0,'Production data'!V88="",F88=""),"",'Production data'!V88*F88/1000)</f>
        <v/>
      </c>
      <c r="K88" s="183" t="str">
        <f>IF('Input Laying'!AC89=0,"",('Input Laying'!AD90-'Input Laying'!AE90)/'Input Laying'!D89/7*'Input Laying'!AC89/1000)</f>
        <v/>
      </c>
    </row>
    <row r="89" spans="1:11" ht="15.75" hidden="1" customHeight="1" x14ac:dyDescent="0.2">
      <c r="A89" s="314">
        <f t="shared" si="5"/>
        <v>637</v>
      </c>
      <c r="B89" s="271">
        <v>92</v>
      </c>
      <c r="C89" s="272" t="str">
        <f>IF(OR('Input Laying'!AD90=0,'Input Laying'!AD90=""),"",'Input Laying'!AD90-'Input Laying'!AE90)</f>
        <v/>
      </c>
      <c r="D89" s="273" t="str">
        <f>IF(OR('Input Laying'!AF90=0,'Input Laying'!AF90=""),"",'Input Laying'!AF90)</f>
        <v/>
      </c>
      <c r="E89" s="274" t="str">
        <f>IF(OR('Input Laying'!AC90=0,'Input Laying'!AC90=""),"",'Input Laying'!AC90)</f>
        <v/>
      </c>
      <c r="F89" s="275" t="str">
        <f t="shared" si="6"/>
        <v/>
      </c>
      <c r="G89" s="276" t="str">
        <f>IF(OR('Production data'!S89=0,'Production data'!S89="",E89=""),"",'Production data'!S89*(E89/1000/1000))</f>
        <v/>
      </c>
      <c r="H89" s="277" t="str">
        <f>IF(OR('Production data'!T89=0,'Production data'!T89="",F89=""),"",'Production data'!T89*F89/1000/1000)</f>
        <v/>
      </c>
      <c r="I89" s="274" t="str">
        <f>IF(OR('Production data'!U89=0,'Production data'!U89="",E89=""),"",'Production data'!U89*E89/1000)</f>
        <v/>
      </c>
      <c r="J89" s="275" t="str">
        <f>IF(OR('Production data'!V89=0,'Production data'!V89="",F89=""),"",'Production data'!V89*F89/1000)</f>
        <v/>
      </c>
      <c r="K89" s="278" t="str">
        <f>IF('Input Laying'!AC90=0,"",('Input Laying'!AD91-'Input Laying'!AE91)/'Input Laying'!D90/7*'Input Laying'!AC90/1000)</f>
        <v/>
      </c>
    </row>
    <row r="90" spans="1:11" ht="15.75" hidden="1" customHeight="1" x14ac:dyDescent="0.2">
      <c r="A90" s="315">
        <f t="shared" si="5"/>
        <v>644</v>
      </c>
      <c r="B90" s="184">
        <v>93</v>
      </c>
      <c r="C90" s="185" t="str">
        <f>IF(OR('Input Laying'!AD91=0,'Input Laying'!AD91=""),"",'Input Laying'!AD91-'Input Laying'!AE91)</f>
        <v/>
      </c>
      <c r="D90" s="186" t="str">
        <f>IF(OR('Input Laying'!AF91=0,'Input Laying'!AF91=""),"",'Input Laying'!AF91)</f>
        <v/>
      </c>
      <c r="E90" s="187" t="str">
        <f>IF(OR('Input Laying'!AC91=0,'Input Laying'!AC91=""),"",'Input Laying'!AC91)</f>
        <v/>
      </c>
      <c r="F90" s="188" t="str">
        <f t="shared" si="6"/>
        <v/>
      </c>
      <c r="G90" s="189" t="str">
        <f>IF(OR('Production data'!S90=0,'Production data'!S90="",E90=""),"",'Production data'!S90*(E90/1000/1000))</f>
        <v/>
      </c>
      <c r="H90" s="181" t="str">
        <f>IF(OR('Production data'!T90=0,'Production data'!T90="",F90=""),"",'Production data'!T90*F90/1000/1000)</f>
        <v/>
      </c>
      <c r="I90" s="187" t="str">
        <f>IF(OR('Production data'!U90=0,'Production data'!U90="",E90=""),"",'Production data'!U90*E90/1000)</f>
        <v/>
      </c>
      <c r="J90" s="188" t="str">
        <f>IF(OR('Production data'!V90=0,'Production data'!V90="",F90=""),"",'Production data'!V90*F90/1000)</f>
        <v/>
      </c>
      <c r="K90" s="183" t="str">
        <f>IF('Input Laying'!AC91=0,"",('Input Laying'!AD92-'Input Laying'!AE92)/'Input Laying'!D91/7*'Input Laying'!AC91/1000)</f>
        <v/>
      </c>
    </row>
    <row r="91" spans="1:11" ht="15.75" hidden="1" customHeight="1" x14ac:dyDescent="0.2">
      <c r="A91" s="314">
        <f t="shared" si="5"/>
        <v>651</v>
      </c>
      <c r="B91" s="271">
        <v>94</v>
      </c>
      <c r="C91" s="272" t="str">
        <f>IF(OR('Input Laying'!AD92=0,'Input Laying'!AD92=""),"",'Input Laying'!AD92-'Input Laying'!AE92)</f>
        <v/>
      </c>
      <c r="D91" s="273" t="str">
        <f>IF(OR('Input Laying'!AF92=0,'Input Laying'!AF92=""),"",'Input Laying'!AF92)</f>
        <v/>
      </c>
      <c r="E91" s="274" t="str">
        <f>IF(OR('Input Laying'!AC92=0,'Input Laying'!AC92=""),"",'Input Laying'!AC92)</f>
        <v/>
      </c>
      <c r="F91" s="275" t="str">
        <f t="shared" si="6"/>
        <v/>
      </c>
      <c r="G91" s="276" t="str">
        <f>IF(OR('Production data'!S91=0,'Production data'!S91="",E91=""),"",'Production data'!S91*(E91/1000/1000))</f>
        <v/>
      </c>
      <c r="H91" s="277" t="str">
        <f>IF(OR('Production data'!T91=0,'Production data'!T91="",F91=""),"",'Production data'!T91*F91/1000/1000)</f>
        <v/>
      </c>
      <c r="I91" s="274" t="str">
        <f>IF(OR('Production data'!U91=0,'Production data'!U91="",E91=""),"",'Production data'!U91*E91/1000)</f>
        <v/>
      </c>
      <c r="J91" s="275" t="str">
        <f>IF(OR('Production data'!V91=0,'Production data'!V91="",F91=""),"",'Production data'!V91*F91/1000)</f>
        <v/>
      </c>
      <c r="K91" s="278" t="str">
        <f>IF('Input Laying'!AC92=0,"",('Input Laying'!AD93-'Input Laying'!AE93)/'Input Laying'!D92/7*'Input Laying'!AC92/1000)</f>
        <v/>
      </c>
    </row>
    <row r="92" spans="1:11" ht="15.75" hidden="1" customHeight="1" x14ac:dyDescent="0.2">
      <c r="A92" s="315">
        <f t="shared" si="5"/>
        <v>658</v>
      </c>
      <c r="B92" s="184">
        <v>95</v>
      </c>
      <c r="C92" s="185" t="str">
        <f>IF(OR('Input Laying'!AD93=0,'Input Laying'!AD93=""),"",'Input Laying'!AD93-'Input Laying'!AE93)</f>
        <v/>
      </c>
      <c r="D92" s="186" t="str">
        <f>IF(OR('Input Laying'!AF93=0,'Input Laying'!AF93=""),"",'Input Laying'!AF93)</f>
        <v/>
      </c>
      <c r="E92" s="187" t="str">
        <f>IF(OR('Input Laying'!AC93=0,'Input Laying'!AC93=""),"",'Input Laying'!AC93)</f>
        <v/>
      </c>
      <c r="F92" s="188" t="str">
        <f t="shared" si="6"/>
        <v/>
      </c>
      <c r="G92" s="189" t="str">
        <f>IF(OR('Production data'!S92=0,'Production data'!S92="",E92=""),"",'Production data'!S92*(E92/1000/1000))</f>
        <v/>
      </c>
      <c r="H92" s="181" t="str">
        <f>IF(OR('Production data'!T92=0,'Production data'!T92="",F92=""),"",'Production data'!T92*F92/1000/1000)</f>
        <v/>
      </c>
      <c r="I92" s="187" t="str">
        <f>IF(OR('Production data'!U92=0,'Production data'!U92="",E92=""),"",'Production data'!U92*E92/1000)</f>
        <v/>
      </c>
      <c r="J92" s="188" t="str">
        <f>IF(OR('Production data'!V92=0,'Production data'!V92="",F92=""),"",'Production data'!V92*F92/1000)</f>
        <v/>
      </c>
      <c r="K92" s="183" t="str">
        <f>IF('Input Laying'!AC93=0,"",('Input Laying'!AD94-'Input Laying'!AE94)/'Input Laying'!D93/7*'Input Laying'!AC93/1000)</f>
        <v/>
      </c>
    </row>
    <row r="93" spans="1:11" ht="15.75" hidden="1" customHeight="1" x14ac:dyDescent="0.2">
      <c r="A93" s="314">
        <f t="shared" si="5"/>
        <v>665</v>
      </c>
      <c r="B93" s="271">
        <v>96</v>
      </c>
      <c r="C93" s="272" t="str">
        <f>IF(OR('Input Laying'!AD94=0,'Input Laying'!AD94=""),"",'Input Laying'!AD94-'Input Laying'!AE94)</f>
        <v/>
      </c>
      <c r="D93" s="273" t="str">
        <f>IF(OR('Input Laying'!AF94=0,'Input Laying'!AF94=""),"",'Input Laying'!AF94)</f>
        <v/>
      </c>
      <c r="E93" s="274" t="str">
        <f>IF(OR('Input Laying'!AC94=0,'Input Laying'!AC94=""),"",'Input Laying'!AC94)</f>
        <v/>
      </c>
      <c r="F93" s="275" t="str">
        <f t="shared" si="6"/>
        <v/>
      </c>
      <c r="G93" s="276" t="str">
        <f>IF(OR('Production data'!S93=0,'Production data'!S93="",E93=""),"",'Production data'!S93*(E93/1000/1000))</f>
        <v/>
      </c>
      <c r="H93" s="277" t="str">
        <f>IF(OR('Production data'!T93=0,'Production data'!T93="",F93=""),"",'Production data'!T93*F93/1000/1000)</f>
        <v/>
      </c>
      <c r="I93" s="274" t="str">
        <f>IF(OR('Production data'!U93=0,'Production data'!U93="",E93=""),"",'Production data'!U93*E93/1000)</f>
        <v/>
      </c>
      <c r="J93" s="275" t="str">
        <f>IF(OR('Production data'!V93=0,'Production data'!V93="",F93=""),"",'Production data'!V93*F93/1000)</f>
        <v/>
      </c>
      <c r="K93" s="278" t="str">
        <f>IF('Input Laying'!AC94=0,"",('Input Laying'!AD95-'Input Laying'!AE95)/'Input Laying'!D94/7*'Input Laying'!AC94/1000)</f>
        <v/>
      </c>
    </row>
    <row r="94" spans="1:11" ht="15.75" hidden="1" customHeight="1" x14ac:dyDescent="0.2">
      <c r="A94" s="315">
        <f t="shared" si="5"/>
        <v>672</v>
      </c>
      <c r="B94" s="184">
        <v>97</v>
      </c>
      <c r="C94" s="185" t="str">
        <f>IF(OR('Input Laying'!AD95=0,'Input Laying'!AD95=""),"",'Input Laying'!AD95-'Input Laying'!AE95)</f>
        <v/>
      </c>
      <c r="D94" s="186" t="str">
        <f>IF(OR('Input Laying'!AF95=0,'Input Laying'!AF95=""),"",'Input Laying'!AF95)</f>
        <v/>
      </c>
      <c r="E94" s="187" t="str">
        <f>IF(OR('Input Laying'!AC95=0,'Input Laying'!AC95=""),"",'Input Laying'!AC95)</f>
        <v/>
      </c>
      <c r="F94" s="188" t="str">
        <f t="shared" si="6"/>
        <v/>
      </c>
      <c r="G94" s="189" t="str">
        <f>IF(OR('Production data'!S94=0,'Production data'!S94="",E94=""),"",'Production data'!S94*(E94/1000/1000))</f>
        <v/>
      </c>
      <c r="H94" s="181" t="str">
        <f>IF(OR('Production data'!T94=0,'Production data'!T94="",F94=""),"",'Production data'!T94*F94/1000/1000)</f>
        <v/>
      </c>
      <c r="I94" s="187" t="str">
        <f>IF(OR('Production data'!U94=0,'Production data'!U94="",E94=""),"",'Production data'!U94*E94/1000)</f>
        <v/>
      </c>
      <c r="J94" s="188" t="str">
        <f>IF(OR('Production data'!V94=0,'Production data'!V94="",F94=""),"",'Production data'!V94*F94/1000)</f>
        <v/>
      </c>
      <c r="K94" s="183" t="str">
        <f>IF('Input Laying'!AC95=0,"",('Input Laying'!AD96-'Input Laying'!AE96)/'Input Laying'!D95/7*'Input Laying'!AC95/1000)</f>
        <v/>
      </c>
    </row>
    <row r="95" spans="1:11" ht="15.75" hidden="1" customHeight="1" x14ac:dyDescent="0.2">
      <c r="A95" s="314">
        <f t="shared" si="5"/>
        <v>679</v>
      </c>
      <c r="B95" s="271">
        <v>98</v>
      </c>
      <c r="C95" s="272" t="str">
        <f>IF(OR('Input Laying'!AD96=0,'Input Laying'!AD96=""),"",'Input Laying'!AD96-'Input Laying'!AE96)</f>
        <v/>
      </c>
      <c r="D95" s="273" t="str">
        <f>IF(OR('Input Laying'!AF96=0,'Input Laying'!AF96=""),"",'Input Laying'!AF96)</f>
        <v/>
      </c>
      <c r="E95" s="274" t="str">
        <f>IF(OR('Input Laying'!AC96=0,'Input Laying'!AC96=""),"",'Input Laying'!AC96)</f>
        <v/>
      </c>
      <c r="F95" s="275" t="str">
        <f t="shared" si="6"/>
        <v/>
      </c>
      <c r="G95" s="276" t="str">
        <f>IF(OR('Production data'!S95=0,'Production data'!S95="",E95=""),"",'Production data'!S95*(E95/1000/1000))</f>
        <v/>
      </c>
      <c r="H95" s="277" t="str">
        <f>IF(OR('Production data'!T95=0,'Production data'!T95="",F95=""),"",'Production data'!T95*F95/1000/1000)</f>
        <v/>
      </c>
      <c r="I95" s="274" t="str">
        <f>IF(OR('Production data'!U95=0,'Production data'!U95="",E95=""),"",'Production data'!U95*E95/1000)</f>
        <v/>
      </c>
      <c r="J95" s="275" t="str">
        <f>IF(OR('Production data'!V95=0,'Production data'!V95="",F95=""),"",'Production data'!V95*F95/1000)</f>
        <v/>
      </c>
      <c r="K95" s="278" t="str">
        <f>IF('Input Laying'!AC96=0,"",('Input Laying'!AD97-'Input Laying'!AE97)/'Input Laying'!D96/7*'Input Laying'!AC96/1000)</f>
        <v/>
      </c>
    </row>
    <row r="96" spans="1:11" ht="15.75" hidden="1" customHeight="1" x14ac:dyDescent="0.2">
      <c r="A96" s="315">
        <f t="shared" si="5"/>
        <v>686</v>
      </c>
      <c r="B96" s="184">
        <v>99</v>
      </c>
      <c r="C96" s="185" t="str">
        <f>IF(OR('Input Laying'!AD97=0,'Input Laying'!AD97=""),"",'Input Laying'!AD97-'Input Laying'!AE97)</f>
        <v/>
      </c>
      <c r="D96" s="186" t="str">
        <f>IF(OR('Input Laying'!AF97=0,'Input Laying'!AF97=""),"",'Input Laying'!AF97)</f>
        <v/>
      </c>
      <c r="E96" s="187" t="str">
        <f>IF(OR('Input Laying'!AC97=0,'Input Laying'!AC97=""),"",'Input Laying'!AC97)</f>
        <v/>
      </c>
      <c r="F96" s="188" t="str">
        <f t="shared" si="6"/>
        <v/>
      </c>
      <c r="G96" s="189" t="str">
        <f>IF(OR('Production data'!S96=0,'Production data'!S96="",E96=""),"",'Production data'!S96*(E96/1000/1000))</f>
        <v/>
      </c>
      <c r="H96" s="181" t="str">
        <f>IF(OR('Production data'!T96=0,'Production data'!T96="",F96=""),"",'Production data'!T96*F96/1000/1000)</f>
        <v/>
      </c>
      <c r="I96" s="187" t="str">
        <f>IF(OR('Production data'!U96=0,'Production data'!U96="",E96=""),"",'Production data'!U96*E96/1000)</f>
        <v/>
      </c>
      <c r="J96" s="188" t="str">
        <f>IF(OR('Production data'!V96=0,'Production data'!V96="",F96=""),"",'Production data'!V96*F96/1000)</f>
        <v/>
      </c>
      <c r="K96" s="183" t="str">
        <f>IF('Input Laying'!AC97=0,"",('Input Laying'!AD98-'Input Laying'!AE98)/'Input Laying'!D97/7*'Input Laying'!AC97/1000)</f>
        <v/>
      </c>
    </row>
    <row r="97" spans="1:11" ht="15.75" hidden="1" customHeight="1" x14ac:dyDescent="0.2">
      <c r="A97" s="379">
        <f>$C$3+((B97*7)-7)</f>
        <v>693</v>
      </c>
      <c r="B97" s="380">
        <v>100</v>
      </c>
      <c r="C97" s="381" t="str">
        <f>IF(OR('Input Laying'!AD98=0,'Input Laying'!AD98=""),"",'Input Laying'!AD98-'Input Laying'!AE98)</f>
        <v/>
      </c>
      <c r="D97" s="382" t="str">
        <f>IF(OR('Input Laying'!AF98=0,'Input Laying'!AF98=""),"",'Input Laying'!AF98)</f>
        <v/>
      </c>
      <c r="E97" s="383" t="str">
        <f>IF(OR('Input Laying'!AC98=0,'Input Laying'!AC98=""),"",'Input Laying'!AC98)</f>
        <v/>
      </c>
      <c r="F97" s="384" t="str">
        <f>IF(C97="","",IF(E97="","",(C97*E97)/C97))</f>
        <v/>
      </c>
      <c r="G97" s="385" t="str">
        <f>IF(OR('Production data'!S97=0,'Production data'!S97="",E97=""),"",'Production data'!S97*(E97/1000/1000))</f>
        <v/>
      </c>
      <c r="H97" s="386" t="str">
        <f>IF(OR('Production data'!T97=0,'Production data'!T97="",F97=""),"",'Production data'!T97*F97/1000/1000)</f>
        <v/>
      </c>
      <c r="I97" s="383" t="str">
        <f>IF(OR('Production data'!U97=0,'Production data'!U97="",E97=""),"",'Production data'!U97*E97/1000)</f>
        <v/>
      </c>
      <c r="J97" s="384" t="str">
        <f>IF(OR('Production data'!V97=0,'Production data'!V97="",F97=""),"",'Production data'!V97*F97/1000)</f>
        <v/>
      </c>
      <c r="K97" s="387" t="str">
        <f>IF('Input Laying'!AC98=0,"",('Input Laying'!AD99-'Input Laying'!AE99)/'Input Laying'!D98/7*'Input Laying'!AC98/1000)</f>
        <v/>
      </c>
    </row>
  </sheetData>
  <sheetProtection selectLockedCells="1"/>
  <mergeCells count="26">
    <mergeCell ref="K1:U5"/>
    <mergeCell ref="J10:J12"/>
    <mergeCell ref="K6:K12"/>
    <mergeCell ref="I6:J9"/>
    <mergeCell ref="G6:H9"/>
    <mergeCell ref="C5:G5"/>
    <mergeCell ref="C4:G4"/>
    <mergeCell ref="C3:G3"/>
    <mergeCell ref="C2:G2"/>
    <mergeCell ref="C1:G1"/>
    <mergeCell ref="E6:F9"/>
    <mergeCell ref="E10:E12"/>
    <mergeCell ref="F10:F12"/>
    <mergeCell ref="G10:G12"/>
    <mergeCell ref="H10:H12"/>
    <mergeCell ref="I10:I12"/>
    <mergeCell ref="A6:A12"/>
    <mergeCell ref="B6:B12"/>
    <mergeCell ref="C6:D9"/>
    <mergeCell ref="C10:C12"/>
    <mergeCell ref="D10:D12"/>
    <mergeCell ref="A1:B1"/>
    <mergeCell ref="A2:B2"/>
    <mergeCell ref="A3:B3"/>
    <mergeCell ref="A4:B4"/>
    <mergeCell ref="A5:B5"/>
  </mergeCells>
  <pageMargins left="0.7" right="0.7" top="0.75" bottom="0.75" header="0.3" footer="0.3"/>
  <pageSetup paperSize="9" scale="4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>
    <tabColor theme="2"/>
    <pageSetUpPr fitToPage="1"/>
  </sheetPr>
  <dimension ref="A1:AA97"/>
  <sheetViews>
    <sheetView showGridLines="0" zoomScale="85" zoomScaleNormal="85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L2" sqref="L2"/>
    </sheetView>
  </sheetViews>
  <sheetFormatPr defaultColWidth="10.7109375" defaultRowHeight="15.75" customHeight="1" x14ac:dyDescent="0.2"/>
  <cols>
    <col min="1" max="1" width="15.7109375" style="59" customWidth="1"/>
    <col min="2" max="2" width="10.7109375" style="60" customWidth="1"/>
    <col min="3" max="4" width="10.7109375" style="59" customWidth="1"/>
    <col min="5" max="5" width="10.7109375" style="60" customWidth="1"/>
    <col min="6" max="6" width="10.7109375" style="59" customWidth="1"/>
    <col min="7" max="7" width="10.7109375" style="60" customWidth="1"/>
    <col min="8" max="8" width="10.7109375" style="59" customWidth="1"/>
    <col min="9" max="11" width="10.7109375" style="60" customWidth="1"/>
    <col min="12" max="12" width="10.7109375" style="59" customWidth="1"/>
    <col min="13" max="13" width="10.7109375" style="60" customWidth="1"/>
    <col min="14" max="14" width="10.7109375" style="59" customWidth="1"/>
    <col min="15" max="15" width="10.7109375" style="60" customWidth="1"/>
    <col min="16" max="16384" width="10.7109375" style="59"/>
  </cols>
  <sheetData>
    <row r="1" spans="1:27" ht="15.75" customHeight="1" x14ac:dyDescent="0.2">
      <c r="A1" s="670" t="str">
        <f>Language!B185</f>
        <v>Farm name :</v>
      </c>
      <c r="B1" s="671"/>
      <c r="C1" s="671"/>
      <c r="D1" s="672"/>
      <c r="E1" s="689" t="str">
        <f>IF('Input Laying'!G1="","",'Input Laying'!G1)</f>
        <v/>
      </c>
      <c r="F1" s="690"/>
      <c r="G1" s="690"/>
      <c r="H1" s="690"/>
      <c r="I1" s="690"/>
      <c r="J1" s="691"/>
      <c r="O1" s="692" t="str">
        <f>Language!B184&amp;" - "&amp;Std!B1</f>
        <v>Production data - ISA BROWN Baiada ALT 2021</v>
      </c>
      <c r="P1" s="692"/>
      <c r="Q1" s="692"/>
      <c r="R1" s="692"/>
      <c r="S1" s="692"/>
      <c r="T1" s="692"/>
      <c r="U1" s="692"/>
      <c r="V1" s="692"/>
      <c r="W1" s="692"/>
      <c r="X1" s="692"/>
      <c r="Y1" s="375"/>
      <c r="Z1" s="375"/>
      <c r="AA1" s="375"/>
    </row>
    <row r="2" spans="1:27" ht="15.75" customHeight="1" x14ac:dyDescent="0.2">
      <c r="A2" s="651" t="str">
        <f>Language!B186</f>
        <v>House No.  / Housing system:</v>
      </c>
      <c r="B2" s="652"/>
      <c r="C2" s="652"/>
      <c r="D2" s="653"/>
      <c r="E2" s="101" t="str">
        <f>Language!B191</f>
        <v>House No.</v>
      </c>
      <c r="F2" s="775" t="str">
        <f>IF('General Input'!B21="","",'General Input'!B21)</f>
        <v/>
      </c>
      <c r="G2" s="776"/>
      <c r="H2" s="190" t="str">
        <f>Language!B192</f>
        <v>Housing system</v>
      </c>
      <c r="I2" s="773" t="str">
        <f>IF('General Input'!B18="","",'General Input'!B18)</f>
        <v/>
      </c>
      <c r="J2" s="774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375"/>
      <c r="Z2" s="375"/>
      <c r="AA2" s="375"/>
    </row>
    <row r="3" spans="1:27" ht="15.75" customHeight="1" x14ac:dyDescent="0.2">
      <c r="A3" s="651" t="str">
        <f>Language!B187</f>
        <v>Hatch date:</v>
      </c>
      <c r="B3" s="652"/>
      <c r="C3" s="652"/>
      <c r="D3" s="653"/>
      <c r="E3" s="793">
        <f>'Financial sheet'!C3</f>
        <v>0</v>
      </c>
      <c r="F3" s="794"/>
      <c r="G3" s="794"/>
      <c r="H3" s="794"/>
      <c r="I3" s="794"/>
      <c r="J3" s="795"/>
      <c r="O3" s="692"/>
      <c r="P3" s="692"/>
      <c r="Q3" s="692"/>
      <c r="R3" s="692"/>
      <c r="S3" s="692"/>
      <c r="T3" s="692"/>
      <c r="U3" s="692"/>
      <c r="V3" s="692"/>
      <c r="W3" s="692"/>
      <c r="X3" s="692"/>
      <c r="Y3" s="375"/>
      <c r="Z3" s="375"/>
      <c r="AA3" s="375"/>
    </row>
    <row r="4" spans="1:27" ht="15.75" customHeight="1" x14ac:dyDescent="0.2">
      <c r="A4" s="651" t="str">
        <f>Language!B188</f>
        <v xml:space="preserve">Transfer date: </v>
      </c>
      <c r="B4" s="652"/>
      <c r="C4" s="652"/>
      <c r="D4" s="653"/>
      <c r="E4" s="793">
        <f>'Financial sheet'!C4</f>
        <v>0</v>
      </c>
      <c r="F4" s="794"/>
      <c r="G4" s="794"/>
      <c r="H4" s="794"/>
      <c r="I4" s="794"/>
      <c r="J4" s="795"/>
      <c r="O4" s="692"/>
      <c r="P4" s="692"/>
      <c r="Q4" s="692"/>
      <c r="R4" s="692"/>
      <c r="S4" s="692"/>
      <c r="T4" s="692"/>
      <c r="U4" s="692"/>
      <c r="V4" s="692"/>
      <c r="W4" s="692"/>
      <c r="X4" s="692"/>
      <c r="Y4" s="375"/>
      <c r="Z4" s="375"/>
      <c r="AA4" s="375"/>
    </row>
    <row r="5" spans="1:27" ht="15.75" customHeight="1" x14ac:dyDescent="0.2">
      <c r="A5" s="651" t="str">
        <f>Language!B189</f>
        <v>No. of laying birds housed:</v>
      </c>
      <c r="B5" s="652"/>
      <c r="C5" s="652"/>
      <c r="D5" s="653"/>
      <c r="E5" s="770" t="str">
        <f>IF('Input Laying'!G6="","",'Input Laying'!G6)</f>
        <v/>
      </c>
      <c r="F5" s="771"/>
      <c r="G5" s="771"/>
      <c r="H5" s="771"/>
      <c r="I5" s="771"/>
      <c r="J5" s="772"/>
      <c r="O5" s="692"/>
      <c r="P5" s="692"/>
      <c r="Q5" s="692"/>
      <c r="R5" s="692"/>
      <c r="S5" s="692"/>
      <c r="T5" s="692"/>
      <c r="U5" s="692"/>
      <c r="V5" s="692"/>
      <c r="W5" s="692"/>
      <c r="X5" s="692"/>
    </row>
    <row r="6" spans="1:27" ht="15.75" customHeight="1" thickBot="1" x14ac:dyDescent="0.25">
      <c r="A6" s="657" t="str">
        <f>Language!B190</f>
        <v xml:space="preserve">Feed company: </v>
      </c>
      <c r="B6" s="658"/>
      <c r="C6" s="658"/>
      <c r="D6" s="659"/>
      <c r="E6" s="796">
        <f>'General Input'!B19</f>
        <v>0</v>
      </c>
      <c r="F6" s="797"/>
      <c r="G6" s="797"/>
      <c r="H6" s="797"/>
      <c r="I6" s="797"/>
      <c r="J6" s="798"/>
      <c r="O6" s="693"/>
      <c r="P6" s="693"/>
      <c r="Q6" s="693"/>
      <c r="R6" s="693"/>
      <c r="S6" s="693"/>
      <c r="T6" s="693"/>
      <c r="U6" s="693"/>
      <c r="V6" s="693"/>
      <c r="W6" s="693"/>
      <c r="X6" s="693"/>
    </row>
    <row r="7" spans="1:27" ht="15.75" customHeight="1" thickBot="1" x14ac:dyDescent="0.25">
      <c r="A7" s="647" t="str">
        <f>Language!B194</f>
        <v>Week of the year</v>
      </c>
      <c r="B7" s="647" t="str">
        <f>Language!B195</f>
        <v>Age in weeks</v>
      </c>
      <c r="C7" s="647" t="str">
        <f>Language!B196</f>
        <v>Liveability %</v>
      </c>
      <c r="D7" s="799" t="str">
        <f>Language!B197</f>
        <v>Laying rate</v>
      </c>
      <c r="E7" s="800"/>
      <c r="F7" s="663" t="str">
        <f>Language!B198</f>
        <v>Egg number HH</v>
      </c>
      <c r="G7" s="665"/>
      <c r="H7" s="663" t="str">
        <f>Language!B199</f>
        <v>Egg weight / week</v>
      </c>
      <c r="I7" s="664"/>
      <c r="J7" s="664"/>
      <c r="K7" s="665"/>
      <c r="L7" s="663" t="str">
        <f>Language!B200</f>
        <v xml:space="preserve">Egg mass </v>
      </c>
      <c r="M7" s="664"/>
      <c r="N7" s="664"/>
      <c r="O7" s="665"/>
      <c r="P7" s="647" t="str">
        <f>Language!B201</f>
        <v>Feed cons HD</v>
      </c>
      <c r="Q7" s="654" t="str">
        <f>Language!B136</f>
        <v>Water cons ml/d/bird</v>
      </c>
      <c r="R7" s="647" t="str">
        <f>Language!B137</f>
        <v>Water/feed ratio</v>
      </c>
      <c r="S7" s="663" t="str">
        <f>Language!B202</f>
        <v>Feed cons. / egg</v>
      </c>
      <c r="T7" s="665"/>
      <c r="U7" s="663" t="str">
        <f>Language!B203</f>
        <v>Feed conversion</v>
      </c>
      <c r="V7" s="665"/>
      <c r="W7" s="663" t="str">
        <f>Language!B204</f>
        <v>Seconds %</v>
      </c>
      <c r="X7" s="665"/>
      <c r="Y7" s="663" t="str">
        <f>Language!B205</f>
        <v>Body weight (g)</v>
      </c>
      <c r="Z7" s="665"/>
    </row>
    <row r="8" spans="1:27" ht="15.75" customHeight="1" thickBot="1" x14ac:dyDescent="0.25">
      <c r="A8" s="647"/>
      <c r="B8" s="647"/>
      <c r="C8" s="647"/>
      <c r="D8" s="801"/>
      <c r="E8" s="802"/>
      <c r="F8" s="643"/>
      <c r="G8" s="609"/>
      <c r="H8" s="643"/>
      <c r="I8" s="630"/>
      <c r="J8" s="630"/>
      <c r="K8" s="609"/>
      <c r="L8" s="694"/>
      <c r="M8" s="628"/>
      <c r="N8" s="628"/>
      <c r="O8" s="629"/>
      <c r="P8" s="647"/>
      <c r="Q8" s="655"/>
      <c r="R8" s="647"/>
      <c r="S8" s="643"/>
      <c r="T8" s="609"/>
      <c r="U8" s="643"/>
      <c r="V8" s="609"/>
      <c r="W8" s="643"/>
      <c r="X8" s="609"/>
      <c r="Y8" s="643"/>
      <c r="Z8" s="609"/>
    </row>
    <row r="9" spans="1:27" ht="15.75" customHeight="1" thickBot="1" x14ac:dyDescent="0.25">
      <c r="A9" s="647"/>
      <c r="B9" s="647"/>
      <c r="C9" s="647"/>
      <c r="D9" s="803"/>
      <c r="E9" s="804"/>
      <c r="F9" s="694"/>
      <c r="G9" s="629"/>
      <c r="H9" s="694"/>
      <c r="I9" s="628"/>
      <c r="J9" s="628"/>
      <c r="K9" s="629"/>
      <c r="L9" s="635" t="str">
        <f>Language!B206</f>
        <v>Hen day</v>
      </c>
      <c r="M9" s="617"/>
      <c r="N9" s="635" t="str">
        <f>Language!B207</f>
        <v>Birds housed</v>
      </c>
      <c r="O9" s="617"/>
      <c r="P9" s="647"/>
      <c r="Q9" s="655"/>
      <c r="R9" s="647"/>
      <c r="S9" s="694"/>
      <c r="T9" s="629"/>
      <c r="U9" s="694"/>
      <c r="V9" s="629"/>
      <c r="W9" s="694"/>
      <c r="X9" s="629"/>
      <c r="Y9" s="694"/>
      <c r="Z9" s="629"/>
    </row>
    <row r="10" spans="1:27" ht="15.75" customHeight="1" thickBot="1" x14ac:dyDescent="0.25">
      <c r="A10" s="647"/>
      <c r="B10" s="647"/>
      <c r="C10" s="647"/>
      <c r="D10" s="783" t="str">
        <f>Language!B208</f>
        <v>Actual</v>
      </c>
      <c r="E10" s="785" t="str">
        <f>Language!B209</f>
        <v>Std.</v>
      </c>
      <c r="F10" s="807" t="str">
        <f>Language!B208</f>
        <v>Actual</v>
      </c>
      <c r="G10" s="785" t="str">
        <f>Language!B209</f>
        <v>Std.</v>
      </c>
      <c r="H10" s="788" t="str">
        <f>Language!B208</f>
        <v>Actual</v>
      </c>
      <c r="I10" s="785" t="str">
        <f>Language!B209</f>
        <v>Std.</v>
      </c>
      <c r="J10" s="790" t="str">
        <f>Language!B210</f>
        <v>Cum average</v>
      </c>
      <c r="K10" s="785" t="str">
        <f>Language!B211</f>
        <v>Cum std.</v>
      </c>
      <c r="L10" s="783" t="str">
        <f>Language!B208</f>
        <v>Actual</v>
      </c>
      <c r="M10" s="785" t="str">
        <f>Language!B209</f>
        <v>Std.</v>
      </c>
      <c r="N10" s="780" t="str">
        <f>Language!B214</f>
        <v>Cum.</v>
      </c>
      <c r="O10" s="785" t="str">
        <f>Language!B209</f>
        <v>Std.</v>
      </c>
      <c r="P10" s="647"/>
      <c r="Q10" s="655"/>
      <c r="R10" s="647"/>
      <c r="S10" s="780" t="str">
        <f>Language!B213</f>
        <v>Weekly</v>
      </c>
      <c r="T10" s="784" t="str">
        <f>Language!B214</f>
        <v>Cum.</v>
      </c>
      <c r="U10" s="780" t="str">
        <f>Language!B213</f>
        <v>Weekly</v>
      </c>
      <c r="V10" s="784" t="str">
        <f>Language!B214</f>
        <v>Cum.</v>
      </c>
      <c r="W10" s="780" t="str">
        <f>Language!B213</f>
        <v>Weekly</v>
      </c>
      <c r="X10" s="784" t="str">
        <f>Language!B214</f>
        <v>Cum.</v>
      </c>
      <c r="Y10" s="783" t="str">
        <f>Language!B208</f>
        <v>Actual</v>
      </c>
      <c r="Z10" s="777" t="str">
        <f>Language!B209</f>
        <v>Std.</v>
      </c>
    </row>
    <row r="11" spans="1:27" ht="15.75" customHeight="1" thickBot="1" x14ac:dyDescent="0.25">
      <c r="A11" s="647"/>
      <c r="B11" s="647"/>
      <c r="C11" s="647"/>
      <c r="D11" s="805"/>
      <c r="E11" s="786"/>
      <c r="F11" s="808"/>
      <c r="G11" s="786"/>
      <c r="H11" s="788"/>
      <c r="I11" s="786"/>
      <c r="J11" s="791"/>
      <c r="K11" s="786"/>
      <c r="L11" s="781"/>
      <c r="M11" s="786"/>
      <c r="N11" s="781"/>
      <c r="O11" s="786"/>
      <c r="P11" s="647"/>
      <c r="Q11" s="655"/>
      <c r="R11" s="647"/>
      <c r="S11" s="781"/>
      <c r="T11" s="778"/>
      <c r="U11" s="781"/>
      <c r="V11" s="778"/>
      <c r="W11" s="781"/>
      <c r="X11" s="778"/>
      <c r="Y11" s="781"/>
      <c r="Z11" s="778"/>
    </row>
    <row r="12" spans="1:27" ht="15.75" customHeight="1" thickBot="1" x14ac:dyDescent="0.25">
      <c r="A12" s="647"/>
      <c r="B12" s="647"/>
      <c r="C12" s="647"/>
      <c r="D12" s="806"/>
      <c r="E12" s="787"/>
      <c r="F12" s="809"/>
      <c r="G12" s="787"/>
      <c r="H12" s="789"/>
      <c r="I12" s="787"/>
      <c r="J12" s="792"/>
      <c r="K12" s="787"/>
      <c r="L12" s="782"/>
      <c r="M12" s="787"/>
      <c r="N12" s="782"/>
      <c r="O12" s="787"/>
      <c r="P12" s="647"/>
      <c r="Q12" s="656"/>
      <c r="R12" s="647"/>
      <c r="S12" s="782"/>
      <c r="T12" s="779"/>
      <c r="U12" s="782"/>
      <c r="V12" s="779"/>
      <c r="W12" s="782"/>
      <c r="X12" s="779"/>
      <c r="Y12" s="782"/>
      <c r="Z12" s="779"/>
    </row>
    <row r="13" spans="1:27" ht="15.75" customHeight="1" thickBot="1" x14ac:dyDescent="0.25">
      <c r="A13" s="388" t="str">
        <f>Language!B362</f>
        <v>Latest week</v>
      </c>
      <c r="B13" s="389">
        <f>'Graph values'!G118</f>
        <v>0</v>
      </c>
      <c r="C13" s="390" t="e">
        <f>VLOOKUP($B$13,$B$14:$Z$97,COLUMN()-1,FALSE)</f>
        <v>#N/A</v>
      </c>
      <c r="D13" s="391" t="e">
        <f t="shared" ref="D13:K13" si="0">VLOOKUP($B$13,$B$15:$Z$98,COLUMN()-1,FALSE)</f>
        <v>#N/A</v>
      </c>
      <c r="E13" s="392" t="e">
        <f t="shared" si="0"/>
        <v>#N/A</v>
      </c>
      <c r="F13" s="391" t="e">
        <f t="shared" si="0"/>
        <v>#N/A</v>
      </c>
      <c r="G13" s="393" t="e">
        <f t="shared" si="0"/>
        <v>#N/A</v>
      </c>
      <c r="H13" s="391" t="e">
        <f t="shared" si="0"/>
        <v>#N/A</v>
      </c>
      <c r="I13" s="392" t="e">
        <f t="shared" si="0"/>
        <v>#N/A</v>
      </c>
      <c r="J13" s="391" t="e">
        <f t="shared" si="0"/>
        <v>#N/A</v>
      </c>
      <c r="K13" s="392" t="e">
        <f t="shared" si="0"/>
        <v>#N/A</v>
      </c>
      <c r="L13" s="394" t="e">
        <f>VLOOKUP($B$13,$B$15:$Z$98,COLUMN()-1,FALSE)</f>
        <v>#N/A</v>
      </c>
      <c r="M13" s="395" t="e">
        <f t="shared" ref="M13:Z13" si="1">VLOOKUP($B$13,$B$15:$Z$98,COLUMN()-1,FALSE)</f>
        <v>#N/A</v>
      </c>
      <c r="N13" s="396" t="e">
        <f t="shared" si="1"/>
        <v>#N/A</v>
      </c>
      <c r="O13" s="397" t="e">
        <f t="shared" si="1"/>
        <v>#N/A</v>
      </c>
      <c r="P13" s="388" t="e">
        <f t="shared" si="1"/>
        <v>#N/A</v>
      </c>
      <c r="Q13" s="388" t="e">
        <f t="shared" si="1"/>
        <v>#N/A</v>
      </c>
      <c r="R13" s="398" t="e">
        <f t="shared" si="1"/>
        <v>#N/A</v>
      </c>
      <c r="S13" s="402" t="e">
        <f t="shared" si="1"/>
        <v>#N/A</v>
      </c>
      <c r="T13" s="406" t="e">
        <f t="shared" si="1"/>
        <v>#N/A</v>
      </c>
      <c r="U13" s="394" t="e">
        <f t="shared" si="1"/>
        <v>#N/A</v>
      </c>
      <c r="V13" s="399" t="e">
        <f t="shared" si="1"/>
        <v>#N/A</v>
      </c>
      <c r="W13" s="391" t="e">
        <f t="shared" si="1"/>
        <v>#N/A</v>
      </c>
      <c r="X13" s="405" t="e">
        <f t="shared" si="1"/>
        <v>#N/A</v>
      </c>
      <c r="Y13" s="403" t="e">
        <f t="shared" si="1"/>
        <v>#N/A</v>
      </c>
      <c r="Z13" s="404" t="e">
        <f t="shared" si="1"/>
        <v>#N/A</v>
      </c>
    </row>
    <row r="14" spans="1:27" ht="15.75" customHeight="1" x14ac:dyDescent="0.2">
      <c r="A14" s="319">
        <f>'Financial sheet'!A14</f>
        <v>112</v>
      </c>
      <c r="B14" s="320">
        <v>17</v>
      </c>
      <c r="C14" s="102" t="str">
        <f>IF(OR('Input Laying'!D15="",'Input Laying'!$G$6="",'Input Laying'!$G$6=0),"",'Input Laying'!D15/'Input Laying'!$G$6*100)</f>
        <v/>
      </c>
      <c r="D14" s="103" t="str">
        <f>IF('Input Laying'!E15="","",IF('Input Laying'!N15="","",'Input Laying'!N15/7/'Input Laying'!D15*100))</f>
        <v/>
      </c>
      <c r="E14" s="104" t="str">
        <f>IF(OR(Std!B20=0,Std!B20=""),"",Std!B20)</f>
        <v/>
      </c>
      <c r="F14" s="105" t="str">
        <f>IF('Input Laying'!E15="","",IF('Input Laying'!N15="","",'Input Laying'!O15/'Input Laying'!$G$6))</f>
        <v/>
      </c>
      <c r="G14" s="106" t="str">
        <f>IF(OR(Std!G20=0,Std!G20=""),"",Std!G20)</f>
        <v/>
      </c>
      <c r="H14" s="107" t="str">
        <f>IF('Input Laying'!X15="","",'Input Laying'!X15)</f>
        <v/>
      </c>
      <c r="I14" s="104" t="str">
        <f>IF(Std!C20=0,"",Std!C20)</f>
        <v/>
      </c>
      <c r="J14" s="105" t="str">
        <f>IF(OR(N14="",F14="",N14=0,F14=0),"",N14/F14*1000)</f>
        <v/>
      </c>
      <c r="K14" s="104" t="e">
        <f>'Graph values'!AX7/'Graph values'!AU7*1000</f>
        <v>#DIV/0!</v>
      </c>
      <c r="L14" s="108" t="str">
        <f>IF('Input Laying'!N15="","",IF('Input Laying'!N15=0,"",IF('Production data'!H14="","",H14*D14/100)))</f>
        <v/>
      </c>
      <c r="M14" s="109" t="e">
        <f>ROUND(IF(Std!E20=0,"",Std!E20),2)</f>
        <v>#VALUE!</v>
      </c>
      <c r="N14" s="110">
        <f>IF('Input Laying'!X15=0,0,('Input Laying'!N15*'Production data'!H14)/'Input Laying'!$G$6/1000+N13)</f>
        <v>0</v>
      </c>
      <c r="O14" s="111" t="str">
        <f>IF(Std!F20=0,"",Std!F20)</f>
        <v/>
      </c>
      <c r="P14" s="411" t="str">
        <f>IF('Input Laying'!AD15="","",((('Input Laying'!AE14+'Input Laying'!AD15-'Input Laying'!AE15)/'Input Laying'!D15))/7*1000)</f>
        <v/>
      </c>
      <c r="Q14" s="412" t="str">
        <f>'Input Laying'!AA15</f>
        <v/>
      </c>
      <c r="R14" s="102" t="str">
        <f>'Input Laying'!AB15</f>
        <v/>
      </c>
      <c r="S14" s="113" t="str">
        <f>IF(OR('Input Laying'!N15=0,'Input Laying'!N15="",'Input Laying'!AD15=""),"",('Input Laying'!AD15*1000/'Input Laying'!N15))</f>
        <v/>
      </c>
      <c r="T14" s="407" t="str">
        <f>IF(OR('Input Laying'!O15="",'Input Laying'!O15=0),"",'Input Laying'!AF15*1000/'Input Laying'!O15)</f>
        <v/>
      </c>
      <c r="U14" s="115" t="str">
        <f>IF(OR(P14=0,P14="",L14=""),"",P14/L14)</f>
        <v/>
      </c>
      <c r="V14" s="116" t="str">
        <f>IF(OR(N14=0,N14=""),"",IF(OR('Input Laying'!AF15="",'Input Laying'!AF15=0),"",'Input Laying'!AF15/(N14*'Input Laying'!$G$6)))</f>
        <v/>
      </c>
      <c r="W14" s="107" t="str">
        <f>IF('Input Laying'!V15="","",IF('Input Laying'!V15=0,"",('Input Laying'!V15)/'Input Laying'!N15*100))</f>
        <v/>
      </c>
      <c r="X14" s="114" t="str">
        <f>IF('Input Laying'!V15=0,"",IF('Input Laying'!V15="","",'Input Laying'!W15/'Input Laying'!O15*100))</f>
        <v/>
      </c>
      <c r="Y14" s="117" t="str">
        <f>IF(OR('Input Laying'!AH15="",'Input Laying'!AH15=0),"",'Input Laying'!AH15)</f>
        <v/>
      </c>
      <c r="Z14" s="118">
        <f>IF(Std!D20=0,"",Std!D20)</f>
        <v>1439.5</v>
      </c>
    </row>
    <row r="15" spans="1:27" ht="15.75" customHeight="1" x14ac:dyDescent="0.2">
      <c r="A15" s="316">
        <f>IF('Input Laying'!A16="","",'Input Laying'!A16)</f>
        <v>119</v>
      </c>
      <c r="B15" s="321">
        <v>18</v>
      </c>
      <c r="C15" s="241" t="str">
        <f>IF(OR('Input Laying'!D16="",'Input Laying'!$G$6="",'Input Laying'!$G$6=0),"",'Input Laying'!D16/'Input Laying'!$G$6*100)</f>
        <v/>
      </c>
      <c r="D15" s="242" t="str">
        <f>IF('Input Laying'!E16="","",IF('Input Laying'!N16="","",'Input Laying'!N16/7/'Input Laying'!D16*100))</f>
        <v/>
      </c>
      <c r="E15" s="243">
        <f>IF(OR(Std!B21=0,Std!B21=""),"",Std!B21)</f>
        <v>3</v>
      </c>
      <c r="F15" s="244" t="str">
        <f>IF('Input Laying'!E16="","",IF('Input Laying'!N16="","",'Input Laying'!O16/'Input Laying'!$G$6))</f>
        <v/>
      </c>
      <c r="G15" s="245">
        <f>IF(OR(Std!G21=0,Std!G21=""),"",Std!G21)</f>
        <v>0.2097984</v>
      </c>
      <c r="H15" s="244" t="str">
        <f>IF('Input Laying'!X16="","",'Input Laying'!X16)</f>
        <v/>
      </c>
      <c r="I15" s="243">
        <f>IF(Std!C21=0,"",Std!C21)</f>
        <v>42.492229512069038</v>
      </c>
      <c r="J15" s="244" t="str">
        <f t="shared" ref="J15:J78" si="2">IF(OR(N15="",F15="",N15=0,F15=0),"",N15/F15*1000)</f>
        <v/>
      </c>
      <c r="K15" s="243">
        <f>'Graph values'!AX8/'Graph values'!AU8*1000</f>
        <v>42.492229512069038</v>
      </c>
      <c r="L15" s="246" t="str">
        <f>IF('Input Laying'!N16="","",IF('Input Laying'!N16=0,"",IF('Production data'!H15="","",H15*D15/100)))</f>
        <v/>
      </c>
      <c r="M15" s="247">
        <f>ROUND(IF(Std!E21=0,"",Std!E21),2)</f>
        <v>1.27</v>
      </c>
      <c r="N15" s="248">
        <f>IF('Input Laying'!X16=0,0,('Input Laying'!N16*'Production data'!H15)/'Input Laying'!$G$6/1000+N14)</f>
        <v>0</v>
      </c>
      <c r="O15" s="249">
        <f>IF(Std!F21=0,"",Std!F21)</f>
        <v>8.9148017640648652E-3</v>
      </c>
      <c r="P15" s="413" t="str">
        <f>IF('Input Laying'!AD16="","",((('Input Laying'!AE15+'Input Laying'!AD16-'Input Laying'!AE16)/'Input Laying'!D16))/7*1000)</f>
        <v/>
      </c>
      <c r="Q15" s="413" t="str">
        <f>'Input Laying'!AA16</f>
        <v/>
      </c>
      <c r="R15" s="241" t="str">
        <f>'Input Laying'!AB16</f>
        <v/>
      </c>
      <c r="S15" s="250" t="str">
        <f>IF(OR('Input Laying'!N16=0,'Input Laying'!N16="",'Input Laying'!AD16=""),"",('Input Laying'!AD16*1000/'Input Laying'!N16))</f>
        <v/>
      </c>
      <c r="T15" s="408" t="str">
        <f>IF(OR('Input Laying'!O16="",'Input Laying'!O16=0),"",'Input Laying'!AF16*1000/'Input Laying'!O16)</f>
        <v/>
      </c>
      <c r="U15" s="246" t="str">
        <f>IF(OR(P15=0,P15="",L15=""),"",P15/L15)</f>
        <v/>
      </c>
      <c r="V15" s="252" t="str">
        <f>IF(OR(N15=0,N15=""),"",IF(OR('Input Laying'!AF16="",'Input Laying'!AF16=0),"",'Input Laying'!AF16/(N15*'Input Laying'!$G$6)))</f>
        <v/>
      </c>
      <c r="W15" s="244" t="str">
        <f>IF('Input Laying'!V16="","",IF('Input Laying'!V16=0,"",('Input Laying'!V16)/'Input Laying'!N16*100))</f>
        <v/>
      </c>
      <c r="X15" s="251" t="str">
        <f>IF('Input Laying'!V16=0,"",IF('Input Laying'!V16="","",'Input Laying'!W16/'Input Laying'!O16*100))</f>
        <v/>
      </c>
      <c r="Y15" s="253" t="str">
        <f>IF(OR('Input Laying'!AH16="",'Input Laying'!AH16=0),"",'Input Laying'!AH16)</f>
        <v/>
      </c>
      <c r="Z15" s="254">
        <f>IF(Std!D21=0,"",Std!D21)</f>
        <v>1500</v>
      </c>
    </row>
    <row r="16" spans="1:27" ht="15.75" customHeight="1" x14ac:dyDescent="0.2">
      <c r="A16" s="317">
        <f>IF('Input Laying'!A17="","",'Input Laying'!A17)</f>
        <v>126</v>
      </c>
      <c r="B16" s="322">
        <v>19</v>
      </c>
      <c r="C16" s="112" t="str">
        <f>IF(OR('Input Laying'!D17="",'Input Laying'!$G$6="",'Input Laying'!$G$6=0),"",'Input Laying'!D17/'Input Laying'!$G$6*100)</f>
        <v/>
      </c>
      <c r="D16" s="119" t="str">
        <f>IF('Input Laying'!E17="","",IF('Input Laying'!N17="","",'Input Laying'!N17/7/'Input Laying'!D17*100))</f>
        <v/>
      </c>
      <c r="E16" s="120">
        <f>IF(OR(Std!B22=0,Std!B22=""),"",Std!B22)</f>
        <v>10.981494841287715</v>
      </c>
      <c r="F16" s="107" t="str">
        <f>IF('Input Laying'!E17="","",IF('Input Laying'!N17="","",'Input Laying'!O17/'Input Laying'!$G$6))</f>
        <v/>
      </c>
      <c r="G16" s="121">
        <f>IF(OR(Std!G22=0,Std!G22=""),"",Std!G22)</f>
        <v>0.97702712598347086</v>
      </c>
      <c r="H16" s="107" t="str">
        <f>IF('Input Laying'!X17="","",'Input Laying'!X17)</f>
        <v/>
      </c>
      <c r="I16" s="120">
        <f>IF(Std!C22=0,"",Std!C22)</f>
        <v>46.165713667956219</v>
      </c>
      <c r="J16" s="107" t="str">
        <f t="shared" si="2"/>
        <v/>
      </c>
      <c r="K16" s="120">
        <f>'Graph values'!AX9/'Graph values'!AU9*1000</f>
        <v>45.377496628736786</v>
      </c>
      <c r="L16" s="108" t="str">
        <f>IF('Input Laying'!N17="","",IF('Input Laying'!N17=0,"",IF('Production data'!H16="","",H16*D16/100)))</f>
        <v/>
      </c>
      <c r="M16" s="122">
        <f>ROUND(IF(Std!E22=0,"",Std!E22),2)</f>
        <v>5.07</v>
      </c>
      <c r="N16" s="123">
        <f>IF('Input Laying'!X17=0,0,('Input Laying'!N17*'Production data'!H16)/'Input Laying'!$G$6/1000+N15)</f>
        <v>0</v>
      </c>
      <c r="O16" s="124">
        <f>IF(Std!F22=0,"",Std!F22)</f>
        <v>4.433446344564862E-2</v>
      </c>
      <c r="P16" s="411" t="str">
        <f>IF('Input Laying'!AD17="","",((('Input Laying'!AE16+'Input Laying'!AD17-'Input Laying'!AE17)/'Input Laying'!D17))/7*1000)</f>
        <v/>
      </c>
      <c r="Q16" s="411" t="str">
        <f>'Input Laying'!AA17</f>
        <v/>
      </c>
      <c r="R16" s="112" t="str">
        <f>'Input Laying'!AB17</f>
        <v/>
      </c>
      <c r="S16" s="125" t="str">
        <f>IF(OR('Input Laying'!N17=0,'Input Laying'!N17="",'Input Laying'!AD17=""),"",('Input Laying'!AD17*1000/'Input Laying'!N17))</f>
        <v/>
      </c>
      <c r="T16" s="409" t="str">
        <f>IF(OR('Input Laying'!O17="",'Input Laying'!O17=0),"",'Input Laying'!AF17*1000/'Input Laying'!O17)</f>
        <v/>
      </c>
      <c r="U16" s="108" t="str">
        <f t="shared" ref="U16:U79" si="3">IF(OR(P16=0,P16="",L16=""),"",P16/L16)</f>
        <v/>
      </c>
      <c r="V16" s="127" t="str">
        <f>IF(OR(N16=0,N16=""),"",IF(OR('Input Laying'!AF17="",'Input Laying'!AF17=0),"",'Input Laying'!AF17/(N16*'Input Laying'!$G$6)))</f>
        <v/>
      </c>
      <c r="W16" s="107" t="str">
        <f>IF('Input Laying'!V17="","",IF('Input Laying'!V17=0,"",('Input Laying'!V17)/'Input Laying'!N17*100))</f>
        <v/>
      </c>
      <c r="X16" s="126" t="str">
        <f>IF('Input Laying'!V17=0,"",IF('Input Laying'!V17="","",'Input Laying'!W17/'Input Laying'!O17*100))</f>
        <v/>
      </c>
      <c r="Y16" s="128" t="str">
        <f>IF(OR('Input Laying'!AH17="",'Input Laying'!AH17=0),"",'Input Laying'!AH17)</f>
        <v/>
      </c>
      <c r="Z16" s="118">
        <f>IF(Std!D22=0,"",Std!D22)</f>
        <v>1558.6481528685708</v>
      </c>
    </row>
    <row r="17" spans="1:26" ht="15.75" customHeight="1" x14ac:dyDescent="0.2">
      <c r="A17" s="316">
        <f>IF('Input Laying'!A18="","",'Input Laying'!A18)</f>
        <v>133</v>
      </c>
      <c r="B17" s="321">
        <v>20</v>
      </c>
      <c r="C17" s="241" t="str">
        <f>IF(OR('Input Laying'!D18="",'Input Laying'!$G$6="",'Input Laying'!$G$6=0),"",'Input Laying'!D18/'Input Laying'!$G$6*100)</f>
        <v/>
      </c>
      <c r="D17" s="242" t="str">
        <f>IF('Input Laying'!E18="","",IF('Input Laying'!N18="","",'Input Laying'!N18/7/'Input Laying'!D18*100))</f>
        <v/>
      </c>
      <c r="E17" s="243">
        <f>IF(OR(Std!B23=0,Std!B23=""),"",Std!B23)</f>
        <v>31.090325793650802</v>
      </c>
      <c r="F17" s="244" t="str">
        <f>IF('Input Laying'!E18="","",IF('Input Laying'!N18="","",'Input Laying'!O18/'Input Laying'!$G$6))</f>
        <v/>
      </c>
      <c r="G17" s="245">
        <f>IF(OR(Std!G23=0,Std!G23=""),"",Std!G23)</f>
        <v>3.1470821218590266</v>
      </c>
      <c r="H17" s="244" t="str">
        <f>IF('Input Laying'!X18="","",'Input Laying'!X18)</f>
        <v/>
      </c>
      <c r="I17" s="243">
        <f>IF(Std!C23=0,"",Std!C23)</f>
        <v>49.278198677597565</v>
      </c>
      <c r="J17" s="244" t="str">
        <f t="shared" si="2"/>
        <v/>
      </c>
      <c r="K17" s="243">
        <f>'Graph values'!AX10/'Graph values'!AU10*1000</f>
        <v>48.068182201554201</v>
      </c>
      <c r="L17" s="246" t="str">
        <f>IF('Input Laying'!N18="","",IF('Input Laying'!N18=0,"",IF('Production data'!H17="","",H17*D17/100)))</f>
        <v/>
      </c>
      <c r="M17" s="247">
        <f>ROUND(IF(Std!E23=0,"",Std!E23),2)</f>
        <v>15.32</v>
      </c>
      <c r="N17" s="248">
        <f>IF('Input Laying'!X18=0,0,('Input Laying'!N18*'Production data'!H17)/'Input Laying'!$G$6/1000+N16)</f>
        <v>0</v>
      </c>
      <c r="O17" s="249">
        <f>IF(Std!F23=0,"",Std!F23)</f>
        <v>0.15127086467371742</v>
      </c>
      <c r="P17" s="413" t="str">
        <f>IF('Input Laying'!AD18="","",((('Input Laying'!AE17+'Input Laying'!AD18-'Input Laying'!AE18)/'Input Laying'!D18))/7*1000)</f>
        <v/>
      </c>
      <c r="Q17" s="413" t="str">
        <f>'Input Laying'!AA18</f>
        <v/>
      </c>
      <c r="R17" s="241" t="str">
        <f>'Input Laying'!AB18</f>
        <v/>
      </c>
      <c r="S17" s="250" t="str">
        <f>IF(OR('Input Laying'!N18=0,'Input Laying'!N18="",'Input Laying'!AD18=""),"",('Input Laying'!AD18*1000/'Input Laying'!N18))</f>
        <v/>
      </c>
      <c r="T17" s="408" t="str">
        <f>IF(OR('Input Laying'!O18="",'Input Laying'!O18=0),"",'Input Laying'!AF18*1000/'Input Laying'!O18)</f>
        <v/>
      </c>
      <c r="U17" s="246" t="str">
        <f t="shared" si="3"/>
        <v/>
      </c>
      <c r="V17" s="252" t="str">
        <f>IF(OR(N17=0,N17=""),"",IF(OR('Input Laying'!AF18="",'Input Laying'!AF18=0),"",'Input Laying'!AF18/(N17*'Input Laying'!$G$6)))</f>
        <v/>
      </c>
      <c r="W17" s="244" t="str">
        <f>IF('Input Laying'!V18="","",IF('Input Laying'!V18=0,"",('Input Laying'!V18)/'Input Laying'!N18*100))</f>
        <v/>
      </c>
      <c r="X17" s="251" t="str">
        <f>IF('Input Laying'!V18=0,"",IF('Input Laying'!V18="","",'Input Laying'!W18/'Input Laying'!O18*100))</f>
        <v/>
      </c>
      <c r="Y17" s="253" t="str">
        <f>IF(OR('Input Laying'!AH18="",'Input Laying'!AH18=0),"",'Input Laying'!AH18)</f>
        <v/>
      </c>
      <c r="Z17" s="254">
        <f>IF(Std!D23=0,"",Std!D23)</f>
        <v>1621.516225625237</v>
      </c>
    </row>
    <row r="18" spans="1:26" ht="15.75" customHeight="1" x14ac:dyDescent="0.2">
      <c r="A18" s="317">
        <f>IF('Input Laying'!A19="","",'Input Laying'!A19)</f>
        <v>140</v>
      </c>
      <c r="B18" s="322">
        <v>21</v>
      </c>
      <c r="C18" s="112" t="str">
        <f>IF(OR('Input Laying'!D19="",'Input Laying'!$G$6="",'Input Laying'!$G$6=0),"",'Input Laying'!D19/'Input Laying'!$G$6*100)</f>
        <v/>
      </c>
      <c r="D18" s="119" t="str">
        <f>IF('Input Laying'!E19="","",IF('Input Laying'!N19="","",'Input Laying'!N19/7/'Input Laying'!D19*100))</f>
        <v/>
      </c>
      <c r="E18" s="120">
        <f>IF(OR(Std!B24=0,Std!B24=""),"",Std!B24)</f>
        <v>49.193548412693254</v>
      </c>
      <c r="F18" s="107" t="str">
        <f>IF('Input Laying'!E19="","",IF('Input Laying'!N19="","",'Input Laying'!O19/'Input Laying'!$G$6))</f>
        <v/>
      </c>
      <c r="G18" s="121">
        <f>IF(OR(Std!G24=0,Std!G24=""),"",Std!G24)</f>
        <v>6.577407284934222</v>
      </c>
      <c r="H18" s="107" t="str">
        <f>IF('Input Laying'!X19="","",'Input Laying'!X19)</f>
        <v/>
      </c>
      <c r="I18" s="120">
        <f>IF(Std!C24=0,"",Std!C24)</f>
        <v>51.892660224258563</v>
      </c>
      <c r="J18" s="107" t="str">
        <f t="shared" si="2"/>
        <v/>
      </c>
      <c r="K18" s="120">
        <f>'Graph values'!AX11/'Graph values'!AU11*1000</f>
        <v>50.06403334671996</v>
      </c>
      <c r="L18" s="108" t="str">
        <f>IF('Input Laying'!N19="","",IF('Input Laying'!N19=0,"",IF('Production data'!H18="","",H18*D18/100)))</f>
        <v/>
      </c>
      <c r="M18" s="122">
        <f>ROUND(IF(Std!E24=0,"",Std!E24),2)</f>
        <v>25.53</v>
      </c>
      <c r="N18" s="123">
        <f>IF('Input Laying'!X19=0,0,('Input Laying'!N19*'Production data'!H18)/'Input Laying'!$G$6/1000+N17)</f>
        <v>0</v>
      </c>
      <c r="O18" s="124">
        <f>IF(Std!F24=0,"",Std!F24)</f>
        <v>0.32927956281990289</v>
      </c>
      <c r="P18" s="411" t="str">
        <f>IF('Input Laying'!AD19="","",((('Input Laying'!AE18+'Input Laying'!AD19-'Input Laying'!AE19)/'Input Laying'!D19))/7*1000)</f>
        <v/>
      </c>
      <c r="Q18" s="411" t="str">
        <f>'Input Laying'!AA19</f>
        <v/>
      </c>
      <c r="R18" s="112" t="str">
        <f>'Input Laying'!AB19</f>
        <v/>
      </c>
      <c r="S18" s="125" t="str">
        <f>IF(OR('Input Laying'!N19=0,'Input Laying'!N19="",'Input Laying'!AD19=""),"",('Input Laying'!AD19*1000/'Input Laying'!N19))</f>
        <v/>
      </c>
      <c r="T18" s="409" t="str">
        <f>IF(OR('Input Laying'!O19="",'Input Laying'!O19=0),"",'Input Laying'!AF19*1000/'Input Laying'!O19)</f>
        <v/>
      </c>
      <c r="U18" s="108" t="str">
        <f t="shared" si="3"/>
        <v/>
      </c>
      <c r="V18" s="127" t="str">
        <f>IF(OR(N18=0,N18=""),"",IF(OR('Input Laying'!AF19="",'Input Laying'!AF19=0),"",'Input Laying'!AF19/(N18*'Input Laying'!$G$6)))</f>
        <v/>
      </c>
      <c r="W18" s="107" t="str">
        <f>IF('Input Laying'!V19="","",IF('Input Laying'!V19=0,"",('Input Laying'!V19)/'Input Laying'!N19*100))</f>
        <v/>
      </c>
      <c r="X18" s="126" t="str">
        <f>IF('Input Laying'!V19=0,"",IF('Input Laying'!V19="","",'Input Laying'!W19/'Input Laying'!O19*100))</f>
        <v/>
      </c>
      <c r="Y18" s="128" t="str">
        <f>IF(OR('Input Laying'!AH19="",'Input Laying'!AH19=0),"",'Input Laying'!AH19)</f>
        <v/>
      </c>
      <c r="Z18" s="118">
        <f>IF(Std!D24=0,"",Std!D24)</f>
        <v>1684.3842983819034</v>
      </c>
    </row>
    <row r="19" spans="1:26" ht="15.75" customHeight="1" x14ac:dyDescent="0.2">
      <c r="A19" s="316">
        <f>IF('Input Laying'!A20="","",'Input Laying'!A20)</f>
        <v>147</v>
      </c>
      <c r="B19" s="321">
        <v>22</v>
      </c>
      <c r="C19" s="241" t="str">
        <f>IF(OR('Input Laying'!D20="",'Input Laying'!$G$6="",'Input Laying'!$G$6=0),"",'Input Laying'!D20/'Input Laying'!$G$6*100)</f>
        <v/>
      </c>
      <c r="D19" s="242" t="str">
        <f>IF('Input Laying'!E20="","",IF('Input Laying'!N20="","",'Input Laying'!N20/7/'Input Laying'!D20*100))</f>
        <v/>
      </c>
      <c r="E19" s="243">
        <f>IF(OR(Std!B25=0,Std!B25=""),"",Std!B25)</f>
        <v>66.812851587314796</v>
      </c>
      <c r="F19" s="244" t="str">
        <f>IF('Input Laying'!E20="","",IF('Input Laying'!N20="","",'Input Laying'!O20/'Input Laying'!$G$6))</f>
        <v/>
      </c>
      <c r="G19" s="245">
        <f>IF(OR(Std!G25=0,Std!G25=""),"",Std!G25)</f>
        <v>11.23185777791292</v>
      </c>
      <c r="H19" s="244" t="str">
        <f>IF('Input Laying'!X20="","",'Input Laying'!X20)</f>
        <v/>
      </c>
      <c r="I19" s="243">
        <f>IF(Std!C25=0,"",Std!C25)</f>
        <v>54.068332197003436</v>
      </c>
      <c r="J19" s="244" t="str">
        <f t="shared" si="2"/>
        <v/>
      </c>
      <c r="K19" s="243">
        <f>'Graph values'!AX12/'Graph values'!AU12*1000</f>
        <v>51.724956988293897</v>
      </c>
      <c r="L19" s="246" t="str">
        <f>IF('Input Laying'!N20="","",IF('Input Laying'!N20=0,"",IF('Production data'!H19="","",H19*D19/100)))</f>
        <v/>
      </c>
      <c r="M19" s="247">
        <f>ROUND(IF(Std!E25=0,"",Std!E25),2)</f>
        <v>36.119999999999997</v>
      </c>
      <c r="N19" s="248">
        <f>IF('Input Laying'!X20=0,0,('Input Laying'!N20*'Production data'!H19)/'Input Laying'!$G$6/1000+N18)</f>
        <v>0</v>
      </c>
      <c r="O19" s="249">
        <f>IF(Std!F25=0,"",Std!F25)</f>
        <v>0.5809379382687816</v>
      </c>
      <c r="P19" s="413" t="str">
        <f>IF('Input Laying'!AD20="","",((('Input Laying'!AE19+'Input Laying'!AD20-'Input Laying'!AE20)/'Input Laying'!D20))/7*1000)</f>
        <v/>
      </c>
      <c r="Q19" s="413" t="str">
        <f>'Input Laying'!AA20</f>
        <v/>
      </c>
      <c r="R19" s="241" t="str">
        <f>'Input Laying'!AB20</f>
        <v/>
      </c>
      <c r="S19" s="250" t="str">
        <f>IF(OR('Input Laying'!N20=0,'Input Laying'!N20="",'Input Laying'!AD20=""),"",('Input Laying'!AD20*1000/'Input Laying'!N20))</f>
        <v/>
      </c>
      <c r="T19" s="408" t="str">
        <f>IF(OR('Input Laying'!O20="",'Input Laying'!O20=0),"",'Input Laying'!AF20*1000/'Input Laying'!O20)</f>
        <v/>
      </c>
      <c r="U19" s="246" t="str">
        <f t="shared" si="3"/>
        <v/>
      </c>
      <c r="V19" s="252" t="str">
        <f>IF(OR(N19=0,N19=""),"",IF(OR('Input Laying'!AF20="",'Input Laying'!AF20=0),"",'Input Laying'!AF20/(N19*'Input Laying'!$G$6)))</f>
        <v/>
      </c>
      <c r="W19" s="244" t="str">
        <f>IF('Input Laying'!V20="","",IF('Input Laying'!V20=0,"",('Input Laying'!V20)/'Input Laying'!N20*100))</f>
        <v/>
      </c>
      <c r="X19" s="251" t="str">
        <f>IF('Input Laying'!V20=0,"",IF('Input Laying'!V20="","",'Input Laying'!W20/'Input Laying'!O20*100))</f>
        <v/>
      </c>
      <c r="Y19" s="253" t="str">
        <f>IF(OR('Input Laying'!AH20="",'Input Laying'!AH20=0),"",'Input Laying'!AH20)</f>
        <v/>
      </c>
      <c r="Z19" s="254">
        <f>IF(Std!D25=0,"",Std!D25)</f>
        <v>1722.8380769891196</v>
      </c>
    </row>
    <row r="20" spans="1:26" ht="15.75" customHeight="1" x14ac:dyDescent="0.2">
      <c r="A20" s="317">
        <f>IF('Input Laying'!A21="","",'Input Laying'!A21)</f>
        <v>154</v>
      </c>
      <c r="B20" s="322">
        <v>23</v>
      </c>
      <c r="C20" s="112" t="str">
        <f>IF(OR('Input Laying'!D21="",'Input Laying'!$G$6="",'Input Laying'!$G$6=0),"",'Input Laying'!D21/'Input Laying'!$G$6*100)</f>
        <v/>
      </c>
      <c r="D20" s="119" t="str">
        <f>IF('Input Laying'!E21="","",IF('Input Laying'!N21="","",'Input Laying'!N21/7/'Input Laying'!D21*100))</f>
        <v/>
      </c>
      <c r="E20" s="120">
        <f>IF(OR(Std!B26=0,Std!B26=""),"",Std!B26)</f>
        <v>82.19717420633819</v>
      </c>
      <c r="F20" s="107" t="str">
        <f>IF('Input Laying'!E21="","",IF('Input Laying'!N21="","",'Input Laying'!O21/'Input Laying'!$G$6))</f>
        <v/>
      </c>
      <c r="G20" s="121">
        <f>IF(OR(Std!G26=0,Std!G26=""),"",Std!G26)</f>
        <v>16.952518071716597</v>
      </c>
      <c r="H20" s="107" t="str">
        <f>IF('Input Laying'!X21="","",'Input Laying'!X21)</f>
        <v/>
      </c>
      <c r="I20" s="120">
        <f>IF(Std!C26=0,"",Std!C26)</f>
        <v>55.86070669069413</v>
      </c>
      <c r="J20" s="107" t="str">
        <f t="shared" si="2"/>
        <v/>
      </c>
      <c r="K20" s="120">
        <f>'Graph values'!AX13/'Graph values'!AU13*1000</f>
        <v>53.122331922095931</v>
      </c>
      <c r="L20" s="108" t="str">
        <f>IF('Input Laying'!N21="","",IF('Input Laying'!N21=0,"",IF('Production data'!H20="","",H20*D20/100)))</f>
        <v/>
      </c>
      <c r="M20" s="122">
        <f>ROUND(IF(Std!E26=0,"",Std!E26),2)</f>
        <v>45.92</v>
      </c>
      <c r="N20" s="123">
        <f>IF('Input Laying'!X21=0,0,('Input Laying'!N21*'Production data'!H20)/'Input Laying'!$G$6/1000+N19)</f>
        <v>0</v>
      </c>
      <c r="O20" s="124">
        <f>IF(Std!F26=0,"",Std!F26)</f>
        <v>0.90049806501804885</v>
      </c>
      <c r="P20" s="411" t="str">
        <f>IF('Input Laying'!AD21="","",((('Input Laying'!AE20+'Input Laying'!AD21-'Input Laying'!AE21)/'Input Laying'!D21))/7*1000)</f>
        <v/>
      </c>
      <c r="Q20" s="411" t="str">
        <f>'Input Laying'!AA21</f>
        <v/>
      </c>
      <c r="R20" s="112" t="str">
        <f>'Input Laying'!AB21</f>
        <v/>
      </c>
      <c r="S20" s="125" t="str">
        <f>IF(OR('Input Laying'!N21=0,'Input Laying'!N21="",'Input Laying'!AD21=""),"",('Input Laying'!AD21*1000/'Input Laying'!N21))</f>
        <v/>
      </c>
      <c r="T20" s="409" t="str">
        <f>IF(OR('Input Laying'!O21="",'Input Laying'!O21=0),"",'Input Laying'!AF21*1000/'Input Laying'!O21)</f>
        <v/>
      </c>
      <c r="U20" s="108" t="str">
        <f t="shared" si="3"/>
        <v/>
      </c>
      <c r="V20" s="127" t="str">
        <f>IF(OR(N20=0,N20=""),"",IF(OR('Input Laying'!AF21="",'Input Laying'!AF21=0),"",'Input Laying'!AF21/(N20*'Input Laying'!$G$6)))</f>
        <v/>
      </c>
      <c r="W20" s="107" t="str">
        <f>IF('Input Laying'!V21="","",IF('Input Laying'!V21=0,"",('Input Laying'!V21)/'Input Laying'!N21*100))</f>
        <v/>
      </c>
      <c r="X20" s="126" t="str">
        <f>IF('Input Laying'!V21=0,"",IF('Input Laying'!V21="","",'Input Laying'!W21/'Input Laying'!O21*100))</f>
        <v/>
      </c>
      <c r="Y20" s="128" t="str">
        <f>IF(OR('Input Laying'!AH21="",'Input Laying'!AH21=0),"",'Input Laying'!AH21)</f>
        <v/>
      </c>
      <c r="Z20" s="118">
        <f>IF(Std!D26=0,"",Std!D26)</f>
        <v>1750.3376435627622</v>
      </c>
    </row>
    <row r="21" spans="1:26" ht="15.75" customHeight="1" x14ac:dyDescent="0.2">
      <c r="A21" s="316">
        <f>IF('Input Laying'!A22="","",'Input Laying'!A22)</f>
        <v>161</v>
      </c>
      <c r="B21" s="321">
        <v>24</v>
      </c>
      <c r="C21" s="241" t="str">
        <f>IF(OR('Input Laying'!D22="",'Input Laying'!$G$6="",'Input Laying'!$G$6=0),"",'Input Laying'!D22/'Input Laying'!$G$6*100)</f>
        <v/>
      </c>
      <c r="D21" s="242" t="str">
        <f>IF('Input Laying'!E22="","",IF('Input Laying'!N22="","",'Input Laying'!N22/7/'Input Laying'!D22*100))</f>
        <v/>
      </c>
      <c r="E21" s="243">
        <f>IF(OR(Std!B27=0,Std!B27=""),"",Std!B27)</f>
        <v>90.322705158758438</v>
      </c>
      <c r="F21" s="244" t="str">
        <f>IF('Input Laying'!E22="","",IF('Input Laying'!N22="","",'Input Laying'!O22/'Input Laying'!$G$6))</f>
        <v/>
      </c>
      <c r="G21" s="245">
        <f>IF(OR(Std!G27=0,Std!G27=""),"",Std!G27)</f>
        <v>23.232619632323008</v>
      </c>
      <c r="H21" s="244" t="str">
        <f>IF('Input Laying'!X22="","",'Input Laying'!X22)</f>
        <v/>
      </c>
      <c r="I21" s="243">
        <f>IF(Std!C27=0,"",Std!C27)</f>
        <v>57.32153400599077</v>
      </c>
      <c r="J21" s="244" t="str">
        <f t="shared" si="2"/>
        <v/>
      </c>
      <c r="K21" s="243">
        <f>'Graph values'!AX14/'Graph values'!AU14*1000</f>
        <v>54.259278720430906</v>
      </c>
      <c r="L21" s="246" t="str">
        <f>IF('Input Laying'!N22="","",IF('Input Laying'!N22=0,"",IF('Production data'!H21="","",H21*D21/100)))</f>
        <v/>
      </c>
      <c r="M21" s="247">
        <f>ROUND(IF(Std!E27=0,"",Std!E27),2)</f>
        <v>51.77</v>
      </c>
      <c r="N21" s="248">
        <f>IF('Input Laying'!X22=0,0,('Input Laying'!N22*'Production data'!H21)/'Input Laying'!$G$6/1000+N20)</f>
        <v>0</v>
      </c>
      <c r="O21" s="249">
        <f>IF(Std!F27=0,"",Std!F27)</f>
        <v>1.260483120185425</v>
      </c>
      <c r="P21" s="413" t="str">
        <f>IF('Input Laying'!AD22="","",((('Input Laying'!AE21+'Input Laying'!AD22-'Input Laying'!AE22)/'Input Laying'!D22))/7*1000)</f>
        <v/>
      </c>
      <c r="Q21" s="413" t="str">
        <f>'Input Laying'!AA22</f>
        <v/>
      </c>
      <c r="R21" s="241" t="str">
        <f>'Input Laying'!AB22</f>
        <v/>
      </c>
      <c r="S21" s="250" t="str">
        <f>IF(OR('Input Laying'!N22=0,'Input Laying'!N22="",'Input Laying'!AD22=""),"",('Input Laying'!AD22*1000/'Input Laying'!N22))</f>
        <v/>
      </c>
      <c r="T21" s="408" t="str">
        <f>IF(OR('Input Laying'!O22="",'Input Laying'!O22=0),"",'Input Laying'!AF22*1000/'Input Laying'!O22)</f>
        <v/>
      </c>
      <c r="U21" s="246" t="str">
        <f t="shared" si="3"/>
        <v/>
      </c>
      <c r="V21" s="252" t="str">
        <f>IF(OR(N21=0,N21=""),"",IF(OR('Input Laying'!AF22="",'Input Laying'!AF22=0),"",'Input Laying'!AF22/(N21*'Input Laying'!$G$6)))</f>
        <v/>
      </c>
      <c r="W21" s="244" t="str">
        <f>IF('Input Laying'!V22="","",IF('Input Laying'!V22=0,"",('Input Laying'!V22)/'Input Laying'!N22*100))</f>
        <v/>
      </c>
      <c r="X21" s="251" t="str">
        <f>IF('Input Laying'!V22=0,"",IF('Input Laying'!V22="","",'Input Laying'!W22/'Input Laying'!O22*100))</f>
        <v/>
      </c>
      <c r="Y21" s="253" t="str">
        <f>IF(OR('Input Laying'!AH22="",'Input Laying'!AH22=0),"",'Input Laying'!AH22)</f>
        <v/>
      </c>
      <c r="Z21" s="254">
        <f>IF(Std!D27=0,"",Std!D27)</f>
        <v>1769.4420674095306</v>
      </c>
    </row>
    <row r="22" spans="1:26" ht="15.75" customHeight="1" x14ac:dyDescent="0.2">
      <c r="A22" s="317">
        <f>IF('Input Laying'!A23="","",'Input Laying'!A23)</f>
        <v>168</v>
      </c>
      <c r="B22" s="322">
        <v>25</v>
      </c>
      <c r="C22" s="112" t="str">
        <f>IF(OR('Input Laying'!D23="",'Input Laying'!$G$6="",'Input Laying'!$G$6=0),"",'Input Laying'!D23/'Input Laying'!$G$6*100)</f>
        <v/>
      </c>
      <c r="D22" s="119" t="str">
        <f>IF('Input Laying'!E23="","",IF('Input Laying'!N23="","",'Input Laying'!N23/7/'Input Laying'!D23*100))</f>
        <v/>
      </c>
      <c r="E22" s="120">
        <f>IF(OR(Std!B28=0,Std!B28=""),"",Std!B28)</f>
        <v>92.969803679609498</v>
      </c>
      <c r="F22" s="107" t="str">
        <f>IF('Input Laying'!E23="","",IF('Input Laying'!N23="","",'Input Laying'!O23/'Input Laying'!$G$6))</f>
        <v/>
      </c>
      <c r="G22" s="121">
        <f>IF(OR(Std!G28=0,Std!G28=""),"",Std!G28)</f>
        <v>29.690525323437512</v>
      </c>
      <c r="H22" s="107" t="str">
        <f>IF('Input Laying'!X23="","",'Input Laying'!X23)</f>
        <v/>
      </c>
      <c r="I22" s="120">
        <f>IF(Std!C28=0,"",Std!C28)</f>
        <v>58.498822649351531</v>
      </c>
      <c r="J22" s="107" t="str">
        <f t="shared" si="2"/>
        <v/>
      </c>
      <c r="K22" s="120">
        <f>'Graph values'!AX15/'Graph values'!AU15*1000</f>
        <v>55.183280651572048</v>
      </c>
      <c r="L22" s="108" t="str">
        <f>IF('Input Laying'!N23="","",IF('Input Laying'!N23=0,"",IF('Production data'!H22="","",H22*D22/100)))</f>
        <v/>
      </c>
      <c r="M22" s="122">
        <f>ROUND(IF(Std!E28=0,"",Std!E28),2)</f>
        <v>54.39</v>
      </c>
      <c r="N22" s="123">
        <f>IF('Input Laying'!X23=0,0,('Input Laying'!N23*'Production data'!H22)/'Input Laying'!$G$6/1000+N21)</f>
        <v>0</v>
      </c>
      <c r="O22" s="124">
        <f>IF(Std!F28=0,"",Std!F28)</f>
        <v>1.6382629998961704</v>
      </c>
      <c r="P22" s="411" t="str">
        <f>IF('Input Laying'!AD23="","",((('Input Laying'!AE22+'Input Laying'!AD23-'Input Laying'!AE23)/'Input Laying'!D23))/7*1000)</f>
        <v/>
      </c>
      <c r="Q22" s="411" t="str">
        <f>'Input Laying'!AA23</f>
        <v/>
      </c>
      <c r="R22" s="112" t="str">
        <f>'Input Laying'!AB23</f>
        <v/>
      </c>
      <c r="S22" s="125" t="str">
        <f>IF(OR('Input Laying'!N23=0,'Input Laying'!N23="",'Input Laying'!AD23=""),"",('Input Laying'!AD23*1000/'Input Laying'!N23))</f>
        <v/>
      </c>
      <c r="T22" s="409" t="str">
        <f>IF(OR('Input Laying'!O23="",'Input Laying'!O23=0),"",'Input Laying'!AF23*1000/'Input Laying'!O23)</f>
        <v/>
      </c>
      <c r="U22" s="108" t="str">
        <f t="shared" si="3"/>
        <v/>
      </c>
      <c r="V22" s="127" t="str">
        <f>IF(OR(N22=0,N22=""),"",IF(OR('Input Laying'!AF23="",'Input Laying'!AF23=0),"",'Input Laying'!AF23/(N22*'Input Laying'!$G$6)))</f>
        <v/>
      </c>
      <c r="W22" s="107" t="str">
        <f>IF('Input Laying'!V23="","",IF('Input Laying'!V23=0,"",('Input Laying'!V23)/'Input Laying'!N23*100))</f>
        <v/>
      </c>
      <c r="X22" s="126" t="str">
        <f>IF('Input Laying'!V23=0,"",IF('Input Laying'!V23="","",'Input Laying'!W23/'Input Laying'!O23*100))</f>
        <v/>
      </c>
      <c r="Y22" s="128" t="str">
        <f>IF(OR('Input Laying'!AH23="",'Input Laying'!AH23=0),"",'Input Laying'!AH23)</f>
        <v/>
      </c>
      <c r="Z22" s="118">
        <f>IF(Std!D28=0,"",Std!D28)</f>
        <v>1782.4132835876542</v>
      </c>
    </row>
    <row r="23" spans="1:26" ht="15.75" customHeight="1" x14ac:dyDescent="0.2">
      <c r="A23" s="316">
        <f>IF('Input Laying'!A24="","",'Input Laying'!A24)</f>
        <v>175</v>
      </c>
      <c r="B23" s="321">
        <v>26</v>
      </c>
      <c r="C23" s="241" t="str">
        <f>IF(OR('Input Laying'!D24="",'Input Laying'!$G$6="",'Input Laying'!$G$6=0),"",'Input Laying'!D24/'Input Laying'!$G$6*100)</f>
        <v/>
      </c>
      <c r="D23" s="242" t="str">
        <f>IF('Input Laying'!E24="","",IF('Input Laying'!N24="","",'Input Laying'!N24/7/'Input Laying'!D24*100))</f>
        <v/>
      </c>
      <c r="E23" s="243">
        <f>IF(OR(Std!B29=0,Std!B29=""),"",Std!B29)</f>
        <v>94.027253820241981</v>
      </c>
      <c r="F23" s="244" t="str">
        <f>IF('Input Laying'!E24="","",IF('Input Laying'!N24="","",'Input Laying'!O24/'Input Laying'!$G$6))</f>
        <v/>
      </c>
      <c r="G23" s="245">
        <f>IF(OR(Std!G29=0,Std!G29=""),"",Std!G29)</f>
        <v>36.215565407743966</v>
      </c>
      <c r="H23" s="244" t="str">
        <f>IF('Input Laying'!X24="","",'Input Laying'!X24)</f>
        <v/>
      </c>
      <c r="I23" s="243">
        <f>IF(Std!C29=0,"",Std!C29)</f>
        <v>59.436839333032999</v>
      </c>
      <c r="J23" s="244" t="str">
        <f t="shared" si="2"/>
        <v/>
      </c>
      <c r="K23" s="243">
        <f>'Graph values'!AX16/'Graph values'!AU16*1000</f>
        <v>55.951536821494464</v>
      </c>
      <c r="L23" s="246" t="str">
        <f>IF('Input Laying'!N24="","",IF('Input Laying'!N24=0,"",IF('Production data'!H23="","",H23*D23/100)))</f>
        <v/>
      </c>
      <c r="M23" s="247">
        <f>ROUND(IF(Std!E29=0,"",Std!E29),2)</f>
        <v>55.89</v>
      </c>
      <c r="N23" s="248">
        <f>IF('Input Laying'!X24=0,0,('Input Laying'!N24*'Production data'!H23)/'Input Laying'!$G$6/1000+N22)</f>
        <v>0</v>
      </c>
      <c r="O23" s="249">
        <f>IF(Std!F29=0,"",Std!F29)</f>
        <v>2.0260907590286932</v>
      </c>
      <c r="P23" s="413" t="str">
        <f>IF('Input Laying'!AD24="","",((('Input Laying'!AE23+'Input Laying'!AD24-'Input Laying'!AE24)/'Input Laying'!D24))/7*1000)</f>
        <v/>
      </c>
      <c r="Q23" s="413" t="str">
        <f>'Input Laying'!AA24</f>
        <v/>
      </c>
      <c r="R23" s="241" t="str">
        <f>'Input Laying'!AB24</f>
        <v/>
      </c>
      <c r="S23" s="250" t="str">
        <f>IF(OR('Input Laying'!N24=0,'Input Laying'!N24="",'Input Laying'!AD24=""),"",('Input Laying'!AD24*1000/'Input Laying'!N24))</f>
        <v/>
      </c>
      <c r="T23" s="408" t="str">
        <f>IF(OR('Input Laying'!O24="",'Input Laying'!O24=0),"",'Input Laying'!AF24*1000/'Input Laying'!O24)</f>
        <v/>
      </c>
      <c r="U23" s="246" t="str">
        <f t="shared" si="3"/>
        <v/>
      </c>
      <c r="V23" s="252" t="str">
        <f>IF(OR(N23=0,N23=""),"",IF(OR('Input Laying'!AF24="",'Input Laying'!AF24=0),"",'Input Laying'!AF24/(N23*'Input Laying'!$G$6)))</f>
        <v/>
      </c>
      <c r="W23" s="244" t="str">
        <f>IF('Input Laying'!V24="","",IF('Input Laying'!V24=0,"",('Input Laying'!V24)/'Input Laying'!N24*100))</f>
        <v/>
      </c>
      <c r="X23" s="251" t="str">
        <f>IF('Input Laying'!V24=0,"",IF('Input Laying'!V24="","",'Input Laying'!W24/'Input Laying'!O24*100))</f>
        <v/>
      </c>
      <c r="Y23" s="253" t="str">
        <f>IF(OR('Input Laying'!AH24="",'Input Laying'!AH24=0),"",'Input Laying'!AH24)</f>
        <v/>
      </c>
      <c r="Z23" s="254">
        <f>IF(Std!D29=0,"",Std!D29)</f>
        <v>1791.2160929069075</v>
      </c>
    </row>
    <row r="24" spans="1:26" ht="15.75" customHeight="1" x14ac:dyDescent="0.2">
      <c r="A24" s="317">
        <f>IF('Input Laying'!A25="","",'Input Laying'!A25)</f>
        <v>182</v>
      </c>
      <c r="B24" s="322">
        <v>27</v>
      </c>
      <c r="C24" s="112" t="str">
        <f>IF(OR('Input Laying'!D25="",'Input Laying'!$G$6="",'Input Laying'!$G$6=0),"",'Input Laying'!D25/'Input Laying'!$G$6*100)</f>
        <v/>
      </c>
      <c r="D24" s="119" t="str">
        <f>IF('Input Laying'!E25="","",IF('Input Laying'!N25="","",'Input Laying'!N25/7/'Input Laying'!D25*100))</f>
        <v/>
      </c>
      <c r="E24" s="120">
        <f>IF(OR(Std!B30=0,Std!B30=""),"",Std!B30)</f>
        <v>94.815695421183847</v>
      </c>
      <c r="F24" s="107" t="str">
        <f>IF('Input Laying'!E25="","",IF('Input Laying'!N25="","",'Input Laying'!O25/'Input Laying'!$G$6))</f>
        <v/>
      </c>
      <c r="G24" s="121">
        <f>IF(OR(Std!G30=0,Std!G30=""),"",Std!G30)</f>
        <v>42.7889479399038</v>
      </c>
      <c r="H24" s="107" t="str">
        <f>IF('Input Laying'!X25="","",'Input Laying'!X25)</f>
        <v/>
      </c>
      <c r="I24" s="120">
        <f>IF(Std!C30=0,"",Std!C30)</f>
        <v>60.176108975089896</v>
      </c>
      <c r="J24" s="107" t="str">
        <f t="shared" si="2"/>
        <v/>
      </c>
      <c r="K24" s="120">
        <f>'Graph values'!AX17/'Graph values'!AU17*1000</f>
        <v>56.602412159000878</v>
      </c>
      <c r="L24" s="108" t="str">
        <f>IF('Input Laying'!N25="","",IF('Input Laying'!N25=0,"",IF('Production data'!H24="","",H24*D24/100)))</f>
        <v/>
      </c>
      <c r="M24" s="122">
        <f>ROUND(IF(Std!E30=0,"",Std!E30),2)</f>
        <v>57.06</v>
      </c>
      <c r="N24" s="123">
        <f>IF('Input Laying'!X25=0,0,('Input Laying'!N25*'Production data'!H24)/'Input Laying'!$G$6/1000+N23)</f>
        <v>0</v>
      </c>
      <c r="O24" s="124">
        <f>IF(Std!F30=0,"",Std!F30)</f>
        <v>2.4216513426188957</v>
      </c>
      <c r="P24" s="411" t="str">
        <f>IF('Input Laying'!AD25="","",((('Input Laying'!AE24+'Input Laying'!AD25-'Input Laying'!AE25)/'Input Laying'!D25))/7*1000)</f>
        <v/>
      </c>
      <c r="Q24" s="411" t="str">
        <f>'Input Laying'!AA25</f>
        <v/>
      </c>
      <c r="R24" s="112" t="str">
        <f>'Input Laying'!AB25</f>
        <v/>
      </c>
      <c r="S24" s="125" t="str">
        <f>IF(OR('Input Laying'!N25=0,'Input Laying'!N25="",'Input Laying'!AD25=""),"",('Input Laying'!AD25*1000/'Input Laying'!N25))</f>
        <v/>
      </c>
      <c r="T24" s="409" t="str">
        <f>IF(OR('Input Laying'!O25="",'Input Laying'!O25=0),"",'Input Laying'!AF25*1000/'Input Laying'!O25)</f>
        <v/>
      </c>
      <c r="U24" s="108" t="str">
        <f t="shared" si="3"/>
        <v/>
      </c>
      <c r="V24" s="127" t="str">
        <f>IF(OR(N24=0,N24=""),"",IF(OR('Input Laying'!AF25="",'Input Laying'!AF25=0),"",'Input Laying'!AF25/(N24*'Input Laying'!$G$6)))</f>
        <v/>
      </c>
      <c r="W24" s="107" t="str">
        <f>IF('Input Laying'!V25="","",IF('Input Laying'!V25=0,"",('Input Laying'!V25)/'Input Laying'!N25*100))</f>
        <v/>
      </c>
      <c r="X24" s="126" t="str">
        <f>IF('Input Laying'!V25=0,"",IF('Input Laying'!V25="","",'Input Laying'!W25/'Input Laying'!O25*100))</f>
        <v/>
      </c>
      <c r="Y24" s="128" t="str">
        <f>IF(OR('Input Laying'!AH25="",'Input Laying'!AH25=0),"",'Input Laying'!AH25)</f>
        <v/>
      </c>
      <c r="Z24" s="118">
        <f>IF(Std!D30=0,"",Std!D30)</f>
        <v>1797.5181619286207</v>
      </c>
    </row>
    <row r="25" spans="1:26" ht="15.75" customHeight="1" x14ac:dyDescent="0.2">
      <c r="A25" s="316">
        <f>IF('Input Laying'!A26="","",'Input Laying'!A26)</f>
        <v>189</v>
      </c>
      <c r="B25" s="321">
        <v>28</v>
      </c>
      <c r="C25" s="241" t="str">
        <f>IF(OR('Input Laying'!D26="",'Input Laying'!$G$6="",'Input Laying'!$G$6=0),"",'Input Laying'!D26/'Input Laying'!$G$6*100)</f>
        <v/>
      </c>
      <c r="D25" s="242" t="str">
        <f>IF('Input Laying'!E26="","",IF('Input Laying'!N26="","",'Input Laying'!N26/7/'Input Laying'!D26*100))</f>
        <v/>
      </c>
      <c r="E25" s="243">
        <f>IF(OR(Std!B31=0,Std!B31=""),"",Std!B31)</f>
        <v>95.375174273736476</v>
      </c>
      <c r="F25" s="244" t="str">
        <f>IF('Input Laying'!E26="","",IF('Input Laying'!N26="","",'Input Laying'!O26/'Input Laying'!$G$6))</f>
        <v/>
      </c>
      <c r="G25" s="245">
        <f>IF(OR(Std!G31=0,Std!G31=""),"",Std!G31)</f>
        <v>49.394708810242207</v>
      </c>
      <c r="H25" s="244" t="str">
        <f>IF('Input Laying'!X26="","",'Input Laying'!X26)</f>
        <v/>
      </c>
      <c r="I25" s="243">
        <f>IF(Std!C31=0,"",Std!C31)</f>
        <v>60.753414699374538</v>
      </c>
      <c r="J25" s="244" t="str">
        <f t="shared" si="2"/>
        <v/>
      </c>
      <c r="K25" s="243">
        <f>'Graph values'!AX18/'Graph values'!AU18*1000</f>
        <v>57.159404805946018</v>
      </c>
      <c r="L25" s="246" t="str">
        <f>IF('Input Laying'!N26="","",IF('Input Laying'!N26=0,"",IF('Production data'!H25="","",H25*D25/100)))</f>
        <v/>
      </c>
      <c r="M25" s="247">
        <f>ROUND(IF(Std!E31=0,"",Std!E31),2)</f>
        <v>57.94</v>
      </c>
      <c r="N25" s="248">
        <f>IF('Input Laying'!X26=0,0,('Input Laying'!N26*'Production data'!H25)/'Input Laying'!$G$6/1000+N24)</f>
        <v>0</v>
      </c>
      <c r="O25" s="249">
        <f>IF(Std!F31=0,"",Std!F31)</f>
        <v>2.8229738721794662</v>
      </c>
      <c r="P25" s="413" t="str">
        <f>IF('Input Laying'!AD26="","",((('Input Laying'!AE25+'Input Laying'!AD26-'Input Laying'!AE26)/'Input Laying'!D26))/7*1000)</f>
        <v/>
      </c>
      <c r="Q25" s="413" t="str">
        <f>'Input Laying'!AA26</f>
        <v/>
      </c>
      <c r="R25" s="241" t="str">
        <f>'Input Laying'!AB26</f>
        <v/>
      </c>
      <c r="S25" s="250" t="str">
        <f>IF(OR('Input Laying'!N26=0,'Input Laying'!N26="",'Input Laying'!AD26=""),"",('Input Laying'!AD26*1000/'Input Laying'!N26))</f>
        <v/>
      </c>
      <c r="T25" s="408" t="str">
        <f>IF(OR('Input Laying'!O26="",'Input Laying'!O26=0),"",'Input Laying'!AF26*1000/'Input Laying'!O26)</f>
        <v/>
      </c>
      <c r="U25" s="246" t="str">
        <f t="shared" si="3"/>
        <v/>
      </c>
      <c r="V25" s="252" t="str">
        <f>IF(OR(N25=0,N25=""),"",IF(OR('Input Laying'!AF26="",'Input Laying'!AF26=0),"",'Input Laying'!AF26/(N25*'Input Laying'!$G$6)))</f>
        <v/>
      </c>
      <c r="W25" s="244" t="str">
        <f>IF('Input Laying'!V26="","",IF('Input Laying'!V26=0,"",('Input Laying'!V26)/'Input Laying'!N26*100))</f>
        <v/>
      </c>
      <c r="X25" s="251" t="str">
        <f>IF('Input Laying'!V26=0,"",IF('Input Laying'!V26="","",'Input Laying'!W26/'Input Laying'!O26*100))</f>
        <v/>
      </c>
      <c r="Y25" s="253" t="str">
        <f>IF(OR('Input Laying'!AH26="",'Input Laying'!AH26=0),"",'Input Laying'!AH26)</f>
        <v/>
      </c>
      <c r="Z25" s="254">
        <f>IF(Std!D31=0,"",Std!D31)</f>
        <v>1806</v>
      </c>
    </row>
    <row r="26" spans="1:26" ht="15.75" customHeight="1" x14ac:dyDescent="0.2">
      <c r="A26" s="317">
        <f>IF('Input Laying'!A27="","",'Input Laying'!A27)</f>
        <v>196</v>
      </c>
      <c r="B26" s="322">
        <v>29</v>
      </c>
      <c r="C26" s="112" t="str">
        <f>IF(OR('Input Laying'!D27="",'Input Laying'!$G$6="",'Input Laying'!$G$6=0),"",'Input Laying'!D27/'Input Laying'!$G$6*100)</f>
        <v/>
      </c>
      <c r="D26" s="119" t="str">
        <f>IF('Input Laying'!E27="","",IF('Input Laying'!N27="","",'Input Laying'!N27/7/'Input Laying'!D27*100))</f>
        <v/>
      </c>
      <c r="E26" s="120">
        <f>IF(OR(Std!B32=0,Std!B32=""),"",Std!B32)</f>
        <v>95.742618862280708</v>
      </c>
      <c r="F26" s="107" t="str">
        <f>IF('Input Laying'!E27="","",IF('Input Laying'!N27="","",'Input Laying'!O27/'Input Laying'!$G$6))</f>
        <v/>
      </c>
      <c r="G26" s="121">
        <f>IF(OR(Std!G32=0,Std!G32=""),"",Std!G32)</f>
        <v>56.019485282751312</v>
      </c>
      <c r="H26" s="107" t="str">
        <f>IF('Input Laying'!X27="","",'Input Laying'!X27)</f>
        <v/>
      </c>
      <c r="I26" s="120">
        <f>IF(Std!C32=0,"",Std!C32)</f>
        <v>61.201797835538144</v>
      </c>
      <c r="J26" s="107" t="str">
        <f t="shared" si="2"/>
        <v/>
      </c>
      <c r="K26" s="120">
        <f>'Graph values'!AX19/'Graph values'!AU19*1000</f>
        <v>57.639275294137427</v>
      </c>
      <c r="L26" s="108" t="str">
        <f>IF('Input Laying'!N27="","",IF('Input Laying'!N27=0,"",IF('Production data'!H26="","",H26*D26/100)))</f>
        <v/>
      </c>
      <c r="M26" s="122">
        <f>ROUND(IF(Std!E32=0,"",Std!E32),2)</f>
        <v>58.6</v>
      </c>
      <c r="N26" s="123">
        <f>IF('Input Laying'!X27=0,0,('Input Laying'!N27*'Production data'!H26)/'Input Laying'!$G$6/1000+N25)</f>
        <v>0</v>
      </c>
      <c r="O26" s="124">
        <f>IF(Std!F32=0,"",Std!F32)</f>
        <v>3.2284221025555979</v>
      </c>
      <c r="P26" s="411" t="str">
        <f>IF('Input Laying'!AD27="","",((('Input Laying'!AE26+'Input Laying'!AD27-'Input Laying'!AE27)/'Input Laying'!D27))/7*1000)</f>
        <v/>
      </c>
      <c r="Q26" s="411" t="str">
        <f>'Input Laying'!AA27</f>
        <v/>
      </c>
      <c r="R26" s="112" t="str">
        <f>'Input Laying'!AB27</f>
        <v/>
      </c>
      <c r="S26" s="125" t="str">
        <f>IF(OR('Input Laying'!N27=0,'Input Laying'!N27="",'Input Laying'!AD27=""),"",('Input Laying'!AD27*1000/'Input Laying'!N27))</f>
        <v/>
      </c>
      <c r="T26" s="409" t="str">
        <f>IF(OR('Input Laying'!O27="",'Input Laying'!O27=0),"",'Input Laying'!AF27*1000/'Input Laying'!O27)</f>
        <v/>
      </c>
      <c r="U26" s="108" t="str">
        <f t="shared" si="3"/>
        <v/>
      </c>
      <c r="V26" s="127" t="str">
        <f>IF(OR(N26=0,N26=""),"",IF(OR('Input Laying'!AF27="",'Input Laying'!AF27=0),"",'Input Laying'!AF27/(N26*'Input Laying'!$G$6)))</f>
        <v/>
      </c>
      <c r="W26" s="107" t="str">
        <f>IF('Input Laying'!V27="","",IF('Input Laying'!V27=0,"",('Input Laying'!V27)/'Input Laying'!N27*100))</f>
        <v/>
      </c>
      <c r="X26" s="126" t="str">
        <f>IF('Input Laying'!V27=0,"",IF('Input Laying'!V27="","",'Input Laying'!W27/'Input Laying'!O27*100))</f>
        <v/>
      </c>
      <c r="Y26" s="128" t="str">
        <f>IF(OR('Input Laying'!AH27="",'Input Laying'!AH27=0),"",'Input Laying'!AH27)</f>
        <v/>
      </c>
      <c r="Z26" s="118">
        <f>IF(Std!D32=0,"",Std!D32)</f>
        <v>1812</v>
      </c>
    </row>
    <row r="27" spans="1:26" ht="15.75" customHeight="1" x14ac:dyDescent="0.2">
      <c r="A27" s="316">
        <f>IF('Input Laying'!A28="","",'Input Laying'!A28)</f>
        <v>203</v>
      </c>
      <c r="B27" s="321">
        <v>30</v>
      </c>
      <c r="C27" s="241" t="str">
        <f>IF(OR('Input Laying'!D28="",'Input Laying'!$G$6="",'Input Laying'!$G$6=0),"",'Input Laying'!D28/'Input Laying'!$G$6*100)</f>
        <v/>
      </c>
      <c r="D27" s="242" t="str">
        <f>IF('Input Laying'!E28="","",IF('Input Laying'!N28="","",'Input Laying'!N28/7/'Input Laying'!D28*100))</f>
        <v/>
      </c>
      <c r="E27" s="243">
        <f>IF(OR(Std!B33=0,Std!B33=""),"",Std!B33)</f>
        <v>95.951840364275711</v>
      </c>
      <c r="F27" s="244" t="str">
        <f>IF('Input Laying'!E28="","",IF('Input Laying'!N28="","",'Input Laying'!O28/'Input Laying'!$G$6))</f>
        <v/>
      </c>
      <c r="G27" s="245">
        <f>IF(OR(Std!G33=0,Std!G33=""),"",Std!G33)</f>
        <v>62.652290580508378</v>
      </c>
      <c r="H27" s="244" t="str">
        <f>IF('Input Laying'!X28="","",'Input Laying'!X28)</f>
        <v/>
      </c>
      <c r="I27" s="243">
        <f>IF(Std!C33=0,"",Std!C33)</f>
        <v>61.550557919029799</v>
      </c>
      <c r="J27" s="244" t="str">
        <f t="shared" si="2"/>
        <v/>
      </c>
      <c r="K27" s="243">
        <f>'Graph values'!AX20/'Graph values'!AU20*1000</f>
        <v>58.055123361425181</v>
      </c>
      <c r="L27" s="246" t="str">
        <f>IF('Input Laying'!N28="","",IF('Input Laying'!N28=0,"",IF('Production data'!H27="","",H27*D27/100)))</f>
        <v/>
      </c>
      <c r="M27" s="247">
        <f>ROUND(IF(Std!E33=0,"",Std!E33),2)</f>
        <v>59.06</v>
      </c>
      <c r="N27" s="248">
        <f>IF('Input Laying'!X28=0,0,('Input Laying'!N28*'Production data'!H27)/'Input Laying'!$G$6/1000+N26)</f>
        <v>0</v>
      </c>
      <c r="O27" s="249">
        <f>IF(Std!F33=0,"",Std!F33)</f>
        <v>3.636674969200842</v>
      </c>
      <c r="P27" s="413" t="str">
        <f>IF('Input Laying'!AD28="","",((('Input Laying'!AE27+'Input Laying'!AD28-'Input Laying'!AE28)/'Input Laying'!D28))/7*1000)</f>
        <v/>
      </c>
      <c r="Q27" s="413" t="str">
        <f>'Input Laying'!AA28</f>
        <v/>
      </c>
      <c r="R27" s="241" t="str">
        <f>'Input Laying'!AB28</f>
        <v/>
      </c>
      <c r="S27" s="250" t="str">
        <f>IF(OR('Input Laying'!N28=0,'Input Laying'!N28="",'Input Laying'!AD28=""),"",('Input Laying'!AD28*1000/'Input Laying'!N28))</f>
        <v/>
      </c>
      <c r="T27" s="408" t="str">
        <f>IF(OR('Input Laying'!O28="",'Input Laying'!O28=0),"",'Input Laying'!AF28*1000/'Input Laying'!O28)</f>
        <v/>
      </c>
      <c r="U27" s="246" t="str">
        <f t="shared" si="3"/>
        <v/>
      </c>
      <c r="V27" s="252" t="str">
        <f>IF(OR(N27=0,N27=""),"",IF(OR('Input Laying'!AF28="",'Input Laying'!AF28=0),"",'Input Laying'!AF28/(N27*'Input Laying'!$G$6)))</f>
        <v/>
      </c>
      <c r="W27" s="244" t="str">
        <f>IF('Input Laying'!V28="","",IF('Input Laying'!V28=0,"",('Input Laying'!V28)/'Input Laying'!N28*100))</f>
        <v/>
      </c>
      <c r="X27" s="251" t="str">
        <f>IF('Input Laying'!V28=0,"",IF('Input Laying'!V28="","",'Input Laying'!W28/'Input Laying'!O28*100))</f>
        <v/>
      </c>
      <c r="Y27" s="253" t="str">
        <f>IF(OR('Input Laying'!AH28="",'Input Laying'!AH28=0),"",'Input Laying'!AH28)</f>
        <v/>
      </c>
      <c r="Z27" s="254">
        <f>IF(Std!D33=0,"",Std!D33)</f>
        <v>1820</v>
      </c>
    </row>
    <row r="28" spans="1:26" ht="15.75" customHeight="1" x14ac:dyDescent="0.2">
      <c r="A28" s="317">
        <f>IF('Input Laying'!A29="","",'Input Laying'!A29)</f>
        <v>210</v>
      </c>
      <c r="B28" s="322">
        <v>31</v>
      </c>
      <c r="C28" s="112" t="str">
        <f>IF(OR('Input Laying'!D29="",'Input Laying'!$G$6="",'Input Laying'!$G$6=0),"",'Input Laying'!D29/'Input Laying'!$G$6*100)</f>
        <v/>
      </c>
      <c r="D28" s="119" t="str">
        <f>IF('Input Laying'!E29="","",IF('Input Laying'!N29="","",'Input Laying'!N29/7/'Input Laying'!D29*100))</f>
        <v/>
      </c>
      <c r="E28" s="120">
        <f>IF(OR(Std!B34=0,Std!B34=""),"",Std!B34)</f>
        <v>96.033532650259673</v>
      </c>
      <c r="F28" s="107" t="str">
        <f>IF('Input Laying'!E29="","",IF('Input Laying'!N29="","",'Input Laying'!O29/'Input Laying'!$G$6))</f>
        <v/>
      </c>
      <c r="G28" s="121">
        <f>IF(OR(Std!G34=0,Std!G34=""),"",Std!G34)</f>
        <v>69.284289518509183</v>
      </c>
      <c r="H28" s="107" t="str">
        <f>IF('Input Laying'!X29="","",'Input Laying'!X29)</f>
        <v/>
      </c>
      <c r="I28" s="120">
        <f>IF(Std!C34=0,"",Std!C34)</f>
        <v>61.825252691096402</v>
      </c>
      <c r="J28" s="107" t="str">
        <f t="shared" si="2"/>
        <v/>
      </c>
      <c r="K28" s="120">
        <f>'Graph values'!AX21/'Graph values'!AU21*1000</f>
        <v>58.417721012696326</v>
      </c>
      <c r="L28" s="108" t="str">
        <f>IF('Input Laying'!N29="","",IF('Input Laying'!N29=0,"",IF('Production data'!H28="","",H28*D28/100)))</f>
        <v/>
      </c>
      <c r="M28" s="122">
        <f>ROUND(IF(Std!E34=0,"",Std!E34),2)</f>
        <v>59.37</v>
      </c>
      <c r="N28" s="123">
        <f>IF('Input Laying'!X29=0,0,('Input Laying'!N29*'Production data'!H28)/'Input Laying'!$G$6/1000+N27)</f>
        <v>0</v>
      </c>
      <c r="O28" s="124">
        <f>IF(Std!F34=0,"",Std!F34)</f>
        <v>4.0466999793898246</v>
      </c>
      <c r="P28" s="411" t="str">
        <f>IF('Input Laying'!AD29="","",((('Input Laying'!AE28+'Input Laying'!AD29-'Input Laying'!AE29)/'Input Laying'!D29))/7*1000)</f>
        <v/>
      </c>
      <c r="Q28" s="411" t="str">
        <f>'Input Laying'!AA29</f>
        <v/>
      </c>
      <c r="R28" s="112" t="str">
        <f>'Input Laying'!AB29</f>
        <v/>
      </c>
      <c r="S28" s="125" t="str">
        <f>IF(OR('Input Laying'!N29=0,'Input Laying'!N29="",'Input Laying'!AD29=""),"",('Input Laying'!AD29*1000/'Input Laying'!N29))</f>
        <v/>
      </c>
      <c r="T28" s="409" t="str">
        <f>IF(OR('Input Laying'!O29="",'Input Laying'!O29=0),"",'Input Laying'!AF29*1000/'Input Laying'!O29)</f>
        <v/>
      </c>
      <c r="U28" s="108" t="str">
        <f t="shared" si="3"/>
        <v/>
      </c>
      <c r="V28" s="127" t="str">
        <f>IF(OR(N28=0,N28=""),"",IF(OR('Input Laying'!AF29="",'Input Laying'!AF29=0),"",'Input Laying'!AF29/(N28*'Input Laying'!$G$6)))</f>
        <v/>
      </c>
      <c r="W28" s="107" t="str">
        <f>IF('Input Laying'!V29="","",IF('Input Laying'!V29=0,"",('Input Laying'!V29)/'Input Laying'!N29*100))</f>
        <v/>
      </c>
      <c r="X28" s="126" t="str">
        <f>IF('Input Laying'!V29=0,"",IF('Input Laying'!V29="","",'Input Laying'!W29/'Input Laying'!O29*100))</f>
        <v/>
      </c>
      <c r="Y28" s="128" t="str">
        <f>IF(OR('Input Laying'!AH29="",'Input Laying'!AH29=0),"",'Input Laying'!AH29)</f>
        <v/>
      </c>
      <c r="Z28" s="118">
        <f>IF(Std!D34=0,"",Std!D34)</f>
        <v>1829</v>
      </c>
    </row>
    <row r="29" spans="1:26" ht="15.75" customHeight="1" x14ac:dyDescent="0.2">
      <c r="A29" s="316">
        <f>IF('Input Laying'!A30="","",'Input Laying'!A30)</f>
        <v>217</v>
      </c>
      <c r="B29" s="321">
        <v>32</v>
      </c>
      <c r="C29" s="241" t="str">
        <f>IF(OR('Input Laying'!D30="",'Input Laying'!$G$6="",'Input Laying'!$G$6=0),"",'Input Laying'!D30/'Input Laying'!$G$6*100)</f>
        <v/>
      </c>
      <c r="D29" s="242" t="str">
        <f>IF('Input Laying'!E30="","",IF('Input Laying'!N30="","",'Input Laying'!N30/7/'Input Laying'!D30*100))</f>
        <v/>
      </c>
      <c r="E29" s="243">
        <f>IF(OR(Std!B35=0,Std!B35=""),"",Std!B35)</f>
        <v>96.015272283849029</v>
      </c>
      <c r="F29" s="244" t="str">
        <f>IF('Input Laying'!E30="","",IF('Input Laying'!N30="","",'Input Laying'!O30/'Input Laying'!$G$6))</f>
        <v/>
      </c>
      <c r="G29" s="245">
        <f>IF(OR(Std!G35=0,Std!G35=""),"",Std!G35)</f>
        <v>75.908575183916497</v>
      </c>
      <c r="H29" s="244" t="str">
        <f>IF('Input Laying'!X30="","",'Input Laying'!X30)</f>
        <v/>
      </c>
      <c r="I29" s="243">
        <f>IF(Std!C35=0,"",Std!C35)</f>
        <v>62.047698098783528</v>
      </c>
      <c r="J29" s="244" t="str">
        <f t="shared" si="2"/>
        <v/>
      </c>
      <c r="K29" s="243">
        <f>'Graph values'!AX22/'Graph values'!AU22*1000</f>
        <v>58.736153092182448</v>
      </c>
      <c r="L29" s="246" t="str">
        <f>IF('Input Laying'!N30="","",IF('Input Laying'!N30=0,"",IF('Production data'!H29="","",H29*D29/100)))</f>
        <v/>
      </c>
      <c r="M29" s="247">
        <f>ROUND(IF(Std!E35=0,"",Std!E35),2)</f>
        <v>59.58</v>
      </c>
      <c r="N29" s="248">
        <f>IF('Input Laying'!X30=0,0,('Input Laying'!N30*'Production data'!H29)/'Input Laying'!$G$6/1000+N28)</f>
        <v>0</v>
      </c>
      <c r="O29" s="249">
        <f>IF(Std!F35=0,"",Std!F35)</f>
        <v>4.4577216564771165</v>
      </c>
      <c r="P29" s="413" t="str">
        <f>IF('Input Laying'!AD30="","",((('Input Laying'!AE29+'Input Laying'!AD30-'Input Laying'!AE30)/'Input Laying'!D30))/7*1000)</f>
        <v/>
      </c>
      <c r="Q29" s="413" t="str">
        <f>'Input Laying'!AA30</f>
        <v/>
      </c>
      <c r="R29" s="241" t="str">
        <f>'Input Laying'!AB30</f>
        <v/>
      </c>
      <c r="S29" s="250" t="str">
        <f>IF(OR('Input Laying'!N30=0,'Input Laying'!N30="",'Input Laying'!AD30=""),"",('Input Laying'!AD30*1000/'Input Laying'!N30))</f>
        <v/>
      </c>
      <c r="T29" s="408" t="str">
        <f>IF(OR('Input Laying'!O30="",'Input Laying'!O30=0),"",'Input Laying'!AF30*1000/'Input Laying'!O30)</f>
        <v/>
      </c>
      <c r="U29" s="246" t="str">
        <f t="shared" si="3"/>
        <v/>
      </c>
      <c r="V29" s="252" t="str">
        <f>IF(OR(N29=0,N29=""),"",IF(OR('Input Laying'!AF30="",'Input Laying'!AF30=0),"",'Input Laying'!AF30/(N29*'Input Laying'!$G$6)))</f>
        <v/>
      </c>
      <c r="W29" s="244" t="str">
        <f>IF('Input Laying'!V30="","",IF('Input Laying'!V30=0,"",('Input Laying'!V30)/'Input Laying'!N30*100))</f>
        <v/>
      </c>
      <c r="X29" s="251" t="str">
        <f>IF('Input Laying'!V30=0,"",IF('Input Laying'!V30="","",'Input Laying'!W30/'Input Laying'!O30*100))</f>
        <v/>
      </c>
      <c r="Y29" s="253" t="str">
        <f>IF(OR('Input Laying'!AH30="",'Input Laying'!AH30=0),"",'Input Laying'!AH30)</f>
        <v/>
      </c>
      <c r="Z29" s="254">
        <f>IF(Std!D35=0,"",Std!D35)</f>
        <v>1838</v>
      </c>
    </row>
    <row r="30" spans="1:26" ht="15.75" customHeight="1" x14ac:dyDescent="0.2">
      <c r="A30" s="317">
        <f>IF('Input Laying'!A31="","",'Input Laying'!A31)</f>
        <v>224</v>
      </c>
      <c r="B30" s="322">
        <v>33</v>
      </c>
      <c r="C30" s="112" t="str">
        <f>IF(OR('Input Laying'!D31="",'Input Laying'!$G$6="",'Input Laying'!$G$6=0),"",'Input Laying'!D31/'Input Laying'!$G$6*100)</f>
        <v/>
      </c>
      <c r="D30" s="119" t="str">
        <f>IF('Input Laying'!E31="","",IF('Input Laying'!N31="","",'Input Laying'!N31/7/'Input Laying'!D31*100))</f>
        <v/>
      </c>
      <c r="E30" s="120">
        <f>IF(OR(Std!B36=0,Std!B36=""),"",Std!B36)</f>
        <v>95.921518521739543</v>
      </c>
      <c r="F30" s="107" t="str">
        <f>IF('Input Laying'!E31="","",IF('Input Laying'!N31="","",'Input Laying'!O31/'Input Laying'!$G$6))</f>
        <v/>
      </c>
      <c r="G30" s="121">
        <f>IF(OR(Std!G36=0,Std!G36=""),"",Std!G36)</f>
        <v>82.519946663723687</v>
      </c>
      <c r="H30" s="107" t="str">
        <f>IF('Input Laying'!X31="","",'Input Laying'!X31)</f>
        <v/>
      </c>
      <c r="I30" s="120">
        <f>IF(Std!C36=0,"",Std!C36)</f>
        <v>62.235968294934345</v>
      </c>
      <c r="J30" s="107" t="str">
        <f t="shared" si="2"/>
        <v/>
      </c>
      <c r="K30" s="120">
        <f>'Graph values'!AX23/'Graph values'!AU23*1000</f>
        <v>59.018153478933456</v>
      </c>
      <c r="L30" s="108" t="str">
        <f>IF('Input Laying'!N31="","",IF('Input Laying'!N31=0,"",IF('Production data'!H30="","",H30*D30/100)))</f>
        <v/>
      </c>
      <c r="M30" s="122">
        <f>ROUND(IF(Std!E36=0,"",Std!E36),2)</f>
        <v>59.7</v>
      </c>
      <c r="N30" s="123">
        <f>IF('Input Laying'!X31=0,0,('Input Laying'!N31*'Production data'!H30)/'Input Laying'!$G$6/1000+N29)</f>
        <v>0</v>
      </c>
      <c r="O30" s="124">
        <f>IF(Std!F36=0,"",Std!F36)</f>
        <v>4.8691867622804299</v>
      </c>
      <c r="P30" s="411" t="str">
        <f>IF('Input Laying'!AD31="","",((('Input Laying'!AE30+'Input Laying'!AD31-'Input Laying'!AE31)/'Input Laying'!D31))/7*1000)</f>
        <v/>
      </c>
      <c r="Q30" s="411" t="str">
        <f>'Input Laying'!AA31</f>
        <v/>
      </c>
      <c r="R30" s="112" t="str">
        <f>'Input Laying'!AB31</f>
        <v/>
      </c>
      <c r="S30" s="125" t="str">
        <f>IF(OR('Input Laying'!N31=0,'Input Laying'!N31="",'Input Laying'!AD31=""),"",('Input Laying'!AD31*1000/'Input Laying'!N31))</f>
        <v/>
      </c>
      <c r="T30" s="409" t="str">
        <f>IF(OR('Input Laying'!O31="",'Input Laying'!O31=0),"",'Input Laying'!AF31*1000/'Input Laying'!O31)</f>
        <v/>
      </c>
      <c r="U30" s="108" t="str">
        <f t="shared" si="3"/>
        <v/>
      </c>
      <c r="V30" s="127" t="str">
        <f>IF(OR(N30=0,N30=""),"",IF(OR('Input Laying'!AF31="",'Input Laying'!AF31=0),"",'Input Laying'!AF31/(N30*'Input Laying'!$G$6)))</f>
        <v/>
      </c>
      <c r="W30" s="107" t="str">
        <f>IF('Input Laying'!V31="","",IF('Input Laying'!V31=0,"",('Input Laying'!V31)/'Input Laying'!N31*100))</f>
        <v/>
      </c>
      <c r="X30" s="126" t="str">
        <f>IF('Input Laying'!V31=0,"",IF('Input Laying'!V31="","",'Input Laying'!W31/'Input Laying'!O31*100))</f>
        <v/>
      </c>
      <c r="Y30" s="128" t="str">
        <f>IF(OR('Input Laying'!AH31="",'Input Laying'!AH31=0),"",'Input Laying'!AH31)</f>
        <v/>
      </c>
      <c r="Z30" s="118">
        <f>IF(Std!D36=0,"",Std!D36)</f>
        <v>1847</v>
      </c>
    </row>
    <row r="31" spans="1:26" ht="15.75" customHeight="1" x14ac:dyDescent="0.2">
      <c r="A31" s="316">
        <f>IF('Input Laying'!A32="","",'Input Laying'!A32)</f>
        <v>231</v>
      </c>
      <c r="B31" s="321">
        <v>34</v>
      </c>
      <c r="C31" s="241" t="str">
        <f>IF(OR('Input Laying'!D32="",'Input Laying'!$G$6="",'Input Laying'!$G$6=0),"",'Input Laying'!D32/'Input Laying'!$G$6*100)</f>
        <v/>
      </c>
      <c r="D31" s="242" t="str">
        <f>IF('Input Laying'!E32="","",IF('Input Laying'!N32="","",'Input Laying'!N32/7/'Input Laying'!D32*100))</f>
        <v/>
      </c>
      <c r="E31" s="243">
        <f>IF(OR(Std!B37=0,Std!B37=""),"",Std!B37)</f>
        <v>95.773613313705724</v>
      </c>
      <c r="F31" s="244" t="str">
        <f>IF('Input Laying'!E32="","",IF('Input Laying'!N32="","",'Input Laying'!O32/'Input Laying'!$G$6))</f>
        <v/>
      </c>
      <c r="G31" s="245">
        <f>IF(OR(Std!G37=0,Std!G37=""),"",Std!G37)</f>
        <v>89.114687819833506</v>
      </c>
      <c r="H31" s="244" t="str">
        <f>IF('Input Laying'!X32="","",'Input Laying'!X32)</f>
        <v/>
      </c>
      <c r="I31" s="243">
        <f>IF(Std!C37=0,"",Std!C37)</f>
        <v>62.404395638190486</v>
      </c>
      <c r="J31" s="244" t="str">
        <f t="shared" si="2"/>
        <v/>
      </c>
      <c r="K31" s="243">
        <f>'Graph values'!AX24/'Graph values'!AU24*1000</f>
        <v>59.270296605202738</v>
      </c>
      <c r="L31" s="246" t="str">
        <f>IF('Input Laying'!N32="","",IF('Input Laying'!N32=0,"",IF('Production data'!H31="","",H31*D31/100)))</f>
        <v/>
      </c>
      <c r="M31" s="247">
        <f>ROUND(IF(Std!E37=0,"",Std!E37),2)</f>
        <v>59.77</v>
      </c>
      <c r="N31" s="248">
        <f>IF('Input Laying'!X32=0,0,('Input Laying'!N32*'Production data'!H31)/'Input Laying'!$G$6/1000+N30)</f>
        <v>0</v>
      </c>
      <c r="O31" s="249">
        <f>IF(Std!F37=0,"",Std!F37)</f>
        <v>5.2807275985177649</v>
      </c>
      <c r="P31" s="413" t="str">
        <f>IF('Input Laying'!AD32="","",((('Input Laying'!AE31+'Input Laying'!AD32-'Input Laying'!AE32)/'Input Laying'!D32))/7*1000)</f>
        <v/>
      </c>
      <c r="Q31" s="413" t="str">
        <f>'Input Laying'!AA32</f>
        <v/>
      </c>
      <c r="R31" s="241" t="str">
        <f>'Input Laying'!AB32</f>
        <v/>
      </c>
      <c r="S31" s="250" t="str">
        <f>IF(OR('Input Laying'!N32=0,'Input Laying'!N32="",'Input Laying'!AD32=""),"",('Input Laying'!AD32*1000/'Input Laying'!N32))</f>
        <v/>
      </c>
      <c r="T31" s="408" t="str">
        <f>IF(OR('Input Laying'!O32="",'Input Laying'!O32=0),"",'Input Laying'!AF32*1000/'Input Laying'!O32)</f>
        <v/>
      </c>
      <c r="U31" s="246" t="str">
        <f t="shared" si="3"/>
        <v/>
      </c>
      <c r="V31" s="252" t="str">
        <f>IF(OR(N31=0,N31=""),"",IF(OR('Input Laying'!AF32="",'Input Laying'!AF32=0),"",'Input Laying'!AF32/(N31*'Input Laying'!$G$6)))</f>
        <v/>
      </c>
      <c r="W31" s="244" t="str">
        <f>IF('Input Laying'!V32="","",IF('Input Laying'!V32=0,"",('Input Laying'!V32)/'Input Laying'!N32*100))</f>
        <v/>
      </c>
      <c r="X31" s="251" t="str">
        <f>IF('Input Laying'!V32=0,"",IF('Input Laying'!V32="","",'Input Laying'!W32/'Input Laying'!O32*100))</f>
        <v/>
      </c>
      <c r="Y31" s="253" t="str">
        <f>IF(OR('Input Laying'!AH32="",'Input Laying'!AH32=0),"",'Input Laying'!AH32)</f>
        <v/>
      </c>
      <c r="Z31" s="254">
        <f>IF(Std!D37=0,"",Std!D37)</f>
        <v>1854</v>
      </c>
    </row>
    <row r="32" spans="1:26" ht="15.75" customHeight="1" x14ac:dyDescent="0.2">
      <c r="A32" s="317">
        <f>IF('Input Laying'!A33="","",'Input Laying'!A33)</f>
        <v>238</v>
      </c>
      <c r="B32" s="322">
        <v>35</v>
      </c>
      <c r="C32" s="112" t="str">
        <f>IF(OR('Input Laying'!D33="",'Input Laying'!$G$6="",'Input Laying'!$G$6=0),"",'Input Laying'!D33/'Input Laying'!$G$6*100)</f>
        <v/>
      </c>
      <c r="D32" s="119" t="str">
        <f>IF('Input Laying'!E33="","",IF('Input Laying'!N33="","",'Input Laying'!N33/7/'Input Laying'!D33*100))</f>
        <v/>
      </c>
      <c r="E32" s="120">
        <f>IF(OR(Std!B38=0,Std!B38=""),"",Std!B38)</f>
        <v>95.63</v>
      </c>
      <c r="F32" s="107" t="str">
        <f>IF('Input Laying'!E33="","",IF('Input Laying'!N33="","",'Input Laying'!O33/'Input Laying'!$G$6))</f>
        <v/>
      </c>
      <c r="G32" s="121">
        <f>IF(OR(Std!G38=0,Std!G38=""),"",Std!G38)</f>
        <v>95.693113771833495</v>
      </c>
      <c r="H32" s="107" t="str">
        <f>IF('Input Laying'!X33="","",'Input Laying'!X33)</f>
        <v/>
      </c>
      <c r="I32" s="120">
        <f>IF(Std!C38=0,"",Std!C38)</f>
        <v>62.563570692991696</v>
      </c>
      <c r="J32" s="107" t="str">
        <f t="shared" si="2"/>
        <v/>
      </c>
      <c r="K32" s="120">
        <f>'Graph values'!AX25/'Graph values'!AU25*1000</f>
        <v>59.498204694311006</v>
      </c>
      <c r="L32" s="108" t="str">
        <f>IF('Input Laying'!N33="","",IF('Input Laying'!N33=0,"",IF('Production data'!H32="","",H32*D32/100)))</f>
        <v/>
      </c>
      <c r="M32" s="122">
        <f>ROUND(IF(Std!E38=0,"",Std!E38),2)</f>
        <v>59.83</v>
      </c>
      <c r="N32" s="123">
        <f>IF('Input Laying'!X33=0,0,('Input Laying'!N33*'Production data'!H32)/'Input Laying'!$G$6/1000+N31)</f>
        <v>0</v>
      </c>
      <c r="O32" s="124">
        <f>IF(Std!F38=0,"",Std!F38)</f>
        <v>5.6922974156143278</v>
      </c>
      <c r="P32" s="411" t="str">
        <f>IF('Input Laying'!AD33="","",((('Input Laying'!AE32+'Input Laying'!AD33-'Input Laying'!AE33)/'Input Laying'!D33))/7*1000)</f>
        <v/>
      </c>
      <c r="Q32" s="411" t="str">
        <f>'Input Laying'!AA33</f>
        <v/>
      </c>
      <c r="R32" s="112" t="str">
        <f>'Input Laying'!AB33</f>
        <v/>
      </c>
      <c r="S32" s="125" t="str">
        <f>IF(OR('Input Laying'!N33=0,'Input Laying'!N33="",'Input Laying'!AD33=""),"",('Input Laying'!AD33*1000/'Input Laying'!N33))</f>
        <v/>
      </c>
      <c r="T32" s="409" t="str">
        <f>IF(OR('Input Laying'!O33="",'Input Laying'!O33=0),"",'Input Laying'!AF33*1000/'Input Laying'!O33)</f>
        <v/>
      </c>
      <c r="U32" s="108" t="str">
        <f t="shared" si="3"/>
        <v/>
      </c>
      <c r="V32" s="127" t="str">
        <f>IF(OR(N32=0,N32=""),"",IF(OR('Input Laying'!AF33="",'Input Laying'!AF33=0),"",'Input Laying'!AF33/(N32*'Input Laying'!$G$6)))</f>
        <v/>
      </c>
      <c r="W32" s="107" t="str">
        <f>IF('Input Laying'!V33="","",IF('Input Laying'!V33=0,"",('Input Laying'!V33)/'Input Laying'!N33*100))</f>
        <v/>
      </c>
      <c r="X32" s="126" t="str">
        <f>IF('Input Laying'!V33=0,"",IF('Input Laying'!V33="","",'Input Laying'!W33/'Input Laying'!O33*100))</f>
        <v/>
      </c>
      <c r="Y32" s="128" t="str">
        <f>IF(OR('Input Laying'!AH33="",'Input Laying'!AH33=0),"",'Input Laying'!AH33)</f>
        <v/>
      </c>
      <c r="Z32" s="118">
        <f>IF(Std!D38=0,"",Std!D38)</f>
        <v>1861</v>
      </c>
    </row>
    <row r="33" spans="1:26" ht="15.75" customHeight="1" x14ac:dyDescent="0.2">
      <c r="A33" s="316">
        <f>IF('Input Laying'!A34="","",'Input Laying'!A34)</f>
        <v>245</v>
      </c>
      <c r="B33" s="321">
        <v>36</v>
      </c>
      <c r="C33" s="241" t="str">
        <f>IF(OR('Input Laying'!D34="",'Input Laying'!$G$6="",'Input Laying'!$G$6=0),"",'Input Laying'!D34/'Input Laying'!$G$6*100)</f>
        <v/>
      </c>
      <c r="D33" s="242" t="str">
        <f>IF('Input Laying'!E34="","",IF('Input Laying'!N34="","",'Input Laying'!N34/7/'Input Laying'!D34*100))</f>
        <v/>
      </c>
      <c r="E33" s="243">
        <f>IF(OR(Std!B39=0,Std!B39=""),"",Std!B39)</f>
        <v>95.5</v>
      </c>
      <c r="F33" s="244" t="str">
        <f>IF('Input Laying'!E34="","",IF('Input Laying'!N34="","",'Input Laying'!O34/'Input Laying'!$G$6))</f>
        <v/>
      </c>
      <c r="G33" s="245">
        <f>IF(OR(Std!G39=0,Std!G39=""),"",Std!G39)</f>
        <v>102.2561793718335</v>
      </c>
      <c r="H33" s="244" t="str">
        <f>IF('Input Laying'!X34="","",'Input Laying'!X34)</f>
        <v/>
      </c>
      <c r="I33" s="243">
        <f>IF(Std!C39=0,"",Std!C39)</f>
        <v>62.720342229576147</v>
      </c>
      <c r="J33" s="244" t="str">
        <f t="shared" si="2"/>
        <v/>
      </c>
      <c r="K33" s="243">
        <f>'Graph values'!AX26/'Graph values'!AU26*1000</f>
        <v>59.70649197445681</v>
      </c>
      <c r="L33" s="246" t="str">
        <f>IF('Input Laying'!N34="","",IF('Input Laying'!N34=0,"",IF('Production data'!H33="","",H33*D33/100)))</f>
        <v/>
      </c>
      <c r="M33" s="247">
        <f>ROUND(IF(Std!E39=0,"",Std!E39),2)</f>
        <v>59.9</v>
      </c>
      <c r="N33" s="248">
        <f>IF('Input Laying'!X34=0,0,('Input Laying'!N34*'Production data'!H33)/'Input Laying'!$G$6/1000+N32)</f>
        <v>0</v>
      </c>
      <c r="O33" s="249">
        <f>IF(Std!F39=0,"",Std!F39)</f>
        <v>6.1039351361214864</v>
      </c>
      <c r="P33" s="413" t="str">
        <f>IF('Input Laying'!AD34="","",((('Input Laying'!AE33+'Input Laying'!AD34-'Input Laying'!AE34)/'Input Laying'!D34))/7*1000)</f>
        <v/>
      </c>
      <c r="Q33" s="413" t="str">
        <f>'Input Laying'!AA34</f>
        <v/>
      </c>
      <c r="R33" s="241" t="str">
        <f>'Input Laying'!AB34</f>
        <v/>
      </c>
      <c r="S33" s="250" t="str">
        <f>IF(OR('Input Laying'!N34=0,'Input Laying'!N34="",'Input Laying'!AD34=""),"",('Input Laying'!AD34*1000/'Input Laying'!N34))</f>
        <v/>
      </c>
      <c r="T33" s="408" t="str">
        <f>IF(OR('Input Laying'!O34="",'Input Laying'!O34=0),"",'Input Laying'!AF34*1000/'Input Laying'!O34)</f>
        <v/>
      </c>
      <c r="U33" s="246" t="str">
        <f t="shared" si="3"/>
        <v/>
      </c>
      <c r="V33" s="252" t="str">
        <f>IF(OR(N33=0,N33=""),"",IF(OR('Input Laying'!AF34="",'Input Laying'!AF34=0),"",'Input Laying'!AF34/(N33*'Input Laying'!$G$6)))</f>
        <v/>
      </c>
      <c r="W33" s="244" t="str">
        <f>IF('Input Laying'!V34="","",IF('Input Laying'!V34=0,"",('Input Laying'!V34)/'Input Laying'!N34*100))</f>
        <v/>
      </c>
      <c r="X33" s="251" t="str">
        <f>IF('Input Laying'!V34=0,"",IF('Input Laying'!V34="","",'Input Laying'!W34/'Input Laying'!O34*100))</f>
        <v/>
      </c>
      <c r="Y33" s="253" t="str">
        <f>IF(OR('Input Laying'!AH34="",'Input Laying'!AH34=0),"",'Input Laying'!AH34)</f>
        <v/>
      </c>
      <c r="Z33" s="254">
        <f>IF(Std!D39=0,"",Std!D39)</f>
        <v>1869</v>
      </c>
    </row>
    <row r="34" spans="1:26" ht="15.75" customHeight="1" x14ac:dyDescent="0.2">
      <c r="A34" s="317">
        <f>IF('Input Laying'!A35="","",'Input Laying'!A35)</f>
        <v>252</v>
      </c>
      <c r="B34" s="322">
        <v>37</v>
      </c>
      <c r="C34" s="112" t="str">
        <f>IF(OR('Input Laying'!D35="",'Input Laying'!$G$6="",'Input Laying'!$G$6=0),"",'Input Laying'!D35/'Input Laying'!$G$6*100)</f>
        <v/>
      </c>
      <c r="D34" s="119" t="str">
        <f>IF('Input Laying'!E35="","",IF('Input Laying'!N35="","",'Input Laying'!N35/7/'Input Laying'!D35*100))</f>
        <v/>
      </c>
      <c r="E34" s="120">
        <f>IF(OR(Std!B40=0,Std!B40=""),"",Std!B40)</f>
        <v>95.2</v>
      </c>
      <c r="F34" s="107" t="str">
        <f>IF('Input Laying'!E35="","",IF('Input Laying'!N35="","",'Input Laying'!O35/'Input Laying'!$G$6))</f>
        <v/>
      </c>
      <c r="G34" s="121">
        <f>IF(OR(Std!G40=0,Std!G40=""),"",Std!G40)</f>
        <v>108.7922305718335</v>
      </c>
      <c r="H34" s="107" t="str">
        <f>IF('Input Laying'!X35="","",'Input Laying'!X35)</f>
        <v/>
      </c>
      <c r="I34" s="120">
        <f>IF(Std!C40=0,"",Std!C40)</f>
        <v>62.877817223979292</v>
      </c>
      <c r="J34" s="107" t="str">
        <f t="shared" si="2"/>
        <v/>
      </c>
      <c r="K34" s="120">
        <f>'Graph values'!AX27/'Graph values'!AU27*1000</f>
        <v>59.898479074745474</v>
      </c>
      <c r="L34" s="108" t="str">
        <f>IF('Input Laying'!N35="","",IF('Input Laying'!N35=0,"",IF('Production data'!H34="","",H34*D34/100)))</f>
        <v/>
      </c>
      <c r="M34" s="122">
        <f>ROUND(IF(Std!E40=0,"",Std!E40),2)</f>
        <v>59.86</v>
      </c>
      <c r="N34" s="123">
        <f>IF('Input Laying'!X35=0,0,('Input Laying'!N35*'Production data'!H34)/'Input Laying'!$G$6/1000+N33)</f>
        <v>0</v>
      </c>
      <c r="O34" s="124">
        <f>IF(Std!F40=0,"",Std!F40)</f>
        <v>6.514907768841657</v>
      </c>
      <c r="P34" s="411" t="str">
        <f>IF('Input Laying'!AD35="","",((('Input Laying'!AE34+'Input Laying'!AD35-'Input Laying'!AE35)/'Input Laying'!D35))/7*1000)</f>
        <v/>
      </c>
      <c r="Q34" s="411" t="str">
        <f>'Input Laying'!AA35</f>
        <v/>
      </c>
      <c r="R34" s="112" t="str">
        <f>'Input Laying'!AB35</f>
        <v/>
      </c>
      <c r="S34" s="125" t="str">
        <f>IF(OR('Input Laying'!N35=0,'Input Laying'!N35="",'Input Laying'!AD35=""),"",('Input Laying'!AD35*1000/'Input Laying'!N35))</f>
        <v/>
      </c>
      <c r="T34" s="409" t="str">
        <f>IF(OR('Input Laying'!O35="",'Input Laying'!O35=0),"",'Input Laying'!AF35*1000/'Input Laying'!O35)</f>
        <v/>
      </c>
      <c r="U34" s="108" t="str">
        <f t="shared" si="3"/>
        <v/>
      </c>
      <c r="V34" s="127" t="str">
        <f>IF(OR(N34=0,N34=""),"",IF(OR('Input Laying'!AF35="",'Input Laying'!AF35=0),"",'Input Laying'!AF35/(N34*'Input Laying'!$G$6)))</f>
        <v/>
      </c>
      <c r="W34" s="107" t="str">
        <f>IF('Input Laying'!V35="","",IF('Input Laying'!V35=0,"",('Input Laying'!V35)/'Input Laying'!N35*100))</f>
        <v/>
      </c>
      <c r="X34" s="126" t="str">
        <f>IF('Input Laying'!V35=0,"",IF('Input Laying'!V35="","",'Input Laying'!W35/'Input Laying'!O35*100))</f>
        <v/>
      </c>
      <c r="Y34" s="128" t="str">
        <f>IF(OR('Input Laying'!AH35="",'Input Laying'!AH35=0),"",'Input Laying'!AH35)</f>
        <v/>
      </c>
      <c r="Z34" s="118">
        <f>IF(Std!D40=0,"",Std!D40)</f>
        <v>1871</v>
      </c>
    </row>
    <row r="35" spans="1:26" ht="15.75" customHeight="1" x14ac:dyDescent="0.2">
      <c r="A35" s="316">
        <f>IF('Input Laying'!A36="","",'Input Laying'!A36)</f>
        <v>259</v>
      </c>
      <c r="B35" s="321">
        <v>38</v>
      </c>
      <c r="C35" s="241" t="str">
        <f>IF(OR('Input Laying'!D36="",'Input Laying'!$G$6="",'Input Laying'!$G$6=0),"",'Input Laying'!D36/'Input Laying'!$G$6*100)</f>
        <v/>
      </c>
      <c r="D35" s="242" t="str">
        <f>IF('Input Laying'!E36="","",IF('Input Laying'!N36="","",'Input Laying'!N36/7/'Input Laying'!D36*100))</f>
        <v/>
      </c>
      <c r="E35" s="243">
        <f>IF(OR(Std!B41=0,Std!B41=""),"",Std!B41)</f>
        <v>95.03</v>
      </c>
      <c r="F35" s="244" t="str">
        <f>IF('Input Laying'!E36="","",IF('Input Laying'!N36="","",'Input Laying'!O36/'Input Laying'!$G$6))</f>
        <v/>
      </c>
      <c r="G35" s="245">
        <f>IF(OR(Std!G41=0,Std!G41=""),"",Std!G41)</f>
        <v>115.31022423583349</v>
      </c>
      <c r="H35" s="244" t="str">
        <f>IF('Input Laying'!X36="","",'Input Laying'!X36)</f>
        <v/>
      </c>
      <c r="I35" s="243">
        <f>IF(Std!C41=0,"",Std!C41)</f>
        <v>63.035360858035659</v>
      </c>
      <c r="J35" s="244" t="str">
        <f t="shared" si="2"/>
        <v/>
      </c>
      <c r="K35" s="243">
        <f>'Graph values'!AX28/'Graph values'!AU28*1000</f>
        <v>60.077239365211391</v>
      </c>
      <c r="L35" s="246" t="str">
        <f>IF('Input Laying'!N36="","",IF('Input Laying'!N36=0,"",IF('Production data'!H35="","",H35*D35/100)))</f>
        <v/>
      </c>
      <c r="M35" s="247">
        <f>ROUND(IF(Std!E41=0,"",Std!E41),2)</f>
        <v>59.9</v>
      </c>
      <c r="N35" s="248">
        <f>IF('Input Laying'!X36=0,0,('Input Laying'!N36*'Production data'!H35)/'Input Laying'!$G$6/1000+N34)</f>
        <v>0</v>
      </c>
      <c r="O35" s="249">
        <f>IF(Std!F41=0,"",Std!F41)</f>
        <v>6.9257718515222866</v>
      </c>
      <c r="P35" s="413" t="str">
        <f>IF('Input Laying'!AD36="","",((('Input Laying'!AE35+'Input Laying'!AD36-'Input Laying'!AE36)/'Input Laying'!D36))/7*1000)</f>
        <v/>
      </c>
      <c r="Q35" s="413" t="str">
        <f>'Input Laying'!AA36</f>
        <v/>
      </c>
      <c r="R35" s="241" t="str">
        <f>'Input Laying'!AB36</f>
        <v/>
      </c>
      <c r="S35" s="250" t="str">
        <f>IF(OR('Input Laying'!N36=0,'Input Laying'!N36="",'Input Laying'!AD36=""),"",('Input Laying'!AD36*1000/'Input Laying'!N36))</f>
        <v/>
      </c>
      <c r="T35" s="408" t="str">
        <f>IF(OR('Input Laying'!O36="",'Input Laying'!O36=0),"",'Input Laying'!AF36*1000/'Input Laying'!O36)</f>
        <v/>
      </c>
      <c r="U35" s="246" t="str">
        <f t="shared" si="3"/>
        <v/>
      </c>
      <c r="V35" s="252" t="str">
        <f>IF(OR(N35=0,N35=""),"",IF(OR('Input Laying'!AF36="",'Input Laying'!AF36=0),"",'Input Laying'!AF36/(N35*'Input Laying'!$G$6)))</f>
        <v/>
      </c>
      <c r="W35" s="244" t="str">
        <f>IF('Input Laying'!V36="","",IF('Input Laying'!V36=0,"",('Input Laying'!V36)/'Input Laying'!N36*100))</f>
        <v/>
      </c>
      <c r="X35" s="251" t="str">
        <f>IF('Input Laying'!V36=0,"",IF('Input Laying'!V36="","",'Input Laying'!W36/'Input Laying'!O36*100))</f>
        <v/>
      </c>
      <c r="Y35" s="253" t="str">
        <f>IF(OR('Input Laying'!AH36="",'Input Laying'!AH36=0),"",'Input Laying'!AH36)</f>
        <v/>
      </c>
      <c r="Z35" s="254">
        <f>IF(Std!D41=0,"",Std!D41)</f>
        <v>1874</v>
      </c>
    </row>
    <row r="36" spans="1:26" ht="15.75" customHeight="1" x14ac:dyDescent="0.2">
      <c r="A36" s="317">
        <f>IF('Input Laying'!A37="","",'Input Laying'!A37)</f>
        <v>266</v>
      </c>
      <c r="B36" s="322">
        <v>39</v>
      </c>
      <c r="C36" s="112" t="str">
        <f>IF(OR('Input Laying'!D37="",'Input Laying'!$G$6="",'Input Laying'!$G$6=0),"",'Input Laying'!D37/'Input Laying'!$G$6*100)</f>
        <v/>
      </c>
      <c r="D36" s="119" t="str">
        <f>IF('Input Laying'!E37="","",IF('Input Laying'!N37="","",'Input Laying'!N37/7/'Input Laying'!D37*100))</f>
        <v/>
      </c>
      <c r="E36" s="120">
        <f>IF(OR(Std!B42=0,Std!B42=""),"",Std!B42)</f>
        <v>94.8</v>
      </c>
      <c r="F36" s="107" t="str">
        <f>IF('Input Laying'!E37="","",IF('Input Laying'!N37="","",'Input Laying'!O37/'Input Laying'!$G$6))</f>
        <v/>
      </c>
      <c r="G36" s="121">
        <f>IF(OR(Std!G42=0,Std!G42=""),"",Std!G42)</f>
        <v>121.80607191583348</v>
      </c>
      <c r="H36" s="107" t="str">
        <f>IF('Input Laying'!X37="","",'Input Laying'!X37)</f>
        <v/>
      </c>
      <c r="I36" s="120">
        <f>IF(Std!C42=0,"",Std!C42)</f>
        <v>63.188596519377562</v>
      </c>
      <c r="J36" s="107" t="str">
        <f t="shared" si="2"/>
        <v/>
      </c>
      <c r="K36" s="120">
        <f>'Graph values'!AX29/'Graph values'!AU29*1000</f>
        <v>60.24460163551614</v>
      </c>
      <c r="L36" s="108" t="str">
        <f>IF('Input Laying'!N37="","",IF('Input Laying'!N37=0,"",IF('Production data'!H36="","",H36*D36/100)))</f>
        <v/>
      </c>
      <c r="M36" s="122">
        <f>ROUND(IF(Std!E42=0,"",Std!E42),2)</f>
        <v>59.9</v>
      </c>
      <c r="N36" s="123">
        <f>IF('Input Laying'!X37=0,0,('Input Laying'!N37*'Production data'!H36)/'Input Laying'!$G$6/1000+N35)</f>
        <v>0</v>
      </c>
      <c r="O36" s="124">
        <f>IF(Std!F42=0,"",Std!F42)</f>
        <v>7.3362353496251407</v>
      </c>
      <c r="P36" s="411" t="str">
        <f>IF('Input Laying'!AD37="","",((('Input Laying'!AE36+'Input Laying'!AD37-'Input Laying'!AE37)/'Input Laying'!D37))/7*1000)</f>
        <v/>
      </c>
      <c r="Q36" s="411" t="str">
        <f>'Input Laying'!AA37</f>
        <v/>
      </c>
      <c r="R36" s="112" t="str">
        <f>'Input Laying'!AB37</f>
        <v/>
      </c>
      <c r="S36" s="125" t="str">
        <f>IF(OR('Input Laying'!N37=0,'Input Laying'!N37="",'Input Laying'!AD37=""),"",('Input Laying'!AD37*1000/'Input Laying'!N37))</f>
        <v/>
      </c>
      <c r="T36" s="409" t="str">
        <f>IF(OR('Input Laying'!O37="",'Input Laying'!O37=0),"",'Input Laying'!AF37*1000/'Input Laying'!O37)</f>
        <v/>
      </c>
      <c r="U36" s="108" t="str">
        <f t="shared" si="3"/>
        <v/>
      </c>
      <c r="V36" s="127" t="str">
        <f>IF(OR(N36=0,N36=""),"",IF(OR('Input Laying'!AF37="",'Input Laying'!AF37=0),"",'Input Laying'!AF37/(N36*'Input Laying'!$G$6)))</f>
        <v/>
      </c>
      <c r="W36" s="107" t="str">
        <f>IF('Input Laying'!V37="","",IF('Input Laying'!V37=0,"",('Input Laying'!V37)/'Input Laying'!N37*100))</f>
        <v/>
      </c>
      <c r="X36" s="126" t="str">
        <f>IF('Input Laying'!V37=0,"",IF('Input Laying'!V37="","",'Input Laying'!W37/'Input Laying'!O37*100))</f>
        <v/>
      </c>
      <c r="Y36" s="128" t="str">
        <f>IF(OR('Input Laying'!AH37="",'Input Laying'!AH37=0),"",'Input Laying'!AH37)</f>
        <v/>
      </c>
      <c r="Z36" s="118">
        <f>IF(Std!D42=0,"",Std!D42)</f>
        <v>1876.6073567709561</v>
      </c>
    </row>
    <row r="37" spans="1:26" ht="15.75" customHeight="1" x14ac:dyDescent="0.2">
      <c r="A37" s="316">
        <f>IF('Input Laying'!A38="","",'Input Laying'!A38)</f>
        <v>273</v>
      </c>
      <c r="B37" s="321">
        <v>40</v>
      </c>
      <c r="C37" s="241" t="str">
        <f>IF(OR('Input Laying'!D38="",'Input Laying'!$G$6="",'Input Laying'!$G$6=0),"",'Input Laying'!D38/'Input Laying'!$G$6*100)</f>
        <v/>
      </c>
      <c r="D37" s="242" t="str">
        <f>IF('Input Laying'!E38="","",IF('Input Laying'!N38="","",'Input Laying'!N38/7/'Input Laying'!D38*100))</f>
        <v/>
      </c>
      <c r="E37" s="243">
        <f>IF(OR(Std!B43=0,Std!B43=""),"",Std!B43)</f>
        <v>94.63</v>
      </c>
      <c r="F37" s="244" t="str">
        <f>IF('Input Laying'!E38="","",IF('Input Laying'!N38="","",'Input Laying'!O38/'Input Laying'!$G$6))</f>
        <v/>
      </c>
      <c r="G37" s="245">
        <f>IF(OR(Std!G43=0,Std!G43=""),"",Std!G43)</f>
        <v>128.28391178783349</v>
      </c>
      <c r="H37" s="244" t="str">
        <f>IF('Input Laying'!X38="","",'Input Laying'!X38)</f>
        <v/>
      </c>
      <c r="I37" s="243">
        <f>IF(Std!C43=0,"",Std!C43)</f>
        <v>63.3</v>
      </c>
      <c r="J37" s="244" t="str">
        <f t="shared" si="2"/>
        <v/>
      </c>
      <c r="K37" s="243">
        <f>'Graph values'!AX30/'Graph values'!AU30*1000</f>
        <v>60.400299051551436</v>
      </c>
      <c r="L37" s="246" t="str">
        <f>IF('Input Laying'!N38="","",IF('Input Laying'!N38=0,"",IF('Production data'!H37="","",H37*D37/100)))</f>
        <v/>
      </c>
      <c r="M37" s="247">
        <f>ROUND(IF(Std!E43=0,"",Std!E43),2)</f>
        <v>59.9</v>
      </c>
      <c r="N37" s="248">
        <f>IF('Input Laying'!X38=0,0,('Input Laying'!N38*'Production data'!H37)/'Input Laying'!$G$6/1000+N36)</f>
        <v>0</v>
      </c>
      <c r="O37" s="249">
        <f>IF(Std!F43=0,"",Std!F43)</f>
        <v>7.7462826135227401</v>
      </c>
      <c r="P37" s="413" t="str">
        <f>IF('Input Laying'!AD38="","",((('Input Laying'!AE37+'Input Laying'!AD38-'Input Laying'!AE38)/'Input Laying'!D38))/7*1000)</f>
        <v/>
      </c>
      <c r="Q37" s="413" t="str">
        <f>'Input Laying'!AA38</f>
        <v/>
      </c>
      <c r="R37" s="241" t="str">
        <f>'Input Laying'!AB38</f>
        <v/>
      </c>
      <c r="S37" s="250" t="str">
        <f>IF(OR('Input Laying'!N38=0,'Input Laying'!N38="",'Input Laying'!AD38=""),"",('Input Laying'!AD38*1000/'Input Laying'!N38))</f>
        <v/>
      </c>
      <c r="T37" s="408" t="str">
        <f>IF(OR('Input Laying'!O38="",'Input Laying'!O38=0),"",'Input Laying'!AF38*1000/'Input Laying'!O38)</f>
        <v/>
      </c>
      <c r="U37" s="246" t="str">
        <f t="shared" si="3"/>
        <v/>
      </c>
      <c r="V37" s="252" t="str">
        <f>IF(OR(N37=0,N37=""),"",IF(OR('Input Laying'!AF38="",'Input Laying'!AF38=0),"",'Input Laying'!AF38/(N37*'Input Laying'!$G$6)))</f>
        <v/>
      </c>
      <c r="W37" s="244" t="str">
        <f>IF('Input Laying'!V38="","",IF('Input Laying'!V38=0,"",('Input Laying'!V38)/'Input Laying'!N38*100))</f>
        <v/>
      </c>
      <c r="X37" s="251" t="str">
        <f>IF('Input Laying'!V38=0,"",IF('Input Laying'!V38="","",'Input Laying'!W38/'Input Laying'!O38*100))</f>
        <v/>
      </c>
      <c r="Y37" s="253" t="str">
        <f>IF(OR('Input Laying'!AH38="",'Input Laying'!AH38=0),"",'Input Laying'!AH38)</f>
        <v/>
      </c>
      <c r="Z37" s="254">
        <f>IF(Std!D43=0,"",Std!D43)</f>
        <v>1881.4714420164553</v>
      </c>
    </row>
    <row r="38" spans="1:26" ht="15.75" customHeight="1" x14ac:dyDescent="0.2">
      <c r="A38" s="317">
        <f>IF('Input Laying'!A39="","",'Input Laying'!A39)</f>
        <v>280</v>
      </c>
      <c r="B38" s="322">
        <v>41</v>
      </c>
      <c r="C38" s="112" t="str">
        <f>IF(OR('Input Laying'!D39="",'Input Laying'!$G$6="",'Input Laying'!$G$6=0),"",'Input Laying'!D39/'Input Laying'!$G$6*100)</f>
        <v/>
      </c>
      <c r="D38" s="119" t="str">
        <f>IF('Input Laying'!E39="","",IF('Input Laying'!N39="","",'Input Laying'!N39/7/'Input Laying'!D39*100))</f>
        <v/>
      </c>
      <c r="E38" s="120">
        <f>IF(OR(Std!B44=0,Std!B44=""),"",Std!B44)</f>
        <v>94.5</v>
      </c>
      <c r="F38" s="107" t="str">
        <f>IF('Input Laying'!E39="","",IF('Input Laying'!N39="","",'Input Laying'!O39/'Input Laying'!$G$6))</f>
        <v/>
      </c>
      <c r="G38" s="121">
        <f>IF(OR(Std!G44=0,Std!G44=""),"",Std!G44)</f>
        <v>134.74650218783347</v>
      </c>
      <c r="H38" s="107" t="str">
        <f>IF('Input Laying'!X39="","",'Input Laying'!X39)</f>
        <v/>
      </c>
      <c r="I38" s="120">
        <f>IF(Std!C44=0,"",Std!C44)</f>
        <v>63.34</v>
      </c>
      <c r="J38" s="107" t="str">
        <f t="shared" si="2"/>
        <v/>
      </c>
      <c r="K38" s="120">
        <f>'Graph values'!AX31/'Graph values'!AU31*1000</f>
        <v>60.542650927780031</v>
      </c>
      <c r="L38" s="108" t="str">
        <f>IF('Input Laying'!N39="","",IF('Input Laying'!N39=0,"",IF('Production data'!H38="","",H38*D38/100)))</f>
        <v/>
      </c>
      <c r="M38" s="122">
        <f>ROUND(IF(Std!E44=0,"",Std!E44),2)</f>
        <v>59.86</v>
      </c>
      <c r="N38" s="123">
        <f>IF('Input Laying'!X39=0,0,('Input Laying'!N39*'Production data'!H38)/'Input Laying'!$G$6/1000+N37)</f>
        <v>0</v>
      </c>
      <c r="O38" s="124">
        <f>IF(Std!F44=0,"",Std!F44)</f>
        <v>8.1556230894587394</v>
      </c>
      <c r="P38" s="411" t="str">
        <f>IF('Input Laying'!AD39="","",((('Input Laying'!AE38+'Input Laying'!AD39-'Input Laying'!AE39)/'Input Laying'!D39))/7*1000)</f>
        <v/>
      </c>
      <c r="Q38" s="411" t="str">
        <f>'Input Laying'!AA39</f>
        <v/>
      </c>
      <c r="R38" s="112" t="str">
        <f>'Input Laying'!AB39</f>
        <v/>
      </c>
      <c r="S38" s="125" t="str">
        <f>IF(OR('Input Laying'!N39=0,'Input Laying'!N39="",'Input Laying'!AD39=""),"",('Input Laying'!AD39*1000/'Input Laying'!N39))</f>
        <v/>
      </c>
      <c r="T38" s="409" t="str">
        <f>IF(OR('Input Laying'!O39="",'Input Laying'!O39=0),"",'Input Laying'!AF39*1000/'Input Laying'!O39)</f>
        <v/>
      </c>
      <c r="U38" s="108" t="str">
        <f t="shared" si="3"/>
        <v/>
      </c>
      <c r="V38" s="127" t="str">
        <f>IF(OR(N38=0,N38=""),"",IF(OR('Input Laying'!AF39="",'Input Laying'!AF39=0),"",'Input Laying'!AF39/(N38*'Input Laying'!$G$6)))</f>
        <v/>
      </c>
      <c r="W38" s="107" t="str">
        <f>IF('Input Laying'!V39="","",IF('Input Laying'!V39=0,"",('Input Laying'!V39)/'Input Laying'!N39*100))</f>
        <v/>
      </c>
      <c r="X38" s="126" t="str">
        <f>IF('Input Laying'!V39=0,"",IF('Input Laying'!V39="","",'Input Laying'!W39/'Input Laying'!O39*100))</f>
        <v/>
      </c>
      <c r="Y38" s="128" t="str">
        <f>IF(OR('Input Laying'!AH39="",'Input Laying'!AH39=0),"",'Input Laying'!AH39)</f>
        <v/>
      </c>
      <c r="Z38" s="118">
        <f>IF(Std!D44=0,"",Std!D44)</f>
        <v>1886.147837321306</v>
      </c>
    </row>
    <row r="39" spans="1:26" ht="15.75" customHeight="1" x14ac:dyDescent="0.2">
      <c r="A39" s="316">
        <f>IF('Input Laying'!A40="","",'Input Laying'!A40)</f>
        <v>287</v>
      </c>
      <c r="B39" s="321">
        <v>42</v>
      </c>
      <c r="C39" s="241" t="str">
        <f>IF(OR('Input Laying'!D40="",'Input Laying'!$G$6="",'Input Laying'!$G$6=0),"",'Input Laying'!D40/'Input Laying'!$G$6*100)</f>
        <v/>
      </c>
      <c r="D39" s="242" t="str">
        <f>IF('Input Laying'!E40="","",IF('Input Laying'!N40="","",'Input Laying'!N40/7/'Input Laying'!D40*100))</f>
        <v/>
      </c>
      <c r="E39" s="243">
        <f>IF(OR(Std!B45=0,Std!B45=""),"",Std!B45)</f>
        <v>94.3</v>
      </c>
      <c r="F39" s="244" t="str">
        <f>IF('Input Laying'!E40="","",IF('Input Laying'!N40="","",'Input Laying'!O40/'Input Laying'!$G$6))</f>
        <v/>
      </c>
      <c r="G39" s="245">
        <f>IF(OR(Std!G45=0,Std!G45=""),"",Std!G45)</f>
        <v>141.18907818783347</v>
      </c>
      <c r="H39" s="244" t="str">
        <f>IF('Input Laying'!X40="","",'Input Laying'!X40)</f>
        <v/>
      </c>
      <c r="I39" s="243">
        <f>IF(Std!C45=0,"",Std!C45)</f>
        <v>63.42</v>
      </c>
      <c r="J39" s="244" t="str">
        <f t="shared" si="2"/>
        <v/>
      </c>
      <c r="K39" s="243">
        <f>'Graph values'!AX32/'Graph values'!AU32*1000</f>
        <v>60.675279779368211</v>
      </c>
      <c r="L39" s="246" t="str">
        <f>IF('Input Laying'!N40="","",IF('Input Laying'!N40=0,"",IF('Production data'!H39="","",H39*D39/100)))</f>
        <v/>
      </c>
      <c r="M39" s="247">
        <f>ROUND(IF(Std!E45=0,"",Std!E45),2)</f>
        <v>59.81</v>
      </c>
      <c r="N39" s="248">
        <f>IF('Input Laying'!X40=0,0,('Input Laying'!N40*'Production data'!H39)/'Input Laying'!$G$6/1000+N38)</f>
        <v>0</v>
      </c>
      <c r="O39" s="249">
        <f>IF(Std!F45=0,"",Std!F45)</f>
        <v>8.5642112593787392</v>
      </c>
      <c r="P39" s="413" t="str">
        <f>IF('Input Laying'!AD40="","",((('Input Laying'!AE39+'Input Laying'!AD40-'Input Laying'!AE40)/'Input Laying'!D40))/7*1000)</f>
        <v/>
      </c>
      <c r="Q39" s="413" t="str">
        <f>'Input Laying'!AA40</f>
        <v/>
      </c>
      <c r="R39" s="241" t="str">
        <f>'Input Laying'!AB40</f>
        <v/>
      </c>
      <c r="S39" s="250" t="str">
        <f>IF(OR('Input Laying'!N40=0,'Input Laying'!N40="",'Input Laying'!AD40=""),"",('Input Laying'!AD40*1000/'Input Laying'!N40))</f>
        <v/>
      </c>
      <c r="T39" s="408" t="str">
        <f>IF(OR('Input Laying'!O40="",'Input Laying'!O40=0),"",'Input Laying'!AF40*1000/'Input Laying'!O40)</f>
        <v/>
      </c>
      <c r="U39" s="246" t="str">
        <f t="shared" si="3"/>
        <v/>
      </c>
      <c r="V39" s="252" t="str">
        <f>IF(OR(N39=0,N39=""),"",IF(OR('Input Laying'!AF40="",'Input Laying'!AF40=0),"",'Input Laying'!AF40/(N39*'Input Laying'!$G$6)))</f>
        <v/>
      </c>
      <c r="W39" s="244" t="str">
        <f>IF('Input Laying'!V40="","",IF('Input Laying'!V40=0,"",('Input Laying'!V40)/'Input Laying'!N40*100))</f>
        <v/>
      </c>
      <c r="X39" s="251" t="str">
        <f>IF('Input Laying'!V40=0,"",IF('Input Laying'!V40="","",'Input Laying'!W40/'Input Laying'!O40*100))</f>
        <v/>
      </c>
      <c r="Y39" s="253" t="str">
        <f>IF(OR('Input Laying'!AH40="",'Input Laying'!AH40=0),"",'Input Laying'!AH40)</f>
        <v/>
      </c>
      <c r="Z39" s="254">
        <f>IF(Std!D45=0,"",Std!D45)</f>
        <v>1890.6406400719209</v>
      </c>
    </row>
    <row r="40" spans="1:26" ht="15.75" customHeight="1" x14ac:dyDescent="0.2">
      <c r="A40" s="317">
        <f>IF('Input Laying'!A41="","",'Input Laying'!A41)</f>
        <v>294</v>
      </c>
      <c r="B40" s="322">
        <v>43</v>
      </c>
      <c r="C40" s="112" t="str">
        <f>IF(OR('Input Laying'!D41="",'Input Laying'!$G$6="",'Input Laying'!$G$6=0),"",'Input Laying'!D41/'Input Laying'!$G$6*100)</f>
        <v/>
      </c>
      <c r="D40" s="119" t="str">
        <f>IF('Input Laying'!E41="","",IF('Input Laying'!N41="","",'Input Laying'!N41/7/'Input Laying'!D41*100))</f>
        <v/>
      </c>
      <c r="E40" s="120">
        <f>IF(OR(Std!B46=0,Std!B46=""),"",Std!B46)</f>
        <v>93.984006161543633</v>
      </c>
      <c r="F40" s="107" t="str">
        <f>IF('Input Laying'!E41="","",IF('Input Laying'!N41="","",'Input Laying'!O41/'Input Laying'!$G$6))</f>
        <v/>
      </c>
      <c r="G40" s="121">
        <f>IF(OR(Std!G46=0,Std!G46=""),"",Std!G46)</f>
        <v>147.60374976357608</v>
      </c>
      <c r="H40" s="107" t="str">
        <f>IF('Input Laying'!X41="","",'Input Laying'!X41)</f>
        <v/>
      </c>
      <c r="I40" s="120">
        <f>IF(Std!C46=0,"",Std!C46)</f>
        <v>63.44</v>
      </c>
      <c r="J40" s="107" t="str">
        <f t="shared" si="2"/>
        <v/>
      </c>
      <c r="K40" s="120">
        <f>'Graph values'!AX33/'Graph values'!AU33*1000</f>
        <v>60.796711536063832</v>
      </c>
      <c r="L40" s="108" t="str">
        <f>IF('Input Laying'!N41="","",IF('Input Laying'!N41=0,"",IF('Production data'!H40="","",H40*D40/100)))</f>
        <v/>
      </c>
      <c r="M40" s="122">
        <f>ROUND(IF(Std!E46=0,"",Std!E46),2)</f>
        <v>59.62</v>
      </c>
      <c r="N40" s="123">
        <f>IF('Input Laying'!X41=0,0,('Input Laying'!N41*'Production data'!H40)/'Input Laying'!$G$6/1000+N39)</f>
        <v>0</v>
      </c>
      <c r="O40" s="124">
        <f>IF(Std!F46=0,"",Std!F46)</f>
        <v>8.9711580241438504</v>
      </c>
      <c r="P40" s="411" t="str">
        <f>IF('Input Laying'!AD41="","",((('Input Laying'!AE40+'Input Laying'!AD41-'Input Laying'!AE41)/'Input Laying'!D41))/7*1000)</f>
        <v/>
      </c>
      <c r="Q40" s="411" t="str">
        <f>'Input Laying'!AA41</f>
        <v/>
      </c>
      <c r="R40" s="112" t="str">
        <f>'Input Laying'!AB41</f>
        <v/>
      </c>
      <c r="S40" s="125" t="str">
        <f>IF(OR('Input Laying'!N41=0,'Input Laying'!N41="",'Input Laying'!AD41=""),"",('Input Laying'!AD41*1000/'Input Laying'!N41))</f>
        <v/>
      </c>
      <c r="T40" s="409" t="str">
        <f>IF(OR('Input Laying'!O41="",'Input Laying'!O41=0),"",'Input Laying'!AF41*1000/'Input Laying'!O41)</f>
        <v/>
      </c>
      <c r="U40" s="108" t="str">
        <f t="shared" si="3"/>
        <v/>
      </c>
      <c r="V40" s="127" t="str">
        <f>IF(OR(N40=0,N40=""),"",IF(OR('Input Laying'!AF41="",'Input Laying'!AF41=0),"",'Input Laying'!AF41/(N40*'Input Laying'!$G$6)))</f>
        <v/>
      </c>
      <c r="W40" s="107" t="str">
        <f>IF('Input Laying'!V41="","",IF('Input Laying'!V41=0,"",('Input Laying'!V41)/'Input Laying'!N41*100))</f>
        <v/>
      </c>
      <c r="X40" s="126" t="str">
        <f>IF('Input Laying'!V41=0,"",IF('Input Laying'!V41="","",'Input Laying'!W41/'Input Laying'!O41*100))</f>
        <v/>
      </c>
      <c r="Y40" s="128" t="str">
        <f>IF(OR('Input Laying'!AH41="",'Input Laying'!AH41=0),"",'Input Laying'!AH41)</f>
        <v/>
      </c>
      <c r="Z40" s="118">
        <f>IF(Std!D46=0,"",Std!D46)</f>
        <v>1894.9539435387394</v>
      </c>
    </row>
    <row r="41" spans="1:26" ht="15.75" customHeight="1" x14ac:dyDescent="0.2">
      <c r="A41" s="316">
        <f>IF('Input Laying'!A42="","",'Input Laying'!A42)</f>
        <v>301</v>
      </c>
      <c r="B41" s="321">
        <v>44</v>
      </c>
      <c r="C41" s="241" t="str">
        <f>IF(OR('Input Laying'!D42="",'Input Laying'!$G$6="",'Input Laying'!$G$6=0),"",'Input Laying'!D42/'Input Laying'!$G$6*100)</f>
        <v/>
      </c>
      <c r="D41" s="242" t="str">
        <f>IF('Input Laying'!E42="","",IF('Input Laying'!N42="","",'Input Laying'!N42/7/'Input Laying'!D42*100))</f>
        <v/>
      </c>
      <c r="E41" s="243">
        <f>IF(OR(Std!B47=0,Std!B47=""),"",Std!B47)</f>
        <v>93.782586209177893</v>
      </c>
      <c r="F41" s="244" t="str">
        <f>IF('Input Laying'!E42="","",IF('Input Laying'!N42="","",'Input Laying'!O42/'Input Laying'!$G$6))</f>
        <v/>
      </c>
      <c r="G41" s="245">
        <f>IF(OR(Std!G47=0,Std!G47=""),"",Std!G47)</f>
        <v>153.99837167380059</v>
      </c>
      <c r="H41" s="244" t="str">
        <f>IF('Input Laying'!X42="","",'Input Laying'!X42)</f>
        <v/>
      </c>
      <c r="I41" s="243">
        <f>IF(Std!C47=0,"",Std!C47)</f>
        <v>63.45</v>
      </c>
      <c r="J41" s="244" t="str">
        <f t="shared" si="2"/>
        <v/>
      </c>
      <c r="K41" s="243">
        <f>'Graph values'!AX34/'Graph values'!AU34*1000</f>
        <v>60.908116608175945</v>
      </c>
      <c r="L41" s="246" t="str">
        <f>IF('Input Laying'!N42="","",IF('Input Laying'!N42=0,"",IF('Production data'!H41="","",H41*D41/100)))</f>
        <v/>
      </c>
      <c r="M41" s="247">
        <f>ROUND(IF(Std!E47=0,"",Std!E47),2)</f>
        <v>59.51</v>
      </c>
      <c r="N41" s="248">
        <f>IF('Input Laying'!X42=0,0,('Input Laying'!N42*'Production data'!H41)/'Input Laying'!$G$6/1000+N40)</f>
        <v>0</v>
      </c>
      <c r="O41" s="249">
        <f>IF(Std!F47=0,"",Std!F47)</f>
        <v>9.3768967843475952</v>
      </c>
      <c r="P41" s="413" t="str">
        <f>IF('Input Laying'!AD42="","",((('Input Laying'!AE41+'Input Laying'!AD42-'Input Laying'!AE42)/'Input Laying'!D42))/7*1000)</f>
        <v/>
      </c>
      <c r="Q41" s="413" t="str">
        <f>'Input Laying'!AA42</f>
        <v/>
      </c>
      <c r="R41" s="241" t="str">
        <f>'Input Laying'!AB42</f>
        <v/>
      </c>
      <c r="S41" s="250" t="str">
        <f>IF(OR('Input Laying'!N42=0,'Input Laying'!N42="",'Input Laying'!AD42=""),"",('Input Laying'!AD42*1000/'Input Laying'!N42))</f>
        <v/>
      </c>
      <c r="T41" s="408" t="str">
        <f>IF(OR('Input Laying'!O42="",'Input Laying'!O42=0),"",'Input Laying'!AF42*1000/'Input Laying'!O42)</f>
        <v/>
      </c>
      <c r="U41" s="246" t="str">
        <f t="shared" si="3"/>
        <v/>
      </c>
      <c r="V41" s="252" t="str">
        <f>IF(OR(N41=0,N41=""),"",IF(OR('Input Laying'!AF42="",'Input Laying'!AF42=0),"",'Input Laying'!AF42/(N41*'Input Laying'!$G$6)))</f>
        <v/>
      </c>
      <c r="W41" s="244" t="str">
        <f>IF('Input Laying'!V42="","",IF('Input Laying'!V42=0,"",('Input Laying'!V42)/'Input Laying'!N42*100))</f>
        <v/>
      </c>
      <c r="X41" s="251" t="str">
        <f>IF('Input Laying'!V42=0,"",IF('Input Laying'!V42="","",'Input Laying'!W42/'Input Laying'!O42*100))</f>
        <v/>
      </c>
      <c r="Y41" s="253" t="str">
        <f>IF(OR('Input Laying'!AH42="",'Input Laying'!AH42=0),"",'Input Laying'!AH42)</f>
        <v/>
      </c>
      <c r="Z41" s="254">
        <f>IF(Std!D47=0,"",Std!D47)</f>
        <v>1899.0918368762261</v>
      </c>
    </row>
    <row r="42" spans="1:26" ht="15.75" customHeight="1" x14ac:dyDescent="0.2">
      <c r="A42" s="317">
        <f>IF('Input Laying'!A43="","",'Input Laying'!A43)</f>
        <v>308</v>
      </c>
      <c r="B42" s="322">
        <v>45</v>
      </c>
      <c r="C42" s="112" t="str">
        <f>IF(OR('Input Laying'!D43="",'Input Laying'!$G$6="",'Input Laying'!$G$6=0),"",'Input Laying'!D43/'Input Laying'!$G$6*100)</f>
        <v/>
      </c>
      <c r="D42" s="119" t="str">
        <f>IF('Input Laying'!E43="","",IF('Input Laying'!N43="","",'Input Laying'!N43/7/'Input Laying'!D43*100))</f>
        <v/>
      </c>
      <c r="E42" s="120">
        <f>IF(OR(Std!B48=0,Std!B48=""),"",Std!B48)</f>
        <v>93.556034001602939</v>
      </c>
      <c r="F42" s="107" t="str">
        <f>IF('Input Laying'!E43="","",IF('Input Laying'!N43="","",'Input Laying'!O43/'Input Laying'!$G$6))</f>
        <v/>
      </c>
      <c r="G42" s="121">
        <f>IF(OR(Std!G48=0,Std!G48=""),"",Std!G48)</f>
        <v>160.37125902033537</v>
      </c>
      <c r="H42" s="107" t="str">
        <f>IF('Input Laying'!X43="","",'Input Laying'!X43)</f>
        <v/>
      </c>
      <c r="I42" s="120">
        <f>IF(Std!C48=0,"",Std!C48)</f>
        <v>63.49</v>
      </c>
      <c r="J42" s="107" t="str">
        <f t="shared" si="2"/>
        <v/>
      </c>
      <c r="K42" s="120">
        <f>'Graph values'!AX35/'Graph values'!AU35*1000</f>
        <v>61.011914006115617</v>
      </c>
      <c r="L42" s="108" t="str">
        <f>IF('Input Laying'!N43="","",IF('Input Laying'!N43=0,"",IF('Production data'!H42="","",H42*D42/100)))</f>
        <v/>
      </c>
      <c r="M42" s="122">
        <f>ROUND(IF(Std!E48=0,"",Std!E48),2)</f>
        <v>59.4</v>
      </c>
      <c r="N42" s="123">
        <f>IF('Input Laying'!X43=0,0,('Input Laying'!N43*'Production data'!H42)/'Input Laying'!$G$6/1000+N41)</f>
        <v>0</v>
      </c>
      <c r="O42" s="124">
        <f>IF(Std!F48=0,"",Std!F48)</f>
        <v>9.7815114019790883</v>
      </c>
      <c r="P42" s="411" t="str">
        <f>IF('Input Laying'!AD43="","",((('Input Laying'!AE42+'Input Laying'!AD43-'Input Laying'!AE43)/'Input Laying'!D43))/7*1000)</f>
        <v/>
      </c>
      <c r="Q42" s="411" t="str">
        <f>'Input Laying'!AA43</f>
        <v/>
      </c>
      <c r="R42" s="112" t="str">
        <f>'Input Laying'!AB43</f>
        <v/>
      </c>
      <c r="S42" s="125" t="str">
        <f>IF(OR('Input Laying'!N43=0,'Input Laying'!N43="",'Input Laying'!AD43=""),"",('Input Laying'!AD43*1000/'Input Laying'!N43))</f>
        <v/>
      </c>
      <c r="T42" s="409" t="str">
        <f>IF(OR('Input Laying'!O43="",'Input Laying'!O43=0),"",'Input Laying'!AF43*1000/'Input Laying'!O43)</f>
        <v/>
      </c>
      <c r="U42" s="108" t="str">
        <f t="shared" si="3"/>
        <v/>
      </c>
      <c r="V42" s="127" t="str">
        <f>IF(OR(N42=0,N42=""),"",IF(OR('Input Laying'!AF43="",'Input Laying'!AF43=0),"",'Input Laying'!AF43/(N42*'Input Laying'!$G$6)))</f>
        <v/>
      </c>
      <c r="W42" s="107" t="str">
        <f>IF('Input Laying'!V43="","",IF('Input Laying'!V43=0,"",('Input Laying'!V43)/'Input Laying'!N43*100))</f>
        <v/>
      </c>
      <c r="X42" s="126" t="str">
        <f>IF('Input Laying'!V43=0,"",IF('Input Laying'!V43="","",'Input Laying'!W43/'Input Laying'!O43*100))</f>
        <v/>
      </c>
      <c r="Y42" s="128" t="str">
        <f>IF(OR('Input Laying'!AH43="",'Input Laying'!AH43=0),"",'Input Laying'!AH43)</f>
        <v/>
      </c>
      <c r="Z42" s="118">
        <f>IF(Std!D48=0,"",Std!D48)</f>
        <v>1903.0584051228739</v>
      </c>
    </row>
    <row r="43" spans="1:26" ht="15.75" customHeight="1" x14ac:dyDescent="0.2">
      <c r="A43" s="316">
        <f>IF('Input Laying'!A44="","",'Input Laying'!A44)</f>
        <v>315</v>
      </c>
      <c r="B43" s="321">
        <v>46</v>
      </c>
      <c r="C43" s="241" t="str">
        <f>IF(OR('Input Laying'!D44="",'Input Laying'!$G$6="",'Input Laying'!$G$6=0),"",'Input Laying'!D44/'Input Laying'!$G$6*100)</f>
        <v/>
      </c>
      <c r="D43" s="242" t="str">
        <f>IF('Input Laying'!E44="","",IF('Input Laying'!N44="","",'Input Laying'!N44/7/'Input Laying'!D44*100))</f>
        <v/>
      </c>
      <c r="E43" s="243">
        <f>IF(OR(Std!B49=0,Std!B49=""),"",Std!B49)</f>
        <v>93.28828380553783</v>
      </c>
      <c r="F43" s="244" t="str">
        <f>IF('Input Laying'!E44="","",IF('Input Laying'!N44="","",'Input Laying'!O44/'Input Laying'!$G$6))</f>
        <v/>
      </c>
      <c r="G43" s="245">
        <f>IF(OR(Std!G49=0,Std!G49=""),"",Std!G49)</f>
        <v>166.71963867924279</v>
      </c>
      <c r="H43" s="244" t="str">
        <f>IF('Input Laying'!X44="","",'Input Laying'!X44)</f>
        <v/>
      </c>
      <c r="I43" s="243">
        <f>IF(Std!C49=0,"",Std!C49)</f>
        <v>63.51</v>
      </c>
      <c r="J43" s="244" t="str">
        <f t="shared" si="2"/>
        <v/>
      </c>
      <c r="K43" s="243">
        <f>'Graph values'!AX36/'Graph values'!AU36*1000</f>
        <v>61.108195495139604</v>
      </c>
      <c r="L43" s="246" t="str">
        <f>IF('Input Laying'!N44="","",IF('Input Laying'!N44=0,"",IF('Production data'!H43="","",H43*D43/100)))</f>
        <v/>
      </c>
      <c r="M43" s="247">
        <f>ROUND(IF(Std!E49=0,"",Std!E49),2)</f>
        <v>59.25</v>
      </c>
      <c r="N43" s="248">
        <f>IF('Input Laying'!X44=0,0,('Input Laying'!N44*'Production data'!H43)/'Input Laying'!$G$6/1000+N42)</f>
        <v>0</v>
      </c>
      <c r="O43" s="249">
        <f>IF(Std!F49=0,"",Std!F49)</f>
        <v>10.184696994116297</v>
      </c>
      <c r="P43" s="413" t="str">
        <f>IF('Input Laying'!AD44="","",((('Input Laying'!AE43+'Input Laying'!AD44-'Input Laying'!AE44)/'Input Laying'!D44))/7*1000)</f>
        <v/>
      </c>
      <c r="Q43" s="413" t="str">
        <f>'Input Laying'!AA44</f>
        <v/>
      </c>
      <c r="R43" s="241" t="str">
        <f>'Input Laying'!AB44</f>
        <v/>
      </c>
      <c r="S43" s="250" t="str">
        <f>IF(OR('Input Laying'!N44=0,'Input Laying'!N44="",'Input Laying'!AD44=""),"",('Input Laying'!AD44*1000/'Input Laying'!N44))</f>
        <v/>
      </c>
      <c r="T43" s="408" t="str">
        <f>IF(OR('Input Laying'!O44="",'Input Laying'!O44=0),"",'Input Laying'!AF44*1000/'Input Laying'!O44)</f>
        <v/>
      </c>
      <c r="U43" s="246" t="str">
        <f t="shared" si="3"/>
        <v/>
      </c>
      <c r="V43" s="252" t="str">
        <f>IF(OR(N43=0,N43=""),"",IF(OR('Input Laying'!AF44="",'Input Laying'!AF44=0),"",'Input Laying'!AF44/(N43*'Input Laying'!$G$6)))</f>
        <v/>
      </c>
      <c r="W43" s="244" t="str">
        <f>IF('Input Laying'!V44="","",IF('Input Laying'!V44=0,"",('Input Laying'!V44)/'Input Laying'!N44*100))</f>
        <v/>
      </c>
      <c r="X43" s="251" t="str">
        <f>IF('Input Laying'!V44=0,"",IF('Input Laying'!V44="","",'Input Laying'!W44/'Input Laying'!O44*100))</f>
        <v/>
      </c>
      <c r="Y43" s="253" t="str">
        <f>IF(OR('Input Laying'!AH44="",'Input Laying'!AH44=0),"",'Input Laying'!AH44)</f>
        <v/>
      </c>
      <c r="Z43" s="254">
        <f>IF(Std!D49=0,"",Std!D49)</f>
        <v>1906.8577292012003</v>
      </c>
    </row>
    <row r="44" spans="1:26" ht="15.75" customHeight="1" x14ac:dyDescent="0.2">
      <c r="A44" s="317">
        <f>IF('Input Laying'!A45="","",'Input Laying'!A45)</f>
        <v>322</v>
      </c>
      <c r="B44" s="322">
        <v>47</v>
      </c>
      <c r="C44" s="112" t="str">
        <f>IF(OR('Input Laying'!D45="",'Input Laying'!$G$6="",'Input Laying'!$G$6=0),"",'Input Laying'!D45/'Input Laying'!$G$6*100)</f>
        <v/>
      </c>
      <c r="D44" s="119" t="str">
        <f>IF('Input Laying'!E45="","",IF('Input Laying'!N45="","",'Input Laying'!N45/7/'Input Laying'!D45*100))</f>
        <v/>
      </c>
      <c r="E44" s="120">
        <f>IF(OR(Std!B50=0,Std!B50=""),"",Std!B50)</f>
        <v>92.960152580781255</v>
      </c>
      <c r="F44" s="107" t="str">
        <f>IF('Input Laying'!E45="","",IF('Input Laying'!N45="","",'Input Laying'!O45/'Input Laying'!$G$6))</f>
        <v/>
      </c>
      <c r="G44" s="121">
        <f>IF(OR(Std!G50=0,Std!G50=""),"",Std!G50)</f>
        <v>173.03944169229462</v>
      </c>
      <c r="H44" s="107" t="str">
        <f>IF('Input Laying'!X45="","",'Input Laying'!X45)</f>
        <v/>
      </c>
      <c r="I44" s="120">
        <f>IF(Std!C50=0,"",Std!C50)</f>
        <v>63.53</v>
      </c>
      <c r="J44" s="107" t="str">
        <f t="shared" si="2"/>
        <v/>
      </c>
      <c r="K44" s="120">
        <f>'Graph values'!AX37/'Graph values'!AU37*1000</f>
        <v>61.197768430748248</v>
      </c>
      <c r="L44" s="108" t="str">
        <f>IF('Input Laying'!N45="","",IF('Input Laying'!N45=0,"",IF('Production data'!H44="","",H44*D44/100)))</f>
        <v/>
      </c>
      <c r="M44" s="122">
        <f>ROUND(IF(Std!E50=0,"",Std!E50),2)</f>
        <v>59.06</v>
      </c>
      <c r="N44" s="123">
        <f>IF('Input Laying'!X45=0,0,('Input Laying'!N45*'Production data'!H44)/'Input Laying'!$G$6/1000+N43)</f>
        <v>0</v>
      </c>
      <c r="O44" s="124">
        <f>IF(Std!F50=0,"",Std!F50)</f>
        <v>10.586194079535479</v>
      </c>
      <c r="P44" s="411" t="str">
        <f>IF('Input Laying'!AD45="","",((('Input Laying'!AE44+'Input Laying'!AD45-'Input Laying'!AE45)/'Input Laying'!D45))/7*1000)</f>
        <v/>
      </c>
      <c r="Q44" s="411" t="str">
        <f>'Input Laying'!AA45</f>
        <v/>
      </c>
      <c r="R44" s="112" t="str">
        <f>'Input Laying'!AB45</f>
        <v/>
      </c>
      <c r="S44" s="125" t="str">
        <f>IF(OR('Input Laying'!N45=0,'Input Laying'!N45="",'Input Laying'!AD45=""),"",('Input Laying'!AD45*1000/'Input Laying'!N45))</f>
        <v/>
      </c>
      <c r="T44" s="409" t="str">
        <f>IF(OR('Input Laying'!O45="",'Input Laying'!O45=0),"",'Input Laying'!AF45*1000/'Input Laying'!O45)</f>
        <v/>
      </c>
      <c r="U44" s="108" t="str">
        <f t="shared" si="3"/>
        <v/>
      </c>
      <c r="V44" s="127" t="str">
        <f>IF(OR(N44=0,N44=""),"",IF(OR('Input Laying'!AF45="",'Input Laying'!AF45=0),"",'Input Laying'!AF45/(N44*'Input Laying'!$G$6)))</f>
        <v/>
      </c>
      <c r="W44" s="107" t="str">
        <f>IF('Input Laying'!V45="","",IF('Input Laying'!V45=0,"",('Input Laying'!V45)/'Input Laying'!N45*100))</f>
        <v/>
      </c>
      <c r="X44" s="126" t="str">
        <f>IF('Input Laying'!V45=0,"",IF('Input Laying'!V45="","",'Input Laying'!W45/'Input Laying'!O45*100))</f>
        <v/>
      </c>
      <c r="Y44" s="128" t="str">
        <f>IF(OR('Input Laying'!AH45="",'Input Laying'!AH45=0),"",'Input Laying'!AH45)</f>
        <v/>
      </c>
      <c r="Z44" s="118">
        <f>IF(Std!D50=0,"",Std!D50)</f>
        <v>1910.4938859177516</v>
      </c>
    </row>
    <row r="45" spans="1:26" ht="15.75" customHeight="1" x14ac:dyDescent="0.2">
      <c r="A45" s="316">
        <f>IF('Input Laying'!A46="","",'Input Laying'!A46)</f>
        <v>329</v>
      </c>
      <c r="B45" s="321">
        <v>48</v>
      </c>
      <c r="C45" s="241" t="str">
        <f>IF(OR('Input Laying'!D46="",'Input Laying'!$G$6="",'Input Laying'!$G$6=0),"",'Input Laying'!D46/'Input Laying'!$G$6*100)</f>
        <v/>
      </c>
      <c r="D45" s="242" t="str">
        <f>IF('Input Laying'!E46="","",IF('Input Laying'!N46="","",'Input Laying'!N46/7/'Input Laying'!D46*100))</f>
        <v/>
      </c>
      <c r="E45" s="243">
        <f>IF(OR(Std!B51=0,Std!B51=""),"",Std!B51)</f>
        <v>92.549339980209297</v>
      </c>
      <c r="F45" s="244" t="str">
        <f>IF('Input Laying'!E46="","",IF('Input Laying'!N46="","",'Input Laying'!O46/'Input Laying'!$G$6))</f>
        <v/>
      </c>
      <c r="G45" s="245">
        <f>IF(OR(Std!G51=0,Std!G51=""),"",Std!G51)</f>
        <v>179.32509670586248</v>
      </c>
      <c r="H45" s="244" t="str">
        <f>IF('Input Laying'!X46="","",'Input Laying'!X46)</f>
        <v/>
      </c>
      <c r="I45" s="243">
        <f>IF(Std!C51=0,"",Std!C51)</f>
        <v>63.58</v>
      </c>
      <c r="J45" s="244" t="str">
        <f t="shared" si="2"/>
        <v/>
      </c>
      <c r="K45" s="243">
        <f>'Graph values'!AX38/'Graph values'!AU38*1000</f>
        <v>61.282372986940715</v>
      </c>
      <c r="L45" s="246" t="str">
        <f>IF('Input Laying'!N46="","",IF('Input Laying'!N46=0,"",IF('Production data'!H45="","",H45*D45/100)))</f>
        <v/>
      </c>
      <c r="M45" s="247">
        <f>ROUND(IF(Std!E51=0,"",Std!E51),2)</f>
        <v>58.84</v>
      </c>
      <c r="N45" s="248">
        <f>IF('Input Laying'!X46=0,0,('Input Laying'!N46*'Production data'!H45)/'Input Laying'!$G$6/1000+N44)</f>
        <v>0</v>
      </c>
      <c r="O45" s="249">
        <f>IF(Std!F51=0,"",Std!F51)</f>
        <v>10.985836025298125</v>
      </c>
      <c r="P45" s="413" t="str">
        <f>IF('Input Laying'!AD46="","",((('Input Laying'!AE45+'Input Laying'!AD46-'Input Laying'!AE46)/'Input Laying'!D46))/7*1000)</f>
        <v/>
      </c>
      <c r="Q45" s="413" t="str">
        <f>'Input Laying'!AA46</f>
        <v/>
      </c>
      <c r="R45" s="241" t="str">
        <f>'Input Laying'!AB46</f>
        <v/>
      </c>
      <c r="S45" s="250" t="str">
        <f>IF(OR('Input Laying'!N46=0,'Input Laying'!N46="",'Input Laying'!AD46=""),"",('Input Laying'!AD46*1000/'Input Laying'!N46))</f>
        <v/>
      </c>
      <c r="T45" s="408" t="str">
        <f>IF(OR('Input Laying'!O46="",'Input Laying'!O46=0),"",'Input Laying'!AF46*1000/'Input Laying'!O46)</f>
        <v/>
      </c>
      <c r="U45" s="246" t="str">
        <f t="shared" si="3"/>
        <v/>
      </c>
      <c r="V45" s="252" t="str">
        <f>IF(OR(N45=0,N45=""),"",IF(OR('Input Laying'!AF46="",'Input Laying'!AF46=0),"",'Input Laying'!AF46/(N45*'Input Laying'!$G$6)))</f>
        <v/>
      </c>
      <c r="W45" s="244" t="str">
        <f>IF('Input Laying'!V46="","",IF('Input Laying'!V46=0,"",('Input Laying'!V46)/'Input Laying'!N46*100))</f>
        <v/>
      </c>
      <c r="X45" s="251" t="str">
        <f>IF('Input Laying'!V46=0,"",IF('Input Laying'!V46="","",'Input Laying'!W46/'Input Laying'!O46*100))</f>
        <v/>
      </c>
      <c r="Y45" s="253" t="str">
        <f>IF(OR('Input Laying'!AH46="",'Input Laying'!AH46=0),"",'Input Laying'!AH46)</f>
        <v/>
      </c>
      <c r="Z45" s="254">
        <f>IF(Std!D51=0,"",Std!D51)</f>
        <v>1913.9709479630992</v>
      </c>
    </row>
    <row r="46" spans="1:26" ht="15.75" customHeight="1" x14ac:dyDescent="0.2">
      <c r="A46" s="317">
        <f>IF('Input Laying'!A47="","",'Input Laying'!A47)</f>
        <v>336</v>
      </c>
      <c r="B46" s="322">
        <v>49</v>
      </c>
      <c r="C46" s="112" t="str">
        <f>IF(OR('Input Laying'!D47="",'Input Laying'!$G$6="",'Input Laying'!$G$6=0),"",'Input Laying'!D47/'Input Laying'!$G$6*100)</f>
        <v/>
      </c>
      <c r="D46" s="119" t="str">
        <f>IF('Input Laying'!E47="","",IF('Input Laying'!N47="","",'Input Laying'!N47/7/'Input Laying'!D47*100))</f>
        <v/>
      </c>
      <c r="E46" s="120">
        <f>IF(OR(Std!B52=0,Std!B52=""),"",Std!B52)</f>
        <v>92.3</v>
      </c>
      <c r="F46" s="107" t="str">
        <f>IF('Input Laying'!E47="","",IF('Input Laying'!N47="","",'Input Laying'!O47/'Input Laying'!$G$6))</f>
        <v/>
      </c>
      <c r="G46" s="121">
        <f>IF(OR(Std!G52=0,Std!G52=""),"",Std!G52)</f>
        <v>185.58761478586246</v>
      </c>
      <c r="H46" s="107" t="str">
        <f>IF('Input Laying'!X47="","",'Input Laying'!X47)</f>
        <v/>
      </c>
      <c r="I46" s="120">
        <f>IF(Std!C52=0,"",Std!C52)</f>
        <v>63.6</v>
      </c>
      <c r="J46" s="107" t="str">
        <f t="shared" si="2"/>
        <v/>
      </c>
      <c r="K46" s="120">
        <f>'Graph values'!AX39/'Graph values'!AU39*1000</f>
        <v>61.361653326535183</v>
      </c>
      <c r="L46" s="108" t="str">
        <f>IF('Input Laying'!N47="","",IF('Input Laying'!N47=0,"",IF('Production data'!H46="","",H46*D46/100)))</f>
        <v/>
      </c>
      <c r="M46" s="122">
        <f>ROUND(IF(Std!E52=0,"",Std!E52),2)</f>
        <v>58.7</v>
      </c>
      <c r="N46" s="123">
        <f>IF('Input Laying'!X47=0,0,('Input Laying'!N47*'Production data'!H46)/'Input Laying'!$G$6/1000+N45)</f>
        <v>0</v>
      </c>
      <c r="O46" s="124">
        <f>IF(Std!F52=0,"",Std!F52)</f>
        <v>11.384132175186124</v>
      </c>
      <c r="P46" s="411" t="str">
        <f>IF('Input Laying'!AD47="","",((('Input Laying'!AE46+'Input Laying'!AD47-'Input Laying'!AE47)/'Input Laying'!D47))/7*1000)</f>
        <v/>
      </c>
      <c r="Q46" s="411" t="str">
        <f>'Input Laying'!AA47</f>
        <v/>
      </c>
      <c r="R46" s="112" t="str">
        <f>'Input Laying'!AB47</f>
        <v/>
      </c>
      <c r="S46" s="125" t="str">
        <f>IF(OR('Input Laying'!N47=0,'Input Laying'!N47="",'Input Laying'!AD47=""),"",('Input Laying'!AD47*1000/'Input Laying'!N47))</f>
        <v/>
      </c>
      <c r="T46" s="409" t="str">
        <f>IF(OR('Input Laying'!O47="",'Input Laying'!O47=0),"",'Input Laying'!AF47*1000/'Input Laying'!O47)</f>
        <v/>
      </c>
      <c r="U46" s="108" t="str">
        <f t="shared" si="3"/>
        <v/>
      </c>
      <c r="V46" s="127" t="str">
        <f>IF(OR(N46=0,N46=""),"",IF(OR('Input Laying'!AF47="",'Input Laying'!AF47=0),"",'Input Laying'!AF47/(N46*'Input Laying'!$G$6)))</f>
        <v/>
      </c>
      <c r="W46" s="107" t="str">
        <f>IF('Input Laying'!V47="","",IF('Input Laying'!V47=0,"",('Input Laying'!V47)/'Input Laying'!N47*100))</f>
        <v/>
      </c>
      <c r="X46" s="126" t="str">
        <f>IF('Input Laying'!V47=0,"",IF('Input Laying'!V47="","",'Input Laying'!W47/'Input Laying'!O47*100))</f>
        <v/>
      </c>
      <c r="Y46" s="128" t="str">
        <f>IF(OR('Input Laying'!AH47="",'Input Laying'!AH47=0),"",'Input Laying'!AH47)</f>
        <v/>
      </c>
      <c r="Z46" s="118">
        <f>IF(Std!D52=0,"",Std!D52)</f>
        <v>1917.2929839118417</v>
      </c>
    </row>
    <row r="47" spans="1:26" ht="15.75" customHeight="1" x14ac:dyDescent="0.2">
      <c r="A47" s="316">
        <f>IF('Input Laying'!A48="","",'Input Laying'!A48)</f>
        <v>343</v>
      </c>
      <c r="B47" s="321">
        <v>50</v>
      </c>
      <c r="C47" s="241" t="str">
        <f>IF(OR('Input Laying'!D48="",'Input Laying'!$G$6="",'Input Laying'!$G$6=0),"",'Input Laying'!D48/'Input Laying'!$G$6*100)</f>
        <v/>
      </c>
      <c r="D47" s="242" t="str">
        <f>IF('Input Laying'!E48="","",IF('Input Laying'!N48="","",'Input Laying'!N48/7/'Input Laying'!D48*100))</f>
        <v/>
      </c>
      <c r="E47" s="243">
        <f>IF(OR(Std!B53=0,Std!B53=""),"",Std!B53)</f>
        <v>91.94</v>
      </c>
      <c r="F47" s="244" t="str">
        <f>IF('Input Laying'!E48="","",IF('Input Laying'!N48="","",'Input Laying'!O48/'Input Laying'!$G$6))</f>
        <v/>
      </c>
      <c r="G47" s="245">
        <f>IF(OR(Std!G53=0,Std!G53=""),"",Std!G53)</f>
        <v>191.81952864186246</v>
      </c>
      <c r="H47" s="244" t="str">
        <f>IF('Input Laying'!X48="","",'Input Laying'!X48)</f>
        <v/>
      </c>
      <c r="I47" s="243">
        <f>IF(Std!C53=0,"",Std!C53)</f>
        <v>63.62</v>
      </c>
      <c r="J47" s="244" t="str">
        <f t="shared" si="2"/>
        <v/>
      </c>
      <c r="K47" s="243">
        <f>'Graph values'!AX40/'Graph values'!AU40*1000</f>
        <v>61.43606887613759</v>
      </c>
      <c r="L47" s="246" t="str">
        <f>IF('Input Laying'!N48="","",IF('Input Laying'!N48=0,"",IF('Production data'!H47="","",H47*D47/100)))</f>
        <v/>
      </c>
      <c r="M47" s="247">
        <f>ROUND(IF(Std!E53=0,"",Std!E53),2)</f>
        <v>58.49</v>
      </c>
      <c r="N47" s="248">
        <f>IF('Input Laying'!X48=0,0,('Input Laying'!N48*'Production data'!H47)/'Input Laying'!$G$6/1000+N46)</f>
        <v>0</v>
      </c>
      <c r="O47" s="249">
        <f>IF(Std!F53=0,"",Std!F53)</f>
        <v>11.780606534704845</v>
      </c>
      <c r="P47" s="413" t="str">
        <f>IF('Input Laying'!AD48="","",((('Input Laying'!AE47+'Input Laying'!AD48-'Input Laying'!AE48)/'Input Laying'!D48))/7*1000)</f>
        <v/>
      </c>
      <c r="Q47" s="413" t="str">
        <f>'Input Laying'!AA48</f>
        <v/>
      </c>
      <c r="R47" s="241" t="str">
        <f>'Input Laying'!AB48</f>
        <v/>
      </c>
      <c r="S47" s="250" t="str">
        <f>IF(OR('Input Laying'!N48=0,'Input Laying'!N48="",'Input Laying'!AD48=""),"",('Input Laying'!AD48*1000/'Input Laying'!N48))</f>
        <v/>
      </c>
      <c r="T47" s="408" t="str">
        <f>IF(OR('Input Laying'!O48="",'Input Laying'!O48=0),"",'Input Laying'!AF48*1000/'Input Laying'!O48)</f>
        <v/>
      </c>
      <c r="U47" s="246" t="str">
        <f t="shared" si="3"/>
        <v/>
      </c>
      <c r="V47" s="252" t="str">
        <f>IF(OR(N47=0,N47=""),"",IF(OR('Input Laying'!AF48="",'Input Laying'!AF48=0),"",'Input Laying'!AF48/(N47*'Input Laying'!$G$6)))</f>
        <v/>
      </c>
      <c r="W47" s="244" t="str">
        <f>IF('Input Laying'!V48="","",IF('Input Laying'!V48=0,"",('Input Laying'!V48)/'Input Laying'!N48*100))</f>
        <v/>
      </c>
      <c r="X47" s="251" t="str">
        <f>IF('Input Laying'!V48=0,"",IF('Input Laying'!V48="","",'Input Laying'!W48/'Input Laying'!O48*100))</f>
        <v/>
      </c>
      <c r="Y47" s="253" t="str">
        <f>IF(OR('Input Laying'!AH48="",'Input Laying'!AH48=0),"",'Input Laying'!AH48)</f>
        <v/>
      </c>
      <c r="Z47" s="254">
        <f>IF(Std!D53=0,"",Std!D53)</f>
        <v>1920.4640582226043</v>
      </c>
    </row>
    <row r="48" spans="1:26" ht="15.75" customHeight="1" x14ac:dyDescent="0.2">
      <c r="A48" s="317">
        <f>IF('Input Laying'!A49="","",'Input Laying'!A49)</f>
        <v>350</v>
      </c>
      <c r="B48" s="322">
        <v>51</v>
      </c>
      <c r="C48" s="112" t="str">
        <f>IF(OR('Input Laying'!D49="",'Input Laying'!$G$6="",'Input Laying'!$G$6=0),"",'Input Laying'!D49/'Input Laying'!$G$6*100)</f>
        <v/>
      </c>
      <c r="D48" s="119" t="str">
        <f>IF('Input Laying'!E49="","",IF('Input Laying'!N49="","",'Input Laying'!N49/7/'Input Laying'!D49*100))</f>
        <v/>
      </c>
      <c r="E48" s="120">
        <f>IF(OR(Std!B54=0,Std!B54=""),"",Std!B54)</f>
        <v>91.606110666657599</v>
      </c>
      <c r="F48" s="107" t="str">
        <f>IF('Input Laying'!E49="","",IF('Input Laying'!N49="","",'Input Laying'!O49/'Input Laying'!$G$6))</f>
        <v/>
      </c>
      <c r="G48" s="121">
        <f>IF(OR(Std!G54=0,Std!G54=""),"",Std!G54)</f>
        <v>198.02265474687729</v>
      </c>
      <c r="H48" s="107" t="str">
        <f>IF('Input Laying'!X49="","",'Input Laying'!X49)</f>
        <v/>
      </c>
      <c r="I48" s="120">
        <f>IF(Std!C54=0,"",Std!C54)</f>
        <v>63.64</v>
      </c>
      <c r="J48" s="107" t="str">
        <f t="shared" si="2"/>
        <v/>
      </c>
      <c r="K48" s="120">
        <f>'Graph values'!AX41/'Graph values'!AU41*1000</f>
        <v>61.506127483254573</v>
      </c>
      <c r="L48" s="108" t="str">
        <f>IF('Input Laying'!N49="","",IF('Input Laying'!N49=0,"",IF('Production data'!H48="","",H48*D48/100)))</f>
        <v/>
      </c>
      <c r="M48" s="122">
        <f>ROUND(IF(Std!E54=0,"",Std!E54),2)</f>
        <v>58.3</v>
      </c>
      <c r="N48" s="123">
        <f>IF('Input Laying'!X49=0,0,('Input Laying'!N49*'Production data'!H48)/'Input Laying'!$G$6/1000+N47)</f>
        <v>0</v>
      </c>
      <c r="O48" s="124">
        <f>IF(Std!F54=0,"",Std!F54)</f>
        <v>12.175373480027989</v>
      </c>
      <c r="P48" s="411" t="str">
        <f>IF('Input Laying'!AD49="","",((('Input Laying'!AE48+'Input Laying'!AD49-'Input Laying'!AE49)/'Input Laying'!D49))/7*1000)</f>
        <v/>
      </c>
      <c r="Q48" s="411" t="str">
        <f>'Input Laying'!AA49</f>
        <v/>
      </c>
      <c r="R48" s="112" t="str">
        <f>'Input Laying'!AB49</f>
        <v/>
      </c>
      <c r="S48" s="125" t="str">
        <f>IF(OR('Input Laying'!N49=0,'Input Laying'!N49="",'Input Laying'!AD49=""),"",('Input Laying'!AD49*1000/'Input Laying'!N49))</f>
        <v/>
      </c>
      <c r="T48" s="409" t="str">
        <f>IF(OR('Input Laying'!O49="",'Input Laying'!O49=0),"",'Input Laying'!AF49*1000/'Input Laying'!O49)</f>
        <v/>
      </c>
      <c r="U48" s="108" t="str">
        <f t="shared" si="3"/>
        <v/>
      </c>
      <c r="V48" s="127" t="str">
        <f>IF(OR(N48=0,N48=""),"",IF(OR('Input Laying'!AF49="",'Input Laying'!AF49=0),"",'Input Laying'!AF49/(N48*'Input Laying'!$G$6)))</f>
        <v/>
      </c>
      <c r="W48" s="107" t="str">
        <f>IF('Input Laying'!V49="","",IF('Input Laying'!V49=0,"",('Input Laying'!V49)/'Input Laying'!N49*100))</f>
        <v/>
      </c>
      <c r="X48" s="126" t="str">
        <f>IF('Input Laying'!V49=0,"",IF('Input Laying'!V49="","",'Input Laying'!W49/'Input Laying'!O49*100))</f>
        <v/>
      </c>
      <c r="Y48" s="128" t="str">
        <f>IF(OR('Input Laying'!AH49="",'Input Laying'!AH49=0),"",'Input Laying'!AH49)</f>
        <v/>
      </c>
      <c r="Z48" s="118">
        <f>IF(Std!D54=0,"",Std!D54)</f>
        <v>1923.4882312380375</v>
      </c>
    </row>
    <row r="49" spans="1:26" ht="15.75" customHeight="1" x14ac:dyDescent="0.2">
      <c r="A49" s="316">
        <f>IF('Input Laying'!A50="","",'Input Laying'!A50)</f>
        <v>357</v>
      </c>
      <c r="B49" s="321">
        <v>52</v>
      </c>
      <c r="C49" s="241" t="str">
        <f>IF(OR('Input Laying'!D50="",'Input Laying'!$G$6="",'Input Laying'!$G$6=0),"",'Input Laying'!D50/'Input Laying'!$G$6*100)</f>
        <v/>
      </c>
      <c r="D49" s="242" t="str">
        <f>IF('Input Laying'!E50="","",IF('Input Laying'!N50="","",'Input Laying'!N50/7/'Input Laying'!D50*100))</f>
        <v/>
      </c>
      <c r="E49" s="243">
        <f>IF(OR(Std!B55=0,Std!B55=""),"",Std!B55)</f>
        <v>91.33</v>
      </c>
      <c r="F49" s="244" t="str">
        <f>IF('Input Laying'!E50="","",IF('Input Laying'!N50="","",'Input Laying'!O50/'Input Laying'!$G$6))</f>
        <v/>
      </c>
      <c r="G49" s="245">
        <f>IF(OR(Std!G55=0,Std!G55=""),"",Std!G55)</f>
        <v>204.20094658687728</v>
      </c>
      <c r="H49" s="244" t="str">
        <f>IF('Input Laying'!X50="","",'Input Laying'!X50)</f>
        <v/>
      </c>
      <c r="I49" s="243">
        <f>IF(Std!C55=0,"",Std!C55)</f>
        <v>63.65</v>
      </c>
      <c r="J49" s="244" t="str">
        <f t="shared" si="2"/>
        <v/>
      </c>
      <c r="K49" s="243">
        <f>'Graph values'!AX42/'Graph values'!AU42*1000</f>
        <v>61.571984385714629</v>
      </c>
      <c r="L49" s="246" t="str">
        <f>IF('Input Laying'!N50="","",IF('Input Laying'!N50=0,"",IF('Production data'!H49="","",H49*D49/100)))</f>
        <v/>
      </c>
      <c r="M49" s="247">
        <f>ROUND(IF(Std!E55=0,"",Std!E55),2)</f>
        <v>58.13</v>
      </c>
      <c r="N49" s="248">
        <f>IF('Input Laying'!X50=0,0,('Input Laying'!N50*'Production data'!H49)/'Input Laying'!$G$6/1000+N48)</f>
        <v>0</v>
      </c>
      <c r="O49" s="249">
        <f>IF(Std!F55=0,"",Std!F55)</f>
        <v>12.568621755643989</v>
      </c>
      <c r="P49" s="413" t="str">
        <f>IF('Input Laying'!AD50="","",((('Input Laying'!AE49+'Input Laying'!AD50-'Input Laying'!AE50)/'Input Laying'!D50))/7*1000)</f>
        <v/>
      </c>
      <c r="Q49" s="413" t="str">
        <f>'Input Laying'!AA50</f>
        <v/>
      </c>
      <c r="R49" s="241" t="str">
        <f>'Input Laying'!AB50</f>
        <v/>
      </c>
      <c r="S49" s="250" t="str">
        <f>IF(OR('Input Laying'!N50=0,'Input Laying'!N50="",'Input Laying'!AD50=""),"",('Input Laying'!AD50*1000/'Input Laying'!N50))</f>
        <v/>
      </c>
      <c r="T49" s="408" t="str">
        <f>IF(OR('Input Laying'!O50="",'Input Laying'!O50=0),"",'Input Laying'!AF50*1000/'Input Laying'!O50)</f>
        <v/>
      </c>
      <c r="U49" s="246" t="str">
        <f t="shared" si="3"/>
        <v/>
      </c>
      <c r="V49" s="252" t="str">
        <f>IF(OR(N49=0,N49=""),"",IF(OR('Input Laying'!AF50="",'Input Laying'!AF50=0),"",'Input Laying'!AF50/(N49*'Input Laying'!$G$6)))</f>
        <v/>
      </c>
      <c r="W49" s="244" t="str">
        <f>IF('Input Laying'!V50="","",IF('Input Laying'!V50=0,"",('Input Laying'!V50)/'Input Laying'!N50*100))</f>
        <v/>
      </c>
      <c r="X49" s="251" t="str">
        <f>IF('Input Laying'!V50=0,"",IF('Input Laying'!V50="","",'Input Laying'!W50/'Input Laying'!O50*100))</f>
        <v/>
      </c>
      <c r="Y49" s="253" t="str">
        <f>IF(OR('Input Laying'!AH50="",'Input Laying'!AH50=0),"",'Input Laying'!AH50)</f>
        <v/>
      </c>
      <c r="Z49" s="254">
        <f>IF(Std!D55=0,"",Std!D55)</f>
        <v>1926.3695591848195</v>
      </c>
    </row>
    <row r="50" spans="1:26" ht="15.75" customHeight="1" x14ac:dyDescent="0.2">
      <c r="A50" s="317">
        <f>IF('Input Laying'!A51="","",'Input Laying'!A51)</f>
        <v>364</v>
      </c>
      <c r="B50" s="322">
        <v>53</v>
      </c>
      <c r="C50" s="112" t="str">
        <f>IF(OR('Input Laying'!D51="",'Input Laying'!$G$6="",'Input Laying'!$G$6=0),"",'Input Laying'!D51/'Input Laying'!$G$6*100)</f>
        <v/>
      </c>
      <c r="D50" s="119" t="str">
        <f>IF('Input Laying'!E51="","",IF('Input Laying'!N51="","",'Input Laying'!N51/7/'Input Laying'!D51*100))</f>
        <v/>
      </c>
      <c r="E50" s="120">
        <f>IF(OR(Std!B56=0,Std!B56=""),"",Std!B56)</f>
        <v>91.019934805801839</v>
      </c>
      <c r="F50" s="107" t="str">
        <f>IF('Input Laying'!E51="","",IF('Input Laying'!N51="","",'Input Laying'!O51/'Input Laying'!$G$6))</f>
        <v/>
      </c>
      <c r="G50" s="121">
        <f>IF(OR(Std!G56=0,Std!G56=""),"",Std!G56)</f>
        <v>210.35214659700119</v>
      </c>
      <c r="H50" s="107" t="str">
        <f>IF('Input Laying'!X51="","",'Input Laying'!X51)</f>
        <v/>
      </c>
      <c r="I50" s="120">
        <f>IF(Std!C56=0,"",Std!C56)</f>
        <v>63.66</v>
      </c>
      <c r="J50" s="107" t="str">
        <f t="shared" si="2"/>
        <v/>
      </c>
      <c r="K50" s="120">
        <f>'Graph values'!AX43/'Graph values'!AU43*1000</f>
        <v>61.634008839976531</v>
      </c>
      <c r="L50" s="108" t="str">
        <f>IF('Input Laying'!N51="","",IF('Input Laying'!N51=0,"",IF('Production data'!H50="","",H50*D50/100)))</f>
        <v/>
      </c>
      <c r="M50" s="122">
        <f>ROUND(IF(Std!E56=0,"",Std!E56),2)</f>
        <v>57.94</v>
      </c>
      <c r="N50" s="123">
        <f>IF('Input Laying'!X51=0,0,('Input Laying'!N51*'Production data'!H50)/'Input Laying'!$G$6/1000+N49)</f>
        <v>0</v>
      </c>
      <c r="O50" s="124">
        <f>IF(Std!F56=0,"",Std!F56)</f>
        <v>12.960207148288477</v>
      </c>
      <c r="P50" s="411" t="str">
        <f>IF('Input Laying'!AD51="","",((('Input Laying'!AE50+'Input Laying'!AD51-'Input Laying'!AE51)/'Input Laying'!D51))/7*1000)</f>
        <v/>
      </c>
      <c r="Q50" s="411" t="str">
        <f>'Input Laying'!AA51</f>
        <v/>
      </c>
      <c r="R50" s="112" t="str">
        <f>'Input Laying'!AB51</f>
        <v/>
      </c>
      <c r="S50" s="125" t="str">
        <f>IF(OR('Input Laying'!N51=0,'Input Laying'!N51="",'Input Laying'!AD51=""),"",('Input Laying'!AD51*1000/'Input Laying'!N51))</f>
        <v/>
      </c>
      <c r="T50" s="409" t="str">
        <f>IF(OR('Input Laying'!O51="",'Input Laying'!O51=0),"",'Input Laying'!AF51*1000/'Input Laying'!O51)</f>
        <v/>
      </c>
      <c r="U50" s="108" t="str">
        <f t="shared" si="3"/>
        <v/>
      </c>
      <c r="V50" s="127" t="str">
        <f>IF(OR(N50=0,N50=""),"",IF(OR('Input Laying'!AF51="",'Input Laying'!AF51=0),"",'Input Laying'!AF51/(N50*'Input Laying'!$G$6)))</f>
        <v/>
      </c>
      <c r="W50" s="107" t="str">
        <f>IF('Input Laying'!V51="","",IF('Input Laying'!V51=0,"",('Input Laying'!V51)/'Input Laying'!N51*100))</f>
        <v/>
      </c>
      <c r="X50" s="126" t="str">
        <f>IF('Input Laying'!V51=0,"",IF('Input Laying'!V51="","",'Input Laying'!W51/'Input Laying'!O51*100))</f>
        <v/>
      </c>
      <c r="Y50" s="128" t="str">
        <f>IF(OR('Input Laying'!AH51="",'Input Laying'!AH51=0),"",'Input Laying'!AH51)</f>
        <v/>
      </c>
      <c r="Z50" s="118">
        <f>IF(Std!D56=0,"",Std!D56)</f>
        <v>1929.1120941736554</v>
      </c>
    </row>
    <row r="51" spans="1:26" ht="15.75" customHeight="1" x14ac:dyDescent="0.2">
      <c r="A51" s="316">
        <f>IF('Input Laying'!A52="","",'Input Laying'!A52)</f>
        <v>371</v>
      </c>
      <c r="B51" s="321">
        <v>54</v>
      </c>
      <c r="C51" s="241" t="str">
        <f>IF(OR('Input Laying'!D52="",'Input Laying'!$G$6="",'Input Laying'!$G$6=0),"",'Input Laying'!D52/'Input Laying'!$G$6*100)</f>
        <v/>
      </c>
      <c r="D51" s="242" t="str">
        <f>IF('Input Laying'!E52="","",IF('Input Laying'!N52="","",'Input Laying'!N52/7/'Input Laying'!D52*100))</f>
        <v/>
      </c>
      <c r="E51" s="243">
        <f>IF(OR(Std!B57=0,Std!B57=""),"",Std!B57)</f>
        <v>90.697063234176312</v>
      </c>
      <c r="F51" s="244" t="str">
        <f>IF('Input Laying'!E52="","",IF('Input Laying'!N52="","",'Input Laying'!O52/'Input Laying'!$G$6))</f>
        <v/>
      </c>
      <c r="G51" s="245">
        <f>IF(OR(Std!G57=0,Std!G57=""),"",Std!G57)</f>
        <v>216.47543184536806</v>
      </c>
      <c r="H51" s="244" t="str">
        <f>IF('Input Laying'!X52="","",'Input Laying'!X52)</f>
        <v/>
      </c>
      <c r="I51" s="243">
        <f>IF(Std!C57=0,"",Std!C57)</f>
        <v>63.64</v>
      </c>
      <c r="J51" s="244" t="str">
        <f t="shared" si="2"/>
        <v/>
      </c>
      <c r="K51" s="243">
        <f>'Graph values'!AX44/'Graph values'!AU44*1000</f>
        <v>61.691678389903608</v>
      </c>
      <c r="L51" s="246" t="str">
        <f>IF('Input Laying'!N52="","",IF('Input Laying'!N52=0,"",IF('Production data'!H51="","",H51*D51/100)))</f>
        <v/>
      </c>
      <c r="M51" s="247">
        <f>ROUND(IF(Std!E57=0,"",Std!E57),2)</f>
        <v>57.72</v>
      </c>
      <c r="N51" s="248">
        <f>IF('Input Laying'!X52=0,0,('Input Laying'!N52*'Production data'!H51)/'Input Laying'!$G$6/1000+N50)</f>
        <v>0</v>
      </c>
      <c r="O51" s="249">
        <f>IF(Std!F57=0,"",Std!F57)</f>
        <v>13.349893021494545</v>
      </c>
      <c r="P51" s="413" t="str">
        <f>IF('Input Laying'!AD52="","",((('Input Laying'!AE51+'Input Laying'!AD52-'Input Laying'!AE52)/'Input Laying'!D52))/7*1000)</f>
        <v/>
      </c>
      <c r="Q51" s="413" t="str">
        <f>'Input Laying'!AA52</f>
        <v/>
      </c>
      <c r="R51" s="241" t="str">
        <f>'Input Laying'!AB52</f>
        <v/>
      </c>
      <c r="S51" s="250" t="str">
        <f>IF(OR('Input Laying'!N52=0,'Input Laying'!N52="",'Input Laying'!AD52=""),"",('Input Laying'!AD52*1000/'Input Laying'!N52))</f>
        <v/>
      </c>
      <c r="T51" s="408" t="str">
        <f>IF(OR('Input Laying'!O52="",'Input Laying'!O52=0),"",'Input Laying'!AF52*1000/'Input Laying'!O52)</f>
        <v/>
      </c>
      <c r="U51" s="246" t="str">
        <f t="shared" si="3"/>
        <v/>
      </c>
      <c r="V51" s="252" t="str">
        <f>IF(OR(N51=0,N51=""),"",IF(OR('Input Laying'!AF52="",'Input Laying'!AF52=0),"",'Input Laying'!AF52/(N51*'Input Laying'!$G$6)))</f>
        <v/>
      </c>
      <c r="W51" s="244" t="str">
        <f>IF('Input Laying'!V52="","",IF('Input Laying'!V52=0,"",('Input Laying'!V52)/'Input Laying'!N52*100))</f>
        <v/>
      </c>
      <c r="X51" s="251" t="str">
        <f>IF('Input Laying'!V52=0,"",IF('Input Laying'!V52="","",'Input Laying'!W52/'Input Laying'!O52*100))</f>
        <v/>
      </c>
      <c r="Y51" s="253" t="str">
        <f>IF(OR('Input Laying'!AH52="",'Input Laying'!AH52=0),"",'Input Laying'!AH52)</f>
        <v/>
      </c>
      <c r="Z51" s="254">
        <f>IF(Std!D57=0,"",Std!D57)</f>
        <v>1931.7198841992767</v>
      </c>
    </row>
    <row r="52" spans="1:26" ht="15.75" customHeight="1" x14ac:dyDescent="0.2">
      <c r="A52" s="317">
        <f>IF('Input Laying'!A53="","",'Input Laying'!A53)</f>
        <v>378</v>
      </c>
      <c r="B52" s="322">
        <v>55</v>
      </c>
      <c r="C52" s="112" t="str">
        <f>IF(OR('Input Laying'!D53="",'Input Laying'!$G$6="",'Input Laying'!$G$6=0),"",'Input Laying'!D53/'Input Laying'!$G$6*100)</f>
        <v/>
      </c>
      <c r="D52" s="119" t="str">
        <f>IF('Input Laying'!E53="","",IF('Input Laying'!N53="","",'Input Laying'!N53/7/'Input Laying'!D53*100))</f>
        <v/>
      </c>
      <c r="E52" s="120">
        <f>IF(OR(Std!B58=0,Std!B58=""),"",Std!B58)</f>
        <v>90.356178521997279</v>
      </c>
      <c r="F52" s="107" t="str">
        <f>IF('Input Laying'!E53="","",IF('Input Laying'!N53="","",'Input Laying'!O53/'Input Laying'!$G$6))</f>
        <v/>
      </c>
      <c r="G52" s="121">
        <f>IF(OR(Std!G58=0,Std!G58=""),"",Std!G58)</f>
        <v>222.5696308044341</v>
      </c>
      <c r="H52" s="107" t="str">
        <f>IF('Input Laying'!X53="","",'Input Laying'!X53)</f>
        <v/>
      </c>
      <c r="I52" s="120">
        <f>IF(Std!C58=0,"",Std!C58)</f>
        <v>63.655254871975345</v>
      </c>
      <c r="J52" s="107" t="str">
        <f t="shared" si="2"/>
        <v/>
      </c>
      <c r="K52" s="120">
        <f>'Graph values'!AX45/'Graph values'!AU45*1000</f>
        <v>61.746350562874092</v>
      </c>
      <c r="L52" s="108" t="str">
        <f>IF('Input Laying'!N53="","",IF('Input Laying'!N53=0,"",IF('Production data'!H52="","",H52*D52/100)))</f>
        <v/>
      </c>
      <c r="M52" s="122">
        <f>ROUND(IF(Std!E58=0,"",Std!E58),2)</f>
        <v>57.52</v>
      </c>
      <c r="N52" s="123">
        <f>IF('Input Laying'!X53=0,0,('Input Laying'!N53*'Production data'!H52)/'Input Laying'!$G$6/1000+N51)</f>
        <v>0</v>
      </c>
      <c r="O52" s="124">
        <f>IF(Std!F58=0,"",Std!F58)</f>
        <v>13.737820809474419</v>
      </c>
      <c r="P52" s="411" t="str">
        <f>IF('Input Laying'!AD53="","",((('Input Laying'!AE52+'Input Laying'!AD53-'Input Laying'!AE53)/'Input Laying'!D53))/7*1000)</f>
        <v/>
      </c>
      <c r="Q52" s="411" t="str">
        <f>'Input Laying'!AA53</f>
        <v/>
      </c>
      <c r="R52" s="112" t="str">
        <f>'Input Laying'!AB53</f>
        <v/>
      </c>
      <c r="S52" s="125" t="str">
        <f>IF(OR('Input Laying'!N53=0,'Input Laying'!N53="",'Input Laying'!AD53=""),"",('Input Laying'!AD53*1000/'Input Laying'!N53))</f>
        <v/>
      </c>
      <c r="T52" s="409" t="str">
        <f>IF(OR('Input Laying'!O53="",'Input Laying'!O53=0),"",'Input Laying'!AF53*1000/'Input Laying'!O53)</f>
        <v/>
      </c>
      <c r="U52" s="108" t="str">
        <f t="shared" si="3"/>
        <v/>
      </c>
      <c r="V52" s="127" t="str">
        <f>IF(OR(N52=0,N52=""),"",IF(OR('Input Laying'!AF53="",'Input Laying'!AF53=0),"",'Input Laying'!AF53/(N52*'Input Laying'!$G$6)))</f>
        <v/>
      </c>
      <c r="W52" s="107" t="str">
        <f>IF('Input Laying'!V53="","",IF('Input Laying'!V53=0,"",('Input Laying'!V53)/'Input Laying'!N53*100))</f>
        <v/>
      </c>
      <c r="X52" s="126" t="str">
        <f>IF('Input Laying'!V53=0,"",IF('Input Laying'!V53="","",'Input Laying'!W53/'Input Laying'!O53*100))</f>
        <v/>
      </c>
      <c r="Y52" s="128" t="str">
        <f>IF(OR('Input Laying'!AH53="",'Input Laying'!AH53=0),"",'Input Laying'!AH53)</f>
        <v/>
      </c>
      <c r="Z52" s="118">
        <f>IF(Std!D58=0,"",Std!D58)</f>
        <v>1934.1969731404404</v>
      </c>
    </row>
    <row r="53" spans="1:26" ht="15.75" customHeight="1" x14ac:dyDescent="0.2">
      <c r="A53" s="316">
        <f>IF('Input Laying'!A54="","",'Input Laying'!A54)</f>
        <v>385</v>
      </c>
      <c r="B53" s="321">
        <v>56</v>
      </c>
      <c r="C53" s="241" t="str">
        <f>IF(OR('Input Laying'!D54="",'Input Laying'!$G$6="",'Input Laying'!$G$6=0),"",'Input Laying'!D54/'Input Laying'!$G$6*100)</f>
        <v/>
      </c>
      <c r="D53" s="242" t="str">
        <f>IF('Input Laying'!E54="","",IF('Input Laying'!N54="","",'Input Laying'!N54/7/'Input Laying'!D54*100))</f>
        <v/>
      </c>
      <c r="E53" s="243">
        <f>IF(OR(Std!B59=0,Std!B59=""),"",Std!B59)</f>
        <v>89.998605852268298</v>
      </c>
      <c r="F53" s="244" t="str">
        <f>IF('Input Laying'!E54="","",IF('Input Laying'!N54="","",'Input Laying'!O54/'Input Laying'!$G$6))</f>
        <v/>
      </c>
      <c r="G53" s="245">
        <f>IF(OR(Std!G59=0,Std!G59=""),"",Std!G59)</f>
        <v>228.63366486787524</v>
      </c>
      <c r="H53" s="244" t="str">
        <f>IF('Input Laying'!X54="","",'Input Laying'!X54)</f>
        <v/>
      </c>
      <c r="I53" s="243">
        <f>IF(Std!C59=0,"",Std!C59)</f>
        <v>63.68611659004501</v>
      </c>
      <c r="J53" s="244" t="str">
        <f t="shared" si="2"/>
        <v/>
      </c>
      <c r="K53" s="243">
        <f>'Graph values'!AX46/'Graph values'!AU46*1000</f>
        <v>61.7986943931326</v>
      </c>
      <c r="L53" s="246" t="str">
        <f>IF('Input Laying'!N54="","",IF('Input Laying'!N54=0,"",IF('Production data'!H53="","",H53*D53/100)))</f>
        <v/>
      </c>
      <c r="M53" s="247">
        <f>ROUND(IF(Std!E59=0,"",Std!E59),2)</f>
        <v>57.32</v>
      </c>
      <c r="N53" s="248">
        <f>IF('Input Laying'!X54=0,0,('Input Laying'!N54*'Production data'!H53)/'Input Laying'!$G$6/1000+N52)</f>
        <v>0</v>
      </c>
      <c r="O53" s="249">
        <f>IF(Std!F59=0,"",Std!F59)</f>
        <v>14.124015589844737</v>
      </c>
      <c r="P53" s="413" t="str">
        <f>IF('Input Laying'!AD54="","",((('Input Laying'!AE53+'Input Laying'!AD54-'Input Laying'!AE54)/'Input Laying'!D54))/7*1000)</f>
        <v/>
      </c>
      <c r="Q53" s="413" t="str">
        <f>'Input Laying'!AA54</f>
        <v/>
      </c>
      <c r="R53" s="241" t="str">
        <f>'Input Laying'!AB54</f>
        <v/>
      </c>
      <c r="S53" s="250" t="str">
        <f>IF(OR('Input Laying'!N54=0,'Input Laying'!N54="",'Input Laying'!AD54=""),"",('Input Laying'!AD54*1000/'Input Laying'!N54))</f>
        <v/>
      </c>
      <c r="T53" s="408" t="str">
        <f>IF(OR('Input Laying'!O54="",'Input Laying'!O54=0),"",'Input Laying'!AF54*1000/'Input Laying'!O54)</f>
        <v/>
      </c>
      <c r="U53" s="246" t="str">
        <f t="shared" si="3"/>
        <v/>
      </c>
      <c r="V53" s="252" t="str">
        <f>IF(OR(N53=0,N53=""),"",IF(OR('Input Laying'!AF54="",'Input Laying'!AF54=0),"",'Input Laying'!AF54/(N53*'Input Laying'!$G$6)))</f>
        <v/>
      </c>
      <c r="W53" s="244" t="str">
        <f>IF('Input Laying'!V54="","",IF('Input Laying'!V54=0,"",('Input Laying'!V54)/'Input Laying'!N54*100))</f>
        <v/>
      </c>
      <c r="X53" s="251" t="str">
        <f>IF('Input Laying'!V54=0,"",IF('Input Laying'!V54="","",'Input Laying'!W54/'Input Laying'!O54*100))</f>
        <v/>
      </c>
      <c r="Y53" s="253" t="str">
        <f>IF(OR('Input Laying'!AH54="",'Input Laying'!AH54=0),"",'Input Laying'!AH54)</f>
        <v/>
      </c>
      <c r="Z53" s="254">
        <f>IF(Std!D59=0,"",Std!D59)</f>
        <v>1936.5474007599307</v>
      </c>
    </row>
    <row r="54" spans="1:26" ht="15.75" customHeight="1" x14ac:dyDescent="0.2">
      <c r="A54" s="317">
        <f>IF('Input Laying'!A55="","",'Input Laying'!A55)</f>
        <v>392</v>
      </c>
      <c r="B54" s="322">
        <v>57</v>
      </c>
      <c r="C54" s="112" t="str">
        <f>IF(OR('Input Laying'!D55="",'Input Laying'!$G$6="",'Input Laying'!$G$6=0),"",'Input Laying'!D55/'Input Laying'!$G$6*100)</f>
        <v/>
      </c>
      <c r="D54" s="119" t="str">
        <f>IF('Input Laying'!E55="","",IF('Input Laying'!N55="","",'Input Laying'!N55/7/'Input Laying'!D55*100))</f>
        <v/>
      </c>
      <c r="E54" s="120">
        <f>IF(OR(Std!B60=0,Std!B60=""),"",Std!B60)</f>
        <v>89.625624982248567</v>
      </c>
      <c r="F54" s="107" t="str">
        <f>IF('Input Laying'!E55="","",IF('Input Laying'!N55="","",'Input Laying'!O55/'Input Laying'!$G$6))</f>
        <v/>
      </c>
      <c r="G54" s="121">
        <f>IF(OR(Std!G60=0,Std!G60=""),"",Std!G60)</f>
        <v>234.66654493668034</v>
      </c>
      <c r="H54" s="107" t="str">
        <f>IF('Input Laying'!X55="","",'Input Laying'!X55)</f>
        <v/>
      </c>
      <c r="I54" s="120">
        <f>IF(Std!C60=0,"",Std!C60)</f>
        <v>63.716978308114676</v>
      </c>
      <c r="J54" s="107" t="str">
        <f t="shared" si="2"/>
        <v/>
      </c>
      <c r="K54" s="120">
        <f>'Graph values'!AX47/'Graph values'!AU47*1000</f>
        <v>61.848894981750995</v>
      </c>
      <c r="L54" s="108" t="str">
        <f>IF('Input Laying'!N55="","",IF('Input Laying'!N55=0,"",IF('Production data'!H54="","",H54*D54/100)))</f>
        <v/>
      </c>
      <c r="M54" s="122">
        <f>ROUND(IF(Std!E60=0,"",Std!E60),2)</f>
        <v>57.11</v>
      </c>
      <c r="N54" s="123">
        <f>IF('Input Laying'!X55=0,0,('Input Laying'!N55*'Production data'!H54)/'Input Laying'!$G$6/1000+N53)</f>
        <v>0</v>
      </c>
      <c r="O54" s="124">
        <f>IF(Std!F60=0,"",Std!F60)</f>
        <v>14.508412478324249</v>
      </c>
      <c r="P54" s="411" t="str">
        <f>IF('Input Laying'!AD55="","",((('Input Laying'!AE54+'Input Laying'!AD55-'Input Laying'!AE55)/'Input Laying'!D55))/7*1000)</f>
        <v/>
      </c>
      <c r="Q54" s="411" t="str">
        <f>'Input Laying'!AA55</f>
        <v/>
      </c>
      <c r="R54" s="112" t="str">
        <f>'Input Laying'!AB55</f>
        <v/>
      </c>
      <c r="S54" s="125" t="str">
        <f>IF(OR('Input Laying'!N55=0,'Input Laying'!N55="",'Input Laying'!AD55=""),"",('Input Laying'!AD55*1000/'Input Laying'!N55))</f>
        <v/>
      </c>
      <c r="T54" s="409" t="str">
        <f>IF(OR('Input Laying'!O55="",'Input Laying'!O55=0),"",'Input Laying'!AF55*1000/'Input Laying'!O55)</f>
        <v/>
      </c>
      <c r="U54" s="108" t="str">
        <f t="shared" si="3"/>
        <v/>
      </c>
      <c r="V54" s="127" t="str">
        <f>IF(OR(N54=0,N54=""),"",IF(OR('Input Laying'!AF55="",'Input Laying'!AF55=0),"",'Input Laying'!AF55/(N54*'Input Laying'!$G$6)))</f>
        <v/>
      </c>
      <c r="W54" s="107" t="str">
        <f>IF('Input Laying'!V55="","",IF('Input Laying'!V55=0,"",('Input Laying'!V55)/'Input Laying'!N55*100))</f>
        <v/>
      </c>
      <c r="X54" s="126" t="str">
        <f>IF('Input Laying'!V55=0,"",IF('Input Laying'!V55="","",'Input Laying'!W55/'Input Laying'!O55*100))</f>
        <v/>
      </c>
      <c r="Y54" s="128" t="str">
        <f>IF(OR('Input Laying'!AH55="",'Input Laying'!AH55=0),"",'Input Laying'!AH55)</f>
        <v/>
      </c>
      <c r="Z54" s="118">
        <f>IF(Std!D60=0,"",Std!D60)</f>
        <v>1938.775202704559</v>
      </c>
    </row>
    <row r="55" spans="1:26" ht="15.75" customHeight="1" x14ac:dyDescent="0.2">
      <c r="A55" s="316">
        <f>IF('Input Laying'!A56="","",'Input Laying'!A56)</f>
        <v>399</v>
      </c>
      <c r="B55" s="321">
        <v>58</v>
      </c>
      <c r="C55" s="241" t="str">
        <f>IF(OR('Input Laying'!D56="",'Input Laying'!$G$6="",'Input Laying'!$G$6=0),"",'Input Laying'!D56/'Input Laying'!$G$6*100)</f>
        <v/>
      </c>
      <c r="D55" s="242" t="str">
        <f>IF('Input Laying'!E56="","",IF('Input Laying'!N56="","",'Input Laying'!N56/7/'Input Laying'!D56*100))</f>
        <v/>
      </c>
      <c r="E55" s="243">
        <f>IF(OR(Std!B61=0,Std!B61=""),"",Std!B61)</f>
        <v>89.23847024345315</v>
      </c>
      <c r="F55" s="244" t="str">
        <f>IF('Input Laying'!E56="","",IF('Input Laying'!N56="","",'Input Laying'!O56/'Input Laying'!$G$6))</f>
        <v/>
      </c>
      <c r="G55" s="245">
        <f>IF(OR(Std!G61=0,Std!G61=""),"",Std!G61)</f>
        <v>240.6673680205073</v>
      </c>
      <c r="H55" s="244" t="str">
        <f>IF('Input Laying'!X56="","",'Input Laying'!X56)</f>
        <v/>
      </c>
      <c r="I55" s="243">
        <f>IF(Std!C61=0,"",Std!C61)</f>
        <v>63.747840026184335</v>
      </c>
      <c r="J55" s="244" t="str">
        <f t="shared" si="2"/>
        <v/>
      </c>
      <c r="K55" s="243">
        <f>'Graph values'!AX48/'Graph values'!AU48*1000</f>
        <v>61.897118286618507</v>
      </c>
      <c r="L55" s="246" t="str">
        <f>IF('Input Laying'!N56="","",IF('Input Laying'!N56=0,"",IF('Production data'!H55="","",H55*D55/100)))</f>
        <v/>
      </c>
      <c r="M55" s="247">
        <f>ROUND(IF(Std!E61=0,"",Std!E61),2)</f>
        <v>56.89</v>
      </c>
      <c r="N55" s="248">
        <f>IF('Input Laying'!X56=0,0,('Input Laying'!N56*'Production data'!H55)/'Input Laying'!$G$6/1000+N54)</f>
        <v>0</v>
      </c>
      <c r="O55" s="249">
        <f>IF(Std!F61=0,"",Std!F61)</f>
        <v>14.890951988297484</v>
      </c>
      <c r="P55" s="413" t="str">
        <f>IF('Input Laying'!AD56="","",((('Input Laying'!AE55+'Input Laying'!AD56-'Input Laying'!AE56)/'Input Laying'!D56))/7*1000)</f>
        <v/>
      </c>
      <c r="Q55" s="413" t="str">
        <f>'Input Laying'!AA56</f>
        <v/>
      </c>
      <c r="R55" s="241" t="str">
        <f>'Input Laying'!AB56</f>
        <v/>
      </c>
      <c r="S55" s="250" t="str">
        <f>IF(OR('Input Laying'!N56=0,'Input Laying'!N56="",'Input Laying'!AD56=""),"",('Input Laying'!AD56*1000/'Input Laying'!N56))</f>
        <v/>
      </c>
      <c r="T55" s="408" t="str">
        <f>IF(OR('Input Laying'!O56="",'Input Laying'!O56=0),"",'Input Laying'!AF56*1000/'Input Laying'!O56)</f>
        <v/>
      </c>
      <c r="U55" s="246" t="str">
        <f t="shared" si="3"/>
        <v/>
      </c>
      <c r="V55" s="252" t="str">
        <f>IF(OR(N55=0,N55=""),"",IF(OR('Input Laying'!AF56="",'Input Laying'!AF56=0),"",'Input Laying'!AF56/(N55*'Input Laying'!$G$6)))</f>
        <v/>
      </c>
      <c r="W55" s="244" t="str">
        <f>IF('Input Laying'!V56="","",IF('Input Laying'!V56=0,"",('Input Laying'!V56)/'Input Laying'!N56*100))</f>
        <v/>
      </c>
      <c r="X55" s="251" t="str">
        <f>IF('Input Laying'!V56=0,"",IF('Input Laying'!V56="","",'Input Laying'!W56/'Input Laying'!O56*100))</f>
        <v/>
      </c>
      <c r="Y55" s="253" t="str">
        <f>IF(OR('Input Laying'!AH56="",'Input Laying'!AH56=0),"",'Input Laying'!AH56)</f>
        <v/>
      </c>
      <c r="Z55" s="254">
        <f>IF(Std!D61=0,"",Std!D61)</f>
        <v>1940.8844105051628</v>
      </c>
    </row>
    <row r="56" spans="1:26" ht="15.75" customHeight="1" x14ac:dyDescent="0.2">
      <c r="A56" s="317">
        <f>IF('Input Laying'!A57="","",'Input Laying'!A57)</f>
        <v>406</v>
      </c>
      <c r="B56" s="322">
        <v>59</v>
      </c>
      <c r="C56" s="112" t="str">
        <f>IF(OR('Input Laying'!D57="",'Input Laying'!$G$6="",'Input Laying'!$G$6=0),"",'Input Laying'!D57/'Input Laying'!$G$6*100)</f>
        <v/>
      </c>
      <c r="D56" s="119" t="str">
        <f>IF('Input Laying'!E57="","",IF('Input Laying'!N57="","",'Input Laying'!N57/7/'Input Laying'!D57*100))</f>
        <v/>
      </c>
      <c r="E56" s="120">
        <f>IF(OR(Std!B62=0,Std!B62=""),"",Std!B62)</f>
        <v>88.838330541652724</v>
      </c>
      <c r="F56" s="107" t="str">
        <f>IF('Input Laying'!E57="","",IF('Input Laying'!N57="","",'Input Laying'!O57/'Input Laying'!$G$6))</f>
        <v/>
      </c>
      <c r="G56" s="121">
        <f>IF(OR(Std!G62=0,Std!G62=""),"",Std!G62)</f>
        <v>246.63531385430221</v>
      </c>
      <c r="H56" s="107" t="str">
        <f>IF('Input Laying'!X57="","",'Input Laying'!X57)</f>
        <v/>
      </c>
      <c r="I56" s="120">
        <f>IF(Std!C62=0,"",Std!C62)</f>
        <v>63.778701744254001</v>
      </c>
      <c r="J56" s="107" t="str">
        <f t="shared" si="2"/>
        <v/>
      </c>
      <c r="K56" s="120">
        <f>'Graph values'!AX49/'Graph values'!AU49*1000</f>
        <v>61.943513529995442</v>
      </c>
      <c r="L56" s="108" t="str">
        <f>IF('Input Laying'!N57="","",IF('Input Laying'!N57=0,"",IF('Production data'!H56="","",H56*D56/100)))</f>
        <v/>
      </c>
      <c r="M56" s="122">
        <f>ROUND(IF(Std!E62=0,"",Std!E62),2)</f>
        <v>56.66</v>
      </c>
      <c r="N56" s="123">
        <f>IF('Input Laying'!X57=0,0,('Input Laying'!N57*'Production data'!H56)/'Input Laying'!$G$6/1000+N55)</f>
        <v>0</v>
      </c>
      <c r="O56" s="124">
        <f>IF(Std!F62=0,"",Std!F62)</f>
        <v>15.271579825656953</v>
      </c>
      <c r="P56" s="411" t="str">
        <f>IF('Input Laying'!AD57="","",((('Input Laying'!AE56+'Input Laying'!AD57-'Input Laying'!AE57)/'Input Laying'!D57))/7*1000)</f>
        <v/>
      </c>
      <c r="Q56" s="411" t="str">
        <f>'Input Laying'!AA57</f>
        <v/>
      </c>
      <c r="R56" s="112" t="str">
        <f>'Input Laying'!AB57</f>
        <v/>
      </c>
      <c r="S56" s="125" t="str">
        <f>IF(OR('Input Laying'!N57=0,'Input Laying'!N57="",'Input Laying'!AD57=""),"",('Input Laying'!AD57*1000/'Input Laying'!N57))</f>
        <v/>
      </c>
      <c r="T56" s="409" t="str">
        <f>IF(OR('Input Laying'!O57="",'Input Laying'!O57=0),"",'Input Laying'!AF57*1000/'Input Laying'!O57)</f>
        <v/>
      </c>
      <c r="U56" s="108" t="str">
        <f t="shared" si="3"/>
        <v/>
      </c>
      <c r="V56" s="127" t="str">
        <f>IF(OR(N56=0,N56=""),"",IF(OR('Input Laying'!AF57="",'Input Laying'!AF57=0),"",'Input Laying'!AF57/(N56*'Input Laying'!$G$6)))</f>
        <v/>
      </c>
      <c r="W56" s="107" t="str">
        <f>IF('Input Laying'!V57="","",IF('Input Laying'!V57=0,"",('Input Laying'!V57)/'Input Laying'!N57*100))</f>
        <v/>
      </c>
      <c r="X56" s="126" t="str">
        <f>IF('Input Laying'!V57=0,"",IF('Input Laying'!V57="","",'Input Laying'!W57/'Input Laying'!O57*100))</f>
        <v/>
      </c>
      <c r="Y56" s="128" t="str">
        <f>IF(OR('Input Laying'!AH57="",'Input Laying'!AH57=0),"",'Input Laying'!AH57)</f>
        <v/>
      </c>
      <c r="Z56" s="118">
        <f>IF(Std!D62=0,"",Std!D62)</f>
        <v>1942.8790515766059</v>
      </c>
    </row>
    <row r="57" spans="1:26" ht="15.75" customHeight="1" x14ac:dyDescent="0.2">
      <c r="A57" s="316">
        <f>IF('Input Laying'!A58="","",'Input Laying'!A58)</f>
        <v>413</v>
      </c>
      <c r="B57" s="321">
        <v>60</v>
      </c>
      <c r="C57" s="241" t="str">
        <f>IF(OR('Input Laying'!D58="",'Input Laying'!$G$6="",'Input Laying'!$G$6=0),"",'Input Laying'!D58/'Input Laying'!$G$6*100)</f>
        <v/>
      </c>
      <c r="D57" s="242" t="str">
        <f>IF('Input Laying'!E58="","",IF('Input Laying'!N58="","",'Input Laying'!N58/7/'Input Laying'!D58*100))</f>
        <v/>
      </c>
      <c r="E57" s="243">
        <f>IF(OR(Std!B63=0,Std!B63=""),"",Std!B63)</f>
        <v>88.426349356873871</v>
      </c>
      <c r="F57" s="244" t="str">
        <f>IF('Input Laying'!E58="","",IF('Input Laying'!N58="","",'Input Laying'!O58/'Input Laying'!$G$6))</f>
        <v/>
      </c>
      <c r="G57" s="245">
        <f>IF(OR(Std!G63=0,Std!G63=""),"",Std!G63)</f>
        <v>252.56964153018174</v>
      </c>
      <c r="H57" s="244" t="str">
        <f>IF('Input Laying'!X58="","",'Input Laying'!X58)</f>
        <v/>
      </c>
      <c r="I57" s="243">
        <f>IF(Std!C63=0,"",Std!C63)</f>
        <v>63.809563462323666</v>
      </c>
      <c r="J57" s="244" t="str">
        <f t="shared" si="2"/>
        <v/>
      </c>
      <c r="K57" s="243">
        <f>'Graph values'!AX50/'Graph values'!AU50*1000</f>
        <v>61.988215252810107</v>
      </c>
      <c r="L57" s="246" t="str">
        <f>IF('Input Laying'!N58="","",IF('Input Laying'!N58=0,"",IF('Production data'!H57="","",H57*D57/100)))</f>
        <v/>
      </c>
      <c r="M57" s="247">
        <f>ROUND(IF(Std!E63=0,"",Std!E63),2)</f>
        <v>56.42</v>
      </c>
      <c r="N57" s="248">
        <f>IF('Input Laying'!X58=0,0,('Input Laying'!N58*'Production data'!H57)/'Input Laying'!$G$6/1000+N56)</f>
        <v>0</v>
      </c>
      <c r="O57" s="249">
        <f>IF(Std!F63=0,"",Std!F63)</f>
        <v>15.650246684097212</v>
      </c>
      <c r="P57" s="413" t="str">
        <f>IF('Input Laying'!AD58="","",((('Input Laying'!AE57+'Input Laying'!AD58-'Input Laying'!AE58)/'Input Laying'!D58))/7*1000)</f>
        <v/>
      </c>
      <c r="Q57" s="413" t="str">
        <f>'Input Laying'!AA58</f>
        <v/>
      </c>
      <c r="R57" s="241" t="str">
        <f>'Input Laying'!AB58</f>
        <v/>
      </c>
      <c r="S57" s="250" t="str">
        <f>IF(OR('Input Laying'!N58=0,'Input Laying'!N58="",'Input Laying'!AD58=""),"",('Input Laying'!AD58*1000/'Input Laying'!N58))</f>
        <v/>
      </c>
      <c r="T57" s="408" t="str">
        <f>IF(OR('Input Laying'!O58="",'Input Laying'!O58=0),"",'Input Laying'!AF58*1000/'Input Laying'!O58)</f>
        <v/>
      </c>
      <c r="U57" s="246" t="str">
        <f t="shared" si="3"/>
        <v/>
      </c>
      <c r="V57" s="252" t="str">
        <f>IF(OR(N57=0,N57=""),"",IF(OR('Input Laying'!AF58="",'Input Laying'!AF58=0),"",'Input Laying'!AF58/(N57*'Input Laying'!$G$6)))</f>
        <v/>
      </c>
      <c r="W57" s="244" t="str">
        <f>IF('Input Laying'!V58="","",IF('Input Laying'!V58=0,"",('Input Laying'!V58)/'Input Laying'!N58*100))</f>
        <v/>
      </c>
      <c r="X57" s="251" t="str">
        <f>IF('Input Laying'!V58=0,"",IF('Input Laying'!V58="","",'Input Laying'!W58/'Input Laying'!O58*100))</f>
        <v/>
      </c>
      <c r="Y57" s="253" t="str">
        <f>IF(OR('Input Laying'!AH58="",'Input Laying'!AH58=0),"",'Input Laying'!AH58)</f>
        <v/>
      </c>
      <c r="Z57" s="254">
        <f>IF(Std!D63=0,"",Std!D63)</f>
        <v>1944.7631492177793</v>
      </c>
    </row>
    <row r="58" spans="1:26" ht="15.75" customHeight="1" x14ac:dyDescent="0.2">
      <c r="A58" s="317">
        <f>IF('Input Laying'!A59="","",'Input Laying'!A59)</f>
        <v>420</v>
      </c>
      <c r="B58" s="322">
        <v>61</v>
      </c>
      <c r="C58" s="112" t="str">
        <f>IF(OR('Input Laying'!D59="",'Input Laying'!$G$6="",'Input Laying'!$G$6=0),"",'Input Laying'!D59/'Input Laying'!$G$6*100)</f>
        <v/>
      </c>
      <c r="D58" s="119" t="str">
        <f>IF('Input Laying'!E59="","",IF('Input Laying'!N59="","",'Input Laying'!N59/7/'Input Laying'!D59*100))</f>
        <v/>
      </c>
      <c r="E58" s="120">
        <f>IF(OR(Std!B64=0,Std!B64=""),"",Std!B64)</f>
        <v>88.003624743398731</v>
      </c>
      <c r="F58" s="107" t="str">
        <f>IF('Input Laying'!E59="","",IF('Input Laying'!N59="","",'Input Laying'!O59/'Input Laying'!$G$6))</f>
        <v/>
      </c>
      <c r="G58" s="121">
        <f>IF(OR(Std!G64=0,Std!G64=""),"",Std!G64)</f>
        <v>258.46968614457836</v>
      </c>
      <c r="H58" s="107" t="str">
        <f>IF('Input Laying'!X59="","",'Input Laying'!X59)</f>
        <v/>
      </c>
      <c r="I58" s="120">
        <f>IF(Std!C64=0,"",Std!C64)</f>
        <v>63.840425180393325</v>
      </c>
      <c r="J58" s="107" t="str">
        <f t="shared" si="2"/>
        <v/>
      </c>
      <c r="K58" s="120">
        <f>'Graph values'!AX51/'Graph values'!AU51*1000</f>
        <v>62.031345074559766</v>
      </c>
      <c r="L58" s="108" t="str">
        <f>IF('Input Laying'!N59="","",IF('Input Laying'!N59=0,"",IF('Production data'!H58="","",H58*D58/100)))</f>
        <v/>
      </c>
      <c r="M58" s="122">
        <f>ROUND(IF(Std!E64=0,"",Std!E64),2)</f>
        <v>56.18</v>
      </c>
      <c r="N58" s="123">
        <f>IF('Input Laying'!X59=0,0,('Input Laying'!N59*'Production data'!H58)/'Input Laying'!$G$6/1000+N57)</f>
        <v>0</v>
      </c>
      <c r="O58" s="124">
        <f>IF(Std!F64=0,"",Std!F64)</f>
        <v>16.026908040863582</v>
      </c>
      <c r="P58" s="411" t="str">
        <f>IF('Input Laying'!AD59="","",((('Input Laying'!AE58+'Input Laying'!AD59-'Input Laying'!AE59)/'Input Laying'!D59))/7*1000)</f>
        <v/>
      </c>
      <c r="Q58" s="411" t="str">
        <f>'Input Laying'!AA59</f>
        <v/>
      </c>
      <c r="R58" s="112" t="str">
        <f>'Input Laying'!AB59</f>
        <v/>
      </c>
      <c r="S58" s="125" t="str">
        <f>IF(OR('Input Laying'!N59=0,'Input Laying'!N59="",'Input Laying'!AD59=""),"",('Input Laying'!AD59*1000/'Input Laying'!N59))</f>
        <v/>
      </c>
      <c r="T58" s="409" t="str">
        <f>IF(OR('Input Laying'!O59="",'Input Laying'!O59=0),"",'Input Laying'!AF59*1000/'Input Laying'!O59)</f>
        <v/>
      </c>
      <c r="U58" s="108" t="str">
        <f t="shared" si="3"/>
        <v/>
      </c>
      <c r="V58" s="127" t="str">
        <f>IF(OR(N58=0,N58=""),"",IF(OR('Input Laying'!AF59="",'Input Laying'!AF59=0),"",'Input Laying'!AF59/(N58*'Input Laying'!$G$6)))</f>
        <v/>
      </c>
      <c r="W58" s="107" t="str">
        <f>IF('Input Laying'!V59="","",IF('Input Laying'!V59=0,"",('Input Laying'!V59)/'Input Laying'!N59*100))</f>
        <v/>
      </c>
      <c r="X58" s="126" t="str">
        <f>IF('Input Laying'!V59=0,"",IF('Input Laying'!V59="","",'Input Laying'!W59/'Input Laying'!O59*100))</f>
        <v/>
      </c>
      <c r="Y58" s="128" t="str">
        <f>IF(OR('Input Laying'!AH59="",'Input Laying'!AH59=0),"",'Input Laying'!AH59)</f>
        <v/>
      </c>
      <c r="Z58" s="118">
        <f>IF(Std!D64=0,"",Std!D64)</f>
        <v>1946.5407226115997</v>
      </c>
    </row>
    <row r="59" spans="1:26" ht="15.75" customHeight="1" x14ac:dyDescent="0.2">
      <c r="A59" s="316">
        <f>IF('Input Laying'!A60="","",'Input Laying'!A60)</f>
        <v>427</v>
      </c>
      <c r="B59" s="321">
        <v>62</v>
      </c>
      <c r="C59" s="241" t="str">
        <f>IF(OR('Input Laying'!D60="",'Input Laying'!$G$6="",'Input Laying'!$G$6=0),"",'Input Laying'!D60/'Input Laying'!$G$6*100)</f>
        <v/>
      </c>
      <c r="D59" s="242" t="str">
        <f>IF('Input Laying'!E60="","",IF('Input Laying'!N60="","",'Input Laying'!N60/7/'Input Laying'!D60*100))</f>
        <v/>
      </c>
      <c r="E59" s="243">
        <f>IF(OR(Std!B65=0,Std!B65=""),"",Std!B65)</f>
        <v>87.571209329765423</v>
      </c>
      <c r="F59" s="244" t="str">
        <f>IF('Input Laying'!E60="","",IF('Input Laying'!N60="","",'Input Laying'!O60/'Input Laying'!$G$6))</f>
        <v/>
      </c>
      <c r="G59" s="245">
        <f>IF(OR(Std!G65=0,Std!G65=""),"",Std!G65)</f>
        <v>264.33485546064873</v>
      </c>
      <c r="H59" s="244" t="str">
        <f>IF('Input Laying'!X60="","",'Input Laying'!X60)</f>
        <v/>
      </c>
      <c r="I59" s="243">
        <f>IF(Std!C65=0,"",Std!C65)</f>
        <v>63.871286898462991</v>
      </c>
      <c r="J59" s="244" t="str">
        <f t="shared" si="2"/>
        <v/>
      </c>
      <c r="K59" s="243">
        <f>'Graph values'!AX52/'Graph values'!AU52*1000</f>
        <v>62.073013206731183</v>
      </c>
      <c r="L59" s="246" t="str">
        <f>IF('Input Laying'!N60="","",IF('Input Laying'!N60=0,"",IF('Production data'!H59="","",H59*D59/100)))</f>
        <v/>
      </c>
      <c r="M59" s="247">
        <f>ROUND(IF(Std!E65=0,"",Std!E65),2)</f>
        <v>55.93</v>
      </c>
      <c r="N59" s="248">
        <f>IF('Input Laying'!X60=0,0,('Input Laying'!N60*'Production data'!H59)/'Input Laying'!$G$6/1000+N58)</f>
        <v>0</v>
      </c>
      <c r="O59" s="249">
        <f>IF(Std!F65=0,"",Std!F65)</f>
        <v>16.401523952958375</v>
      </c>
      <c r="P59" s="413" t="str">
        <f>IF('Input Laying'!AD60="","",((('Input Laying'!AE59+'Input Laying'!AD60-'Input Laying'!AE60)/'Input Laying'!D60))/7*1000)</f>
        <v/>
      </c>
      <c r="Q59" s="413" t="str">
        <f>'Input Laying'!AA60</f>
        <v/>
      </c>
      <c r="R59" s="241" t="str">
        <f>'Input Laying'!AB60</f>
        <v/>
      </c>
      <c r="S59" s="250" t="str">
        <f>IF(OR('Input Laying'!N60=0,'Input Laying'!N60="",'Input Laying'!AD60=""),"",('Input Laying'!AD60*1000/'Input Laying'!N60))</f>
        <v/>
      </c>
      <c r="T59" s="408" t="str">
        <f>IF(OR('Input Laying'!O60="",'Input Laying'!O60=0),"",'Input Laying'!AF60*1000/'Input Laying'!O60)</f>
        <v/>
      </c>
      <c r="U59" s="246" t="str">
        <f t="shared" si="3"/>
        <v/>
      </c>
      <c r="V59" s="252" t="str">
        <f>IF(OR(N59=0,N59=""),"",IF(OR('Input Laying'!AF60="",'Input Laying'!AF60=0),"",'Input Laying'!AF60/(N59*'Input Laying'!$G$6)))</f>
        <v/>
      </c>
      <c r="W59" s="244" t="str">
        <f>IF('Input Laying'!V60="","",IF('Input Laying'!V60=0,"",('Input Laying'!V60)/'Input Laying'!N60*100))</f>
        <v/>
      </c>
      <c r="X59" s="251" t="str">
        <f>IF('Input Laying'!V60=0,"",IF('Input Laying'!V60="","",'Input Laying'!W60/'Input Laying'!O60*100))</f>
        <v/>
      </c>
      <c r="Y59" s="253" t="str">
        <f>IF(OR('Input Laying'!AH60="",'Input Laying'!AH60=0),"",'Input Laying'!AH60)</f>
        <v/>
      </c>
      <c r="Z59" s="254">
        <f>IF(Std!D65=0,"",Std!D65)</f>
        <v>1948.215786825011</v>
      </c>
    </row>
    <row r="60" spans="1:26" ht="15.75" customHeight="1" x14ac:dyDescent="0.2">
      <c r="A60" s="317">
        <f>IF('Input Laying'!A61="","",'Input Laying'!A61)</f>
        <v>434</v>
      </c>
      <c r="B60" s="322">
        <v>63</v>
      </c>
      <c r="C60" s="112" t="str">
        <f>IF(OR('Input Laying'!D61="",'Input Laying'!$G$6="",'Input Laying'!$G$6=0),"",'Input Laying'!D61/'Input Laying'!$G$6*100)</f>
        <v/>
      </c>
      <c r="D60" s="119" t="str">
        <f>IF('Input Laying'!E61="","",IF('Input Laying'!N61="","",'Input Laying'!N61/7/'Input Laying'!D61*100))</f>
        <v/>
      </c>
      <c r="E60" s="120">
        <f>IF(OR(Std!B66=0,Std!B66=""),"",Std!B66)</f>
        <v>87.130110318767734</v>
      </c>
      <c r="F60" s="107" t="str">
        <f>IF('Input Laying'!E61="","",IF('Input Laying'!N61="","",'Input Laying'!O61/'Input Laying'!$G$6))</f>
        <v/>
      </c>
      <c r="G60" s="121">
        <f>IF(OR(Std!G66=0,Std!G66=""),"",Std!G66)</f>
        <v>270.16462658594509</v>
      </c>
      <c r="H60" s="107" t="str">
        <f>IF('Input Laying'!X61="","",'Input Laying'!X61)</f>
        <v/>
      </c>
      <c r="I60" s="120">
        <f>IF(Std!C66=0,"",Std!C66)</f>
        <v>63.902148616532656</v>
      </c>
      <c r="J60" s="107" t="str">
        <f t="shared" si="2"/>
        <v/>
      </c>
      <c r="K60" s="120">
        <f>'Graph values'!AX53/'Graph values'!AU53*1000</f>
        <v>62.113319758947576</v>
      </c>
      <c r="L60" s="108" t="str">
        <f>IF('Input Laying'!N61="","",IF('Input Laying'!N61=0,"",IF('Production data'!H60="","",H60*D60/100)))</f>
        <v/>
      </c>
      <c r="M60" s="122">
        <f>ROUND(IF(Std!E66=0,"",Std!E66),2)</f>
        <v>55.68</v>
      </c>
      <c r="N60" s="123">
        <f>IF('Input Laying'!X61=0,0,('Input Laying'!N61*'Production data'!H60)/'Input Laying'!$G$6/1000+N59)</f>
        <v>0</v>
      </c>
      <c r="O60" s="124">
        <f>IF(Std!F66=0,"",Std!F66)</f>
        <v>16.774058853807432</v>
      </c>
      <c r="P60" s="411" t="str">
        <f>IF('Input Laying'!AD61="","",((('Input Laying'!AE60+'Input Laying'!AD61-'Input Laying'!AE61)/'Input Laying'!D61))/7*1000)</f>
        <v/>
      </c>
      <c r="Q60" s="411" t="str">
        <f>'Input Laying'!AA61</f>
        <v/>
      </c>
      <c r="R60" s="112" t="str">
        <f>'Input Laying'!AB61</f>
        <v/>
      </c>
      <c r="S60" s="125" t="str">
        <f>IF(OR('Input Laying'!N61=0,'Input Laying'!N61="",'Input Laying'!AD61=""),"",('Input Laying'!AD61*1000/'Input Laying'!N61))</f>
        <v/>
      </c>
      <c r="T60" s="409" t="str">
        <f>IF(OR('Input Laying'!O61="",'Input Laying'!O61=0),"",'Input Laying'!AF61*1000/'Input Laying'!O61)</f>
        <v/>
      </c>
      <c r="U60" s="108" t="str">
        <f t="shared" si="3"/>
        <v/>
      </c>
      <c r="V60" s="127" t="str">
        <f>IF(OR(N60=0,N60=""),"",IF(OR('Input Laying'!AF61="",'Input Laying'!AF61=0),"",'Input Laying'!AF61/(N60*'Input Laying'!$G$6)))</f>
        <v/>
      </c>
      <c r="W60" s="107" t="str">
        <f>IF('Input Laying'!V61="","",IF('Input Laying'!V61=0,"",('Input Laying'!V61)/'Input Laying'!N61*100))</f>
        <v/>
      </c>
      <c r="X60" s="126" t="str">
        <f>IF('Input Laying'!V61=0,"",IF('Input Laying'!V61="","",'Input Laying'!W61/'Input Laying'!O61*100))</f>
        <v/>
      </c>
      <c r="Y60" s="128" t="str">
        <f>IF(OR('Input Laying'!AH61="",'Input Laying'!AH61=0),"",'Input Laying'!AH61)</f>
        <v/>
      </c>
      <c r="Z60" s="118">
        <f>IF(Std!D66=0,"",Std!D66)</f>
        <v>1949.7923528089837</v>
      </c>
    </row>
    <row r="61" spans="1:26" ht="15.75" customHeight="1" x14ac:dyDescent="0.2">
      <c r="A61" s="316">
        <f>IF('Input Laying'!A62="","",'Input Laying'!A62)</f>
        <v>441</v>
      </c>
      <c r="B61" s="321">
        <v>64</v>
      </c>
      <c r="C61" s="241" t="str">
        <f>IF(OR('Input Laying'!D62="",'Input Laying'!$G$6="",'Input Laying'!$G$6=0),"",'Input Laying'!D62/'Input Laying'!$G$6*100)</f>
        <v/>
      </c>
      <c r="D61" s="242" t="str">
        <f>IF('Input Laying'!E62="","",IF('Input Laying'!N62="","",'Input Laying'!N62/7/'Input Laying'!D62*100))</f>
        <v/>
      </c>
      <c r="E61" s="243">
        <f>IF(OR(Std!B67=0,Std!B67=""),"",Std!B67)</f>
        <v>86.681289487455103</v>
      </c>
      <c r="F61" s="244" t="str">
        <f>IF('Input Laying'!E62="","",IF('Input Laying'!N62="","",'Input Laying'!O62/'Input Laying'!$G$6))</f>
        <v/>
      </c>
      <c r="G61" s="245">
        <f>IF(OR(Std!G67=0,Std!G67=""),"",Std!G67)</f>
        <v>275.95854266534974</v>
      </c>
      <c r="H61" s="244" t="str">
        <f>IF('Input Laying'!X62="","",'Input Laying'!X62)</f>
        <v/>
      </c>
      <c r="I61" s="243">
        <f>IF(Std!C67=0,"",Std!C67)</f>
        <v>63.933010334602315</v>
      </c>
      <c r="J61" s="244" t="str">
        <f t="shared" si="2"/>
        <v/>
      </c>
      <c r="K61" s="243">
        <f>'Graph values'!AX54/'Graph values'!AU54*1000</f>
        <v>62.152355870080662</v>
      </c>
      <c r="L61" s="246" t="str">
        <f>IF('Input Laying'!N62="","",IF('Input Laying'!N62=0,"",IF('Production data'!H61="","",H61*D61/100)))</f>
        <v/>
      </c>
      <c r="M61" s="247">
        <f>ROUND(IF(Std!E67=0,"",Std!E67),2)</f>
        <v>55.42</v>
      </c>
      <c r="N61" s="248">
        <f>IF('Input Laying'!X62=0,0,('Input Laying'!N62*'Production data'!H61)/'Input Laying'!$G$6/1000+N60)</f>
        <v>0</v>
      </c>
      <c r="O61" s="249">
        <f>IF(Std!F67=0,"",Std!F67)</f>
        <v>17.144481350389828</v>
      </c>
      <c r="P61" s="413" t="str">
        <f>IF('Input Laying'!AD62="","",((('Input Laying'!AE61+'Input Laying'!AD62-'Input Laying'!AE62)/'Input Laying'!D62))/7*1000)</f>
        <v/>
      </c>
      <c r="Q61" s="413" t="str">
        <f>'Input Laying'!AA62</f>
        <v/>
      </c>
      <c r="R61" s="241" t="str">
        <f>'Input Laying'!AB62</f>
        <v/>
      </c>
      <c r="S61" s="250" t="str">
        <f>IF(OR('Input Laying'!N62=0,'Input Laying'!N62="",'Input Laying'!AD62=""),"",('Input Laying'!AD62*1000/'Input Laying'!N62))</f>
        <v/>
      </c>
      <c r="T61" s="408" t="str">
        <f>IF(OR('Input Laying'!O62="",'Input Laying'!O62=0),"",'Input Laying'!AF62*1000/'Input Laying'!O62)</f>
        <v/>
      </c>
      <c r="U61" s="246" t="str">
        <f t="shared" si="3"/>
        <v/>
      </c>
      <c r="V61" s="252" t="str">
        <f>IF(OR(N61=0,N61=""),"",IF(OR('Input Laying'!AF62="",'Input Laying'!AF62=0),"",'Input Laying'!AF62/(N61*'Input Laying'!$G$6)))</f>
        <v/>
      </c>
      <c r="W61" s="244" t="str">
        <f>IF('Input Laying'!V62="","",IF('Input Laying'!V62=0,"",('Input Laying'!V62)/'Input Laying'!N62*100))</f>
        <v/>
      </c>
      <c r="X61" s="251" t="str">
        <f>IF('Input Laying'!V62=0,"",IF('Input Laying'!V62="","",'Input Laying'!W62/'Input Laying'!O62*100))</f>
        <v/>
      </c>
      <c r="Y61" s="253" t="str">
        <f>IF(OR('Input Laying'!AH62="",'Input Laying'!AH62=0),"",'Input Laying'!AH62)</f>
        <v/>
      </c>
      <c r="Z61" s="254">
        <f>IF(Std!D67=0,"",Std!D67)</f>
        <v>1951.2744273985134</v>
      </c>
    </row>
    <row r="62" spans="1:26" ht="15.75" customHeight="1" x14ac:dyDescent="0.2">
      <c r="A62" s="317">
        <f>IF('Input Laying'!A63="","",'Input Laying'!A63)</f>
        <v>448</v>
      </c>
      <c r="B62" s="322">
        <v>65</v>
      </c>
      <c r="C62" s="112" t="str">
        <f>IF(OR('Input Laying'!D63="",'Input Laying'!$G$6="",'Input Laying'!$G$6=0),"",'Input Laying'!D63/'Input Laying'!$G$6*100)</f>
        <v/>
      </c>
      <c r="D62" s="119" t="str">
        <f>IF('Input Laying'!E63="","",IF('Input Laying'!N63="","",'Input Laying'!N63/7/'Input Laying'!D63*100))</f>
        <v/>
      </c>
      <c r="E62" s="120">
        <f>IF(OR(Std!B68=0,Std!B68=""),"",Std!B68)</f>
        <v>86.225663187132866</v>
      </c>
      <c r="F62" s="107" t="str">
        <f>IF('Input Laying'!E63="","",IF('Input Laying'!N63="","",'Input Laying'!O63/'Input Laying'!$G$6))</f>
        <v/>
      </c>
      <c r="G62" s="121">
        <f>IF(OR(Std!G68=0,Std!G68=""),"",Std!G68)</f>
        <v>281.71620958927264</v>
      </c>
      <c r="H62" s="107" t="str">
        <f>IF('Input Laying'!X63="","",'Input Laying'!X63)</f>
        <v/>
      </c>
      <c r="I62" s="120">
        <f>IF(Std!C68=0,"",Std!C68)</f>
        <v>63.963872052671981</v>
      </c>
      <c r="J62" s="107" t="str">
        <f t="shared" si="2"/>
        <v/>
      </c>
      <c r="K62" s="120">
        <f>'Graph values'!AX55/'Graph values'!AU55*1000</f>
        <v>62.190204690960435</v>
      </c>
      <c r="L62" s="108" t="str">
        <f>IF('Input Laying'!N63="","",IF('Input Laying'!N63=0,"",IF('Production data'!H62="","",H62*D62/100)))</f>
        <v/>
      </c>
      <c r="M62" s="122">
        <f>ROUND(IF(Std!E68=0,"",Std!E68),2)</f>
        <v>55.15</v>
      </c>
      <c r="N62" s="123">
        <f>IF('Input Laying'!X63=0,0,('Input Laying'!N63*'Production data'!H62)/'Input Laying'!$G$6/1000+N61)</f>
        <v>0</v>
      </c>
      <c r="O62" s="124">
        <f>IF(Std!F68=0,"",Std!F68)</f>
        <v>17.512764020833533</v>
      </c>
      <c r="P62" s="411" t="str">
        <f>IF('Input Laying'!AD63="","",((('Input Laying'!AE62+'Input Laying'!AD63-'Input Laying'!AE63)/'Input Laying'!D63))/7*1000)</f>
        <v/>
      </c>
      <c r="Q62" s="411" t="str">
        <f>'Input Laying'!AA63</f>
        <v/>
      </c>
      <c r="R62" s="112" t="str">
        <f>'Input Laying'!AB63</f>
        <v/>
      </c>
      <c r="S62" s="125" t="str">
        <f>IF(OR('Input Laying'!N63=0,'Input Laying'!N63="",'Input Laying'!AD63=""),"",('Input Laying'!AD63*1000/'Input Laying'!N63))</f>
        <v/>
      </c>
      <c r="T62" s="409" t="str">
        <f>IF(OR('Input Laying'!O63="",'Input Laying'!O63=0),"",'Input Laying'!AF63*1000/'Input Laying'!O63)</f>
        <v/>
      </c>
      <c r="U62" s="108" t="str">
        <f t="shared" si="3"/>
        <v/>
      </c>
      <c r="V62" s="127" t="str">
        <f>IF(OR(N62=0,N62=""),"",IF(OR('Input Laying'!AF63="",'Input Laying'!AF63=0),"",'Input Laying'!AF63/(N62*'Input Laying'!$G$6)))</f>
        <v/>
      </c>
      <c r="W62" s="107" t="str">
        <f>IF('Input Laying'!V63="","",IF('Input Laying'!V63=0,"",('Input Laying'!V63)/'Input Laying'!N63*100))</f>
        <v/>
      </c>
      <c r="X62" s="126" t="str">
        <f>IF('Input Laying'!V63=0,"",IF('Input Laying'!V63="","",'Input Laying'!W63/'Input Laying'!O63*100))</f>
        <v/>
      </c>
      <c r="Y62" s="128" t="str">
        <f>IF(OR('Input Laying'!AH63="",'Input Laying'!AH63=0),"",'Input Laying'!AH63)</f>
        <v/>
      </c>
      <c r="Z62" s="118">
        <f>IF(Std!D68=0,"",Std!D68)</f>
        <v>1952.6660133126259</v>
      </c>
    </row>
    <row r="63" spans="1:26" ht="15.75" customHeight="1" x14ac:dyDescent="0.2">
      <c r="A63" s="316">
        <f>IF('Input Laying'!A64="","",'Input Laying'!A64)</f>
        <v>455</v>
      </c>
      <c r="B63" s="321">
        <v>66</v>
      </c>
      <c r="C63" s="241" t="str">
        <f>IF(OR('Input Laying'!D64="",'Input Laying'!$G$6="",'Input Laying'!$G$6=0),"",'Input Laying'!D64/'Input Laying'!$G$6*100)</f>
        <v/>
      </c>
      <c r="D63" s="242" t="str">
        <f>IF('Input Laying'!E64="","",IF('Input Laying'!N64="","",'Input Laying'!N64/7/'Input Laying'!D64*100))</f>
        <v/>
      </c>
      <c r="E63" s="243">
        <f>IF(OR(Std!B69=0,Std!B69=""),"",Std!B69)</f>
        <v>85.764102343362055</v>
      </c>
      <c r="F63" s="244" t="str">
        <f>IF('Input Laying'!E64="","",IF('Input Laying'!N64="","",'Input Laying'!O64/'Input Laying'!$G$6))</f>
        <v/>
      </c>
      <c r="G63" s="245">
        <f>IF(OR(Std!G69=0,Std!G69=""),"",Std!G69)</f>
        <v>287.43729271711175</v>
      </c>
      <c r="H63" s="244" t="str">
        <f>IF('Input Laying'!X64="","",'Input Laying'!X64)</f>
        <v/>
      </c>
      <c r="I63" s="243">
        <f>IF(Std!C69=0,"",Std!C69)</f>
        <v>63.994733770741647</v>
      </c>
      <c r="J63" s="244" t="str">
        <f t="shared" si="2"/>
        <v/>
      </c>
      <c r="K63" s="243">
        <f>'Graph values'!AX56/'Graph values'!AU56*1000</f>
        <v>62.226942240782741</v>
      </c>
      <c r="L63" s="246" t="str">
        <f>IF('Input Laying'!N64="","",IF('Input Laying'!N64=0,"",IF('Production data'!H63="","",H63*D63/100)))</f>
        <v/>
      </c>
      <c r="M63" s="247">
        <f>ROUND(IF(Std!E69=0,"",Std!E69),2)</f>
        <v>54.88</v>
      </c>
      <c r="N63" s="248">
        <f>IF('Input Laying'!X64=0,0,('Input Laying'!N64*'Production data'!H63)/'Input Laying'!$G$6/1000+N62)</f>
        <v>0</v>
      </c>
      <c r="O63" s="249">
        <f>IF(Std!F69=0,"",Std!F69)</f>
        <v>17.878883212479877</v>
      </c>
      <c r="P63" s="413" t="str">
        <f>IF('Input Laying'!AD64="","",((('Input Laying'!AE63+'Input Laying'!AD64-'Input Laying'!AE64)/'Input Laying'!D64))/7*1000)</f>
        <v/>
      </c>
      <c r="Q63" s="413" t="str">
        <f>'Input Laying'!AA64</f>
        <v/>
      </c>
      <c r="R63" s="241" t="str">
        <f>'Input Laying'!AB64</f>
        <v/>
      </c>
      <c r="S63" s="250" t="str">
        <f>IF(OR('Input Laying'!N64=0,'Input Laying'!N64="",'Input Laying'!AD64=""),"",('Input Laying'!AD64*1000/'Input Laying'!N64))</f>
        <v/>
      </c>
      <c r="T63" s="408" t="str">
        <f>IF(OR('Input Laying'!O64="",'Input Laying'!O64=0),"",'Input Laying'!AF64*1000/'Input Laying'!O64)</f>
        <v/>
      </c>
      <c r="U63" s="246" t="str">
        <f t="shared" si="3"/>
        <v/>
      </c>
      <c r="V63" s="252" t="str">
        <f>IF(OR(N63=0,N63=""),"",IF(OR('Input Laying'!AF64="",'Input Laying'!AF64=0),"",'Input Laying'!AF64/(N63*'Input Laying'!$G$6)))</f>
        <v/>
      </c>
      <c r="W63" s="244" t="str">
        <f>IF('Input Laying'!V64="","",IF('Input Laying'!V64=0,"",('Input Laying'!V64)/'Input Laying'!N64*100))</f>
        <v/>
      </c>
      <c r="X63" s="251" t="str">
        <f>IF('Input Laying'!V64=0,"",IF('Input Laying'!V64="","",'Input Laying'!W64/'Input Laying'!O64*100))</f>
        <v/>
      </c>
      <c r="Y63" s="253" t="str">
        <f>IF(OR('Input Laying'!AH64="",'Input Laying'!AH64=0),"",'Input Laying'!AH64)</f>
        <v/>
      </c>
      <c r="Z63" s="254">
        <f>IF(Std!D69=0,"",Std!D69)</f>
        <v>1953.9711091543686</v>
      </c>
    </row>
    <row r="64" spans="1:26" ht="15.75" customHeight="1" x14ac:dyDescent="0.2">
      <c r="A64" s="317">
        <f>IF('Input Laying'!A65="","",'Input Laying'!A65)</f>
        <v>462</v>
      </c>
      <c r="B64" s="322">
        <v>67</v>
      </c>
      <c r="C64" s="112" t="str">
        <f>IF(OR('Input Laying'!D65="",'Input Laying'!$G$6="",'Input Laying'!$G$6=0),"",'Input Laying'!D65/'Input Laying'!$G$6*100)</f>
        <v/>
      </c>
      <c r="D64" s="119" t="str">
        <f>IF('Input Laying'!E65="","",IF('Input Laying'!N65="","",'Input Laying'!N65/7/'Input Laying'!D65*100))</f>
        <v/>
      </c>
      <c r="E64" s="120">
        <f>IF(OR(Std!B70=0,Std!B70=""),"",Std!B70)</f>
        <v>85.297432455959438</v>
      </c>
      <c r="F64" s="107" t="str">
        <f>IF('Input Laying'!E65="","",IF('Input Laying'!N65="","",'Input Laying'!O65/'Input Laying'!$G$6))</f>
        <v/>
      </c>
      <c r="G64" s="121">
        <f>IF(OR(Std!G70=0,Std!G70=""),"",Std!G70)</f>
        <v>293.12151361597688</v>
      </c>
      <c r="H64" s="107" t="str">
        <f>IF('Input Laying'!X65="","",'Input Laying'!X65)</f>
        <v/>
      </c>
      <c r="I64" s="120">
        <f>IF(Std!C70=0,"",Std!C70)</f>
        <v>64.025595488811305</v>
      </c>
      <c r="J64" s="107" t="str">
        <f t="shared" si="2"/>
        <v/>
      </c>
      <c r="K64" s="120">
        <f>'Graph values'!AX57/'Graph values'!AU57*1000</f>
        <v>62.262638155630498</v>
      </c>
      <c r="L64" s="108" t="str">
        <f>IF('Input Laying'!N65="","",IF('Input Laying'!N65=0,"",IF('Production data'!H64="","",H64*D64/100)))</f>
        <v/>
      </c>
      <c r="M64" s="122">
        <f>ROUND(IF(Std!E70=0,"",Std!E70),2)</f>
        <v>54.61</v>
      </c>
      <c r="N64" s="123">
        <f>IF('Input Laying'!X65=0,0,('Input Laying'!N65*'Production data'!H64)/'Input Laying'!$G$6/1000+N63)</f>
        <v>0</v>
      </c>
      <c r="O64" s="124">
        <f>IF(Std!F70=0,"",Std!F70)</f>
        <v>18.242818840419663</v>
      </c>
      <c r="P64" s="411" t="str">
        <f>IF('Input Laying'!AD65="","",((('Input Laying'!AE64+'Input Laying'!AD65-'Input Laying'!AE65)/'Input Laying'!D65))/7*1000)</f>
        <v/>
      </c>
      <c r="Q64" s="411" t="str">
        <f>'Input Laying'!AA65</f>
        <v/>
      </c>
      <c r="R64" s="112" t="str">
        <f>'Input Laying'!AB65</f>
        <v/>
      </c>
      <c r="S64" s="125" t="str">
        <f>IF(OR('Input Laying'!N65=0,'Input Laying'!N65="",'Input Laying'!AD65=""),"",('Input Laying'!AD65*1000/'Input Laying'!N65))</f>
        <v/>
      </c>
      <c r="T64" s="409" t="str">
        <f>IF(OR('Input Laying'!O65="",'Input Laying'!O65=0),"",'Input Laying'!AF65*1000/'Input Laying'!O65)</f>
        <v/>
      </c>
      <c r="U64" s="108" t="str">
        <f t="shared" si="3"/>
        <v/>
      </c>
      <c r="V64" s="127" t="str">
        <f>IF(OR(N64=0,N64=""),"",IF(OR('Input Laying'!AF65="",'Input Laying'!AF65=0),"",'Input Laying'!AF65/(N64*'Input Laying'!$G$6)))</f>
        <v/>
      </c>
      <c r="W64" s="107" t="str">
        <f>IF('Input Laying'!V65="","",IF('Input Laying'!V65=0,"",('Input Laying'!V65)/'Input Laying'!N65*100))</f>
        <v/>
      </c>
      <c r="X64" s="126" t="str">
        <f>IF('Input Laying'!V65=0,"",IF('Input Laying'!V65="","",'Input Laying'!W65/'Input Laying'!O65*100))</f>
        <v/>
      </c>
      <c r="Y64" s="128" t="str">
        <f>IF(OR('Input Laying'!AH65="",'Input Laying'!AH65=0),"",'Input Laying'!AH65)</f>
        <v/>
      </c>
      <c r="Z64" s="118">
        <f>IF(Std!D70=0,"",Std!D70)</f>
        <v>1955.19370941082</v>
      </c>
    </row>
    <row r="65" spans="1:26" ht="15.75" customHeight="1" x14ac:dyDescent="0.2">
      <c r="A65" s="316">
        <f>IF('Input Laying'!A66="","",'Input Laying'!A66)</f>
        <v>469</v>
      </c>
      <c r="B65" s="321">
        <v>68</v>
      </c>
      <c r="C65" s="241" t="str">
        <f>IF(OR('Input Laying'!D66="",'Input Laying'!$G$6="",'Input Laying'!$G$6=0),"",'Input Laying'!D66/'Input Laying'!$G$6*100)</f>
        <v/>
      </c>
      <c r="D65" s="242" t="str">
        <f>IF('Input Laying'!E66="","",IF('Input Laying'!N66="","",'Input Laying'!N66/7/'Input Laying'!D66*100))</f>
        <v/>
      </c>
      <c r="E65" s="243">
        <f>IF(OR(Std!B71=0,Std!B71=""),"",Std!B71)</f>
        <v>84.826433598997625</v>
      </c>
      <c r="F65" s="244" t="str">
        <f>IF('Input Laying'!E66="","",IF('Input Laying'!N66="","",'Input Laying'!O66/'Input Laying'!$G$6))</f>
        <v/>
      </c>
      <c r="G65" s="245">
        <f>IF(OR(Std!G71=0,Std!G71=""),"",Std!G71)</f>
        <v>298.76864681467623</v>
      </c>
      <c r="H65" s="244" t="str">
        <f>IF('Input Laying'!X66="","",'Input Laying'!X66)</f>
        <v/>
      </c>
      <c r="I65" s="243">
        <f>IF(Std!C71=0,"",Std!C71)</f>
        <v>64.056457206880978</v>
      </c>
      <c r="J65" s="244" t="str">
        <f t="shared" si="2"/>
        <v/>
      </c>
      <c r="K65" s="243">
        <f>'Graph values'!AX58/'Graph values'!AU58*1000</f>
        <v>62.297356344517674</v>
      </c>
      <c r="L65" s="246" t="str">
        <f>IF('Input Laying'!N66="","",IF('Input Laying'!N66=0,"",IF('Production data'!H65="","",H65*D65/100)))</f>
        <v/>
      </c>
      <c r="M65" s="247">
        <f>ROUND(IF(Std!E71=0,"",Std!E71),2)</f>
        <v>54.34</v>
      </c>
      <c r="N65" s="248">
        <f>IF('Input Laying'!X66=0,0,('Input Laying'!N66*'Production data'!H65)/'Input Laying'!$G$6/1000+N64)</f>
        <v>0</v>
      </c>
      <c r="O65" s="249">
        <f>IF(Std!F71=0,"",Std!F71)</f>
        <v>18.604554186503705</v>
      </c>
      <c r="P65" s="413" t="str">
        <f>IF('Input Laying'!AD66="","",((('Input Laying'!AE65+'Input Laying'!AD66-'Input Laying'!AE66)/'Input Laying'!D66))/7*1000)</f>
        <v/>
      </c>
      <c r="Q65" s="413" t="str">
        <f>'Input Laying'!AA66</f>
        <v/>
      </c>
      <c r="R65" s="241" t="str">
        <f>'Input Laying'!AB66</f>
        <v/>
      </c>
      <c r="S65" s="250" t="str">
        <f>IF(OR('Input Laying'!N66=0,'Input Laying'!N66="",'Input Laying'!AD66=""),"",('Input Laying'!AD66*1000/'Input Laying'!N66))</f>
        <v/>
      </c>
      <c r="T65" s="408" t="str">
        <f>IF(OR('Input Laying'!O66="",'Input Laying'!O66=0),"",'Input Laying'!AF66*1000/'Input Laying'!O66)</f>
        <v/>
      </c>
      <c r="U65" s="246" t="str">
        <f t="shared" si="3"/>
        <v/>
      </c>
      <c r="V65" s="252" t="str">
        <f>IF(OR(N65=0,N65=""),"",IF(OR('Input Laying'!AF66="",'Input Laying'!AF66=0),"",'Input Laying'!AF66/(N65*'Input Laying'!$G$6)))</f>
        <v/>
      </c>
      <c r="W65" s="244" t="str">
        <f>IF('Input Laying'!V66="","",IF('Input Laying'!V66=0,"",('Input Laying'!V66)/'Input Laying'!N66*100))</f>
        <v/>
      </c>
      <c r="X65" s="251" t="str">
        <f>IF('Input Laying'!V66=0,"",IF('Input Laying'!V66="","",'Input Laying'!W66/'Input Laying'!O66*100))</f>
        <v/>
      </c>
      <c r="Y65" s="253" t="str">
        <f>IF(OR('Input Laying'!AH66="",'Input Laying'!AH66=0),"",'Input Laying'!AH66)</f>
        <v/>
      </c>
      <c r="Z65" s="254">
        <f>IF(Std!D71=0,"",Std!D71)</f>
        <v>1956.3378044530825</v>
      </c>
    </row>
    <row r="66" spans="1:26" ht="15.75" customHeight="1" x14ac:dyDescent="0.2">
      <c r="A66" s="317">
        <f>IF('Input Laying'!A67="","",'Input Laying'!A67)</f>
        <v>476</v>
      </c>
      <c r="B66" s="322">
        <v>69</v>
      </c>
      <c r="C66" s="112" t="str">
        <f>IF(OR('Input Laying'!D67="",'Input Laying'!$G$6="",'Input Laying'!$G$6=0),"",'Input Laying'!D67/'Input Laying'!$G$6*100)</f>
        <v/>
      </c>
      <c r="D66" s="119" t="str">
        <f>IF('Input Laying'!E67="","",IF('Input Laying'!N67="","",'Input Laying'!N67/7/'Input Laying'!D67*100))</f>
        <v/>
      </c>
      <c r="E66" s="120">
        <f>IF(OR(Std!B72=0,Std!B72=""),"",Std!B72)</f>
        <v>84.351840420804891</v>
      </c>
      <c r="F66" s="107" t="str">
        <f>IF('Input Laying'!E67="","",IF('Input Laying'!N67="","",'Input Laying'!O67/'Input Laying'!$G$6))</f>
        <v/>
      </c>
      <c r="G66" s="121">
        <f>IF(OR(Std!G72=0,Std!G72=""),"",Std!G72)</f>
        <v>304.37851657296608</v>
      </c>
      <c r="H66" s="107" t="str">
        <f>IF('Input Laying'!X67="","",'Input Laying'!X67)</f>
        <v/>
      </c>
      <c r="I66" s="120">
        <f>IF(Std!C72=0,"",Std!C72)</f>
        <v>64.087318924950637</v>
      </c>
      <c r="J66" s="107" t="str">
        <f t="shared" si="2"/>
        <v/>
      </c>
      <c r="K66" s="120">
        <f>'Graph values'!AX59/'Graph values'!AU59*1000</f>
        <v>62.331155565898982</v>
      </c>
      <c r="L66" s="108" t="str">
        <f>IF('Input Laying'!N67="","",IF('Input Laying'!N67=0,"",IF('Production data'!H66="","",H66*D66/100)))</f>
        <v/>
      </c>
      <c r="M66" s="122">
        <f>ROUND(IF(Std!E72=0,"",Std!E72),2)</f>
        <v>54.06</v>
      </c>
      <c r="N66" s="123">
        <f>IF('Input Laying'!X67=0,0,('Input Laying'!N67*'Production data'!H66)/'Input Laying'!$G$6/1000+N65)</f>
        <v>0</v>
      </c>
      <c r="O66" s="124">
        <f>IF(Std!F72=0,"",Std!F72)</f>
        <v>18.964075698830666</v>
      </c>
      <c r="P66" s="411" t="str">
        <f>IF('Input Laying'!AD67="","",((('Input Laying'!AE66+'Input Laying'!AD67-'Input Laying'!AE67)/'Input Laying'!D67))/7*1000)</f>
        <v/>
      </c>
      <c r="Q66" s="411" t="str">
        <f>'Input Laying'!AA67</f>
        <v/>
      </c>
      <c r="R66" s="112" t="str">
        <f>'Input Laying'!AB67</f>
        <v/>
      </c>
      <c r="S66" s="125" t="str">
        <f>IF(OR('Input Laying'!N67=0,'Input Laying'!N67="",'Input Laying'!AD67=""),"",('Input Laying'!AD67*1000/'Input Laying'!N67))</f>
        <v/>
      </c>
      <c r="T66" s="409" t="str">
        <f>IF(OR('Input Laying'!O67="",'Input Laying'!O67=0),"",'Input Laying'!AF67*1000/'Input Laying'!O67)</f>
        <v/>
      </c>
      <c r="U66" s="108" t="str">
        <f t="shared" si="3"/>
        <v/>
      </c>
      <c r="V66" s="127" t="str">
        <f>IF(OR(N66=0,N66=""),"",IF(OR('Input Laying'!AF67="",'Input Laying'!AF67=0),"",'Input Laying'!AF67/(N66*'Input Laying'!$G$6)))</f>
        <v/>
      </c>
      <c r="W66" s="107" t="str">
        <f>IF('Input Laying'!V67="","",IF('Input Laying'!V67=0,"",('Input Laying'!V67)/'Input Laying'!N67*100))</f>
        <v/>
      </c>
      <c r="X66" s="126" t="str">
        <f>IF('Input Laying'!V67=0,"",IF('Input Laying'!V67="","",'Input Laying'!W67/'Input Laying'!O67*100))</f>
        <v/>
      </c>
      <c r="Y66" s="128" t="str">
        <f>IF(OR('Input Laying'!AH67="",'Input Laying'!AH67=0),"",'Input Laying'!AH67)</f>
        <v/>
      </c>
      <c r="Z66" s="118">
        <f>IF(Std!D72=0,"",Std!D72)</f>
        <v>1957.4073805362857</v>
      </c>
    </row>
    <row r="67" spans="1:26" ht="15.75" customHeight="1" x14ac:dyDescent="0.2">
      <c r="A67" s="316">
        <f>IF('Input Laying'!A68="","",'Input Laying'!A68)</f>
        <v>483</v>
      </c>
      <c r="B67" s="321">
        <v>70</v>
      </c>
      <c r="C67" s="241" t="str">
        <f>IF(OR('Input Laying'!D68="",'Input Laying'!$G$6="",'Input Laying'!$G$6=0),"",'Input Laying'!D68/'Input Laying'!$G$6*100)</f>
        <v/>
      </c>
      <c r="D67" s="242" t="str">
        <f>IF('Input Laying'!E68="","",IF('Input Laying'!N68="","",'Input Laying'!N68/7/'Input Laying'!D68*100))</f>
        <v/>
      </c>
      <c r="E67" s="243">
        <f>IF(OR(Std!B73=0,Std!B73=""),"",Std!B73)</f>
        <v>83.874342143965322</v>
      </c>
      <c r="F67" s="244" t="str">
        <f>IF('Input Laying'!E68="","",IF('Input Laying'!N68="","",'Input Laying'!O68/'Input Laying'!$G$6))</f>
        <v/>
      </c>
      <c r="G67" s="245">
        <f>IF(OR(Std!G73=0,Std!G73=""),"",Std!G73)</f>
        <v>309.95099366606371</v>
      </c>
      <c r="H67" s="244" t="str">
        <f>IF('Input Laying'!X68="","",'Input Laying'!X68)</f>
        <v/>
      </c>
      <c r="I67" s="243">
        <f>IF(Std!C73=0,"",Std!C73)</f>
        <v>64.118180643020295</v>
      </c>
      <c r="J67" s="244" t="str">
        <f t="shared" si="2"/>
        <v/>
      </c>
      <c r="K67" s="243">
        <f>'Graph values'!AX60/'Graph values'!AU60*1000</f>
        <v>62.364089935556372</v>
      </c>
      <c r="L67" s="246" t="str">
        <f>IF('Input Laying'!N68="","",IF('Input Laying'!N68=0,"",IF('Production data'!H67="","",H67*D67/100)))</f>
        <v/>
      </c>
      <c r="M67" s="247">
        <f>ROUND(IF(Std!E73=0,"",Std!E73),2)</f>
        <v>53.78</v>
      </c>
      <c r="N67" s="248">
        <f>IF('Input Laying'!X68=0,0,('Input Laying'!N68*'Production data'!H67)/'Input Laying'!$G$6/1000+N66)</f>
        <v>0</v>
      </c>
      <c r="O67" s="249">
        <f>IF(Std!F73=0,"",Std!F73)</f>
        <v>19.321372791714992</v>
      </c>
      <c r="P67" s="413" t="str">
        <f>IF('Input Laying'!AD68="","",((('Input Laying'!AE67+'Input Laying'!AD68-'Input Laying'!AE68)/'Input Laying'!D68))/7*1000)</f>
        <v/>
      </c>
      <c r="Q67" s="413" t="str">
        <f>'Input Laying'!AA68</f>
        <v/>
      </c>
      <c r="R67" s="241" t="str">
        <f>'Input Laying'!AB68</f>
        <v/>
      </c>
      <c r="S67" s="250" t="str">
        <f>IF(OR('Input Laying'!N68=0,'Input Laying'!N68="",'Input Laying'!AD68=""),"",('Input Laying'!AD68*1000/'Input Laying'!N68))</f>
        <v/>
      </c>
      <c r="T67" s="408" t="str">
        <f>IF(OR('Input Laying'!O68="",'Input Laying'!O68=0),"",'Input Laying'!AF68*1000/'Input Laying'!O68)</f>
        <v/>
      </c>
      <c r="U67" s="246" t="str">
        <f t="shared" si="3"/>
        <v/>
      </c>
      <c r="V67" s="252" t="str">
        <f>IF(OR(N67=0,N67=""),"",IF(OR('Input Laying'!AF68="",'Input Laying'!AF68=0),"",'Input Laying'!AF68/(N67*'Input Laying'!$G$6)))</f>
        <v/>
      </c>
      <c r="W67" s="244" t="str">
        <f>IF('Input Laying'!V68="","",IF('Input Laying'!V68=0,"",('Input Laying'!V68)/'Input Laying'!N68*100))</f>
        <v/>
      </c>
      <c r="X67" s="251" t="str">
        <f>IF('Input Laying'!V68=0,"",IF('Input Laying'!V68="","",'Input Laying'!W68/'Input Laying'!O68*100))</f>
        <v/>
      </c>
      <c r="Y67" s="253" t="str">
        <f>IF(OR('Input Laying'!AH68="",'Input Laying'!AH68=0),"",'Input Laying'!AH68)</f>
        <v/>
      </c>
      <c r="Z67" s="254">
        <f>IF(Std!D73=0,"",Std!D73)</f>
        <v>1958.406419799586</v>
      </c>
    </row>
    <row r="68" spans="1:26" ht="15.75" customHeight="1" x14ac:dyDescent="0.2">
      <c r="A68" s="317">
        <f>IF('Input Laying'!A69="","",'Input Laying'!A69)</f>
        <v>490</v>
      </c>
      <c r="B68" s="322">
        <v>71</v>
      </c>
      <c r="C68" s="112" t="str">
        <f>IF(OR('Input Laying'!D69="",'Input Laying'!$G$6="",'Input Laying'!$G$6=0),"",'Input Laying'!D69/'Input Laying'!$G$6*100)</f>
        <v/>
      </c>
      <c r="D68" s="119" t="str">
        <f>IF('Input Laying'!E69="","",IF('Input Laying'!N69="","",'Input Laying'!N69/7/'Input Laying'!D69*100))</f>
        <v/>
      </c>
      <c r="E68" s="120">
        <f>IF(OR(Std!B74=0,Std!B74=""),"",Std!B74)</f>
        <v>83.394582565318686</v>
      </c>
      <c r="F68" s="107" t="str">
        <f>IF('Input Laying'!E69="","",IF('Input Laying'!N69="","",'Input Laying'!O69/'Input Laying'!$G$6))</f>
        <v/>
      </c>
      <c r="G68" s="121">
        <f>IF(OR(Std!G74=0,Std!G74=""),"",Std!G74)</f>
        <v>315.48599218442297</v>
      </c>
      <c r="H68" s="107" t="str">
        <f>IF('Input Laying'!X69="","",'Input Laying'!X69)</f>
        <v/>
      </c>
      <c r="I68" s="120">
        <f>IF(Std!C74=0,"",Std!C74)</f>
        <v>64.149042361089968</v>
      </c>
      <c r="J68" s="107" t="str">
        <f t="shared" si="2"/>
        <v/>
      </c>
      <c r="K68" s="120">
        <f>'Graph values'!AX61/'Graph values'!AU61*1000</f>
        <v>62.39620937509504</v>
      </c>
      <c r="L68" s="108" t="str">
        <f>IF('Input Laying'!N69="","",IF('Input Laying'!N69=0,"",IF('Production data'!H68="","",H68*D68/100)))</f>
        <v/>
      </c>
      <c r="M68" s="122">
        <f>ROUND(IF(Std!E74=0,"",Std!E74),2)</f>
        <v>53.5</v>
      </c>
      <c r="N68" s="123">
        <f>IF('Input Laying'!X69=0,0,('Input Laying'!N69*'Production data'!H68)/'Input Laying'!$G$6/1000+N67)</f>
        <v>0</v>
      </c>
      <c r="O68" s="124">
        <f>IF(Std!F74=0,"",Std!F74)</f>
        <v>19.676437646137792</v>
      </c>
      <c r="P68" s="411" t="str">
        <f>IF('Input Laying'!AD69="","",((('Input Laying'!AE68+'Input Laying'!AD69-'Input Laying'!AE69)/'Input Laying'!D69))/7*1000)</f>
        <v/>
      </c>
      <c r="Q68" s="411" t="str">
        <f>'Input Laying'!AA69</f>
        <v/>
      </c>
      <c r="R68" s="112" t="str">
        <f>'Input Laying'!AB69</f>
        <v/>
      </c>
      <c r="S68" s="125" t="str">
        <f>IF(OR('Input Laying'!N69=0,'Input Laying'!N69="",'Input Laying'!AD69=""),"",('Input Laying'!AD69*1000/'Input Laying'!N69))</f>
        <v/>
      </c>
      <c r="T68" s="409" t="str">
        <f>IF(OR('Input Laying'!O69="",'Input Laying'!O69=0),"",'Input Laying'!AF69*1000/'Input Laying'!O69)</f>
        <v/>
      </c>
      <c r="U68" s="108" t="str">
        <f t="shared" si="3"/>
        <v/>
      </c>
      <c r="V68" s="127" t="str">
        <f>IF(OR(N68=0,N68=""),"",IF(OR('Input Laying'!AF69="",'Input Laying'!AF69=0),"",'Input Laying'!AF69/(N68*'Input Laying'!$G$6)))</f>
        <v/>
      </c>
      <c r="W68" s="107" t="str">
        <f>IF('Input Laying'!V69="","",IF('Input Laying'!V69=0,"",('Input Laying'!V69)/'Input Laying'!N69*100))</f>
        <v/>
      </c>
      <c r="X68" s="126" t="str">
        <f>IF('Input Laying'!V69=0,"",IF('Input Laying'!V69="","",'Input Laying'!W69/'Input Laying'!O69*100))</f>
        <v/>
      </c>
      <c r="Y68" s="128" t="str">
        <f>IF(OR('Input Laying'!AH69="",'Input Laying'!AH69=0),"",'Input Laying'!AH69)</f>
        <v/>
      </c>
      <c r="Z68" s="118">
        <f>IF(Std!D74=0,"",Std!D74)</f>
        <v>1959.3389002661665</v>
      </c>
    </row>
    <row r="69" spans="1:26" ht="15.75" customHeight="1" x14ac:dyDescent="0.2">
      <c r="A69" s="316">
        <f>IF('Input Laying'!A70="","",'Input Laying'!A70)</f>
        <v>497</v>
      </c>
      <c r="B69" s="321">
        <v>72</v>
      </c>
      <c r="C69" s="241" t="str">
        <f>IF(OR('Input Laying'!D70="",'Input Laying'!$G$6="",'Input Laying'!$G$6=0),"",'Input Laying'!D70/'Input Laying'!$G$6*100)</f>
        <v/>
      </c>
      <c r="D69" s="242" t="str">
        <f>IF('Input Laying'!E70="","",IF('Input Laying'!N70="","",'Input Laying'!N70/7/'Input Laying'!D70*100))</f>
        <v/>
      </c>
      <c r="E69" s="243">
        <f>IF(OR(Std!B75=0,Std!B75=""),"",Std!B75)</f>
        <v>82.913160055960603</v>
      </c>
      <c r="F69" s="244" t="str">
        <f>IF('Input Laying'!E70="","",IF('Input Laying'!N70="","",'Input Laying'!O70/'Input Laying'!$G$6))</f>
        <v/>
      </c>
      <c r="G69" s="245">
        <f>IF(OR(Std!G75=0,Std!G75=""),"",Std!G75)</f>
        <v>320.98346634877339</v>
      </c>
      <c r="H69" s="244" t="str">
        <f>IF('Input Laying'!X70="","",'Input Laying'!X70)</f>
        <v/>
      </c>
      <c r="I69" s="243">
        <f>IF(Std!C75=0,"",Std!C75)</f>
        <v>64.179904079159627</v>
      </c>
      <c r="J69" s="244" t="str">
        <f t="shared" si="2"/>
        <v/>
      </c>
      <c r="K69" s="243">
        <f>'Graph values'!AX62/'Graph values'!AU62*1000</f>
        <v>62.427560008886054</v>
      </c>
      <c r="L69" s="246" t="str">
        <f>IF('Input Laying'!N70="","",IF('Input Laying'!N70=0,"",IF('Production data'!H69="","",H69*D69/100)))</f>
        <v/>
      </c>
      <c r="M69" s="247">
        <f>ROUND(IF(Std!E75=0,"",Std!E75),2)</f>
        <v>53.21</v>
      </c>
      <c r="N69" s="248">
        <f>IF('Input Laying'!X70=0,0,('Input Laying'!N70*'Production data'!H69)/'Input Laying'!$G$6/1000+N68)</f>
        <v>0</v>
      </c>
      <c r="O69" s="249">
        <f>IF(Std!F75=0,"",Std!F75)</f>
        <v>20.02926501068346</v>
      </c>
      <c r="P69" s="413" t="str">
        <f>IF('Input Laying'!AD70="","",((('Input Laying'!AE69+'Input Laying'!AD70-'Input Laying'!AE70)/'Input Laying'!D70))/7*1000)</f>
        <v/>
      </c>
      <c r="Q69" s="413" t="str">
        <f>'Input Laying'!AA70</f>
        <v/>
      </c>
      <c r="R69" s="241" t="str">
        <f>'Input Laying'!AB70</f>
        <v/>
      </c>
      <c r="S69" s="250" t="str">
        <f>IF(OR('Input Laying'!N70=0,'Input Laying'!N70="",'Input Laying'!AD70=""),"",('Input Laying'!AD70*1000/'Input Laying'!N70))</f>
        <v/>
      </c>
      <c r="T69" s="408" t="str">
        <f>IF(OR('Input Laying'!O70="",'Input Laying'!O70=0),"",'Input Laying'!AF70*1000/'Input Laying'!O70)</f>
        <v/>
      </c>
      <c r="U69" s="246" t="str">
        <f t="shared" si="3"/>
        <v/>
      </c>
      <c r="V69" s="252" t="str">
        <f>IF(OR(N69=0,N69=""),"",IF(OR('Input Laying'!AF70="",'Input Laying'!AF70=0),"",'Input Laying'!AF70/(N69*'Input Laying'!$G$6)))</f>
        <v/>
      </c>
      <c r="W69" s="244" t="str">
        <f>IF('Input Laying'!V70="","",IF('Input Laying'!V70=0,"",('Input Laying'!V70)/'Input Laying'!N70*100))</f>
        <v/>
      </c>
      <c r="X69" s="251" t="str">
        <f>IF('Input Laying'!V70=0,"",IF('Input Laying'!V70="","",'Input Laying'!W70/'Input Laying'!O70*100))</f>
        <v/>
      </c>
      <c r="Y69" s="253" t="str">
        <f>IF(OR('Input Laying'!AH70="",'Input Laying'!AH70=0),"",'Input Laying'!AH70)</f>
        <v/>
      </c>
      <c r="Z69" s="254">
        <f>IF(Std!D75=0,"",Std!D75)</f>
        <v>1960.2087958432362</v>
      </c>
    </row>
    <row r="70" spans="1:26" ht="15.75" customHeight="1" x14ac:dyDescent="0.2">
      <c r="A70" s="317">
        <f>IF('Input Laying'!A71="","",'Input Laying'!A71)</f>
        <v>504</v>
      </c>
      <c r="B70" s="322">
        <v>73</v>
      </c>
      <c r="C70" s="112" t="str">
        <f>IF(OR('Input Laying'!D71="",'Input Laying'!$G$6="",'Input Laying'!$G$6=0),"",'Input Laying'!D71/'Input Laying'!$G$6*100)</f>
        <v/>
      </c>
      <c r="D70" s="119" t="str">
        <f>IF('Input Laying'!E71="","",IF('Input Laying'!N71="","",'Input Laying'!N71/7/'Input Laying'!D71*100))</f>
        <v/>
      </c>
      <c r="E70" s="120">
        <f>IF(OR(Std!B76=0,Std!B76=""),"",Std!B76)</f>
        <v>82.430627561242446</v>
      </c>
      <c r="F70" s="107" t="str">
        <f>IF('Input Laying'!E71="","",IF('Input Laying'!N71="","",'Input Laying'!O71/'Input Laying'!$G$6))</f>
        <v/>
      </c>
      <c r="G70" s="121">
        <f>IF(OR(Std!G76=0,Std!G76=""),"",Std!G76)</f>
        <v>326.44340734042186</v>
      </c>
      <c r="H70" s="107" t="str">
        <f>IF('Input Laying'!X71="","",'Input Laying'!X71)</f>
        <v/>
      </c>
      <c r="I70" s="120">
        <f>IF(Std!C76=0,"",Std!C76)</f>
        <v>64.210765797229286</v>
      </c>
      <c r="J70" s="107" t="str">
        <f t="shared" si="2"/>
        <v/>
      </c>
      <c r="K70" s="120">
        <f>'Graph values'!AX63/'Graph values'!AU63*1000</f>
        <v>62.458184516131453</v>
      </c>
      <c r="L70" s="108" t="str">
        <f>IF('Input Laying'!N71="","",IF('Input Laying'!N71=0,"",IF('Production data'!H70="","",H70*D70/100)))</f>
        <v/>
      </c>
      <c r="M70" s="122">
        <f>ROUND(IF(Std!E76=0,"",Std!E76),2)</f>
        <v>52.93</v>
      </c>
      <c r="N70" s="123">
        <f>IF('Input Laying'!X71=0,0,('Input Laying'!N71*'Production data'!H70)/'Input Laying'!$G$6/1000+N69)</f>
        <v>0</v>
      </c>
      <c r="O70" s="124">
        <f>IF(Std!F76=0,"",Std!F76)</f>
        <v>20.379852002964892</v>
      </c>
      <c r="P70" s="411" t="str">
        <f>IF('Input Laying'!AD71="","",((('Input Laying'!AE70+'Input Laying'!AD71-'Input Laying'!AE71)/'Input Laying'!D71))/7*1000)</f>
        <v/>
      </c>
      <c r="Q70" s="411" t="str">
        <f>'Input Laying'!AA71</f>
        <v/>
      </c>
      <c r="R70" s="112" t="str">
        <f>'Input Laying'!AB71</f>
        <v/>
      </c>
      <c r="S70" s="125" t="str">
        <f>IF(OR('Input Laying'!N71=0,'Input Laying'!N71="",'Input Laying'!AD71=""),"",('Input Laying'!AD71*1000/'Input Laying'!N71))</f>
        <v/>
      </c>
      <c r="T70" s="409" t="str">
        <f>IF(OR('Input Laying'!O71="",'Input Laying'!O71=0),"",'Input Laying'!AF71*1000/'Input Laying'!O71)</f>
        <v/>
      </c>
      <c r="U70" s="108" t="str">
        <f t="shared" si="3"/>
        <v/>
      </c>
      <c r="V70" s="127" t="str">
        <f>IF(OR(N70=0,N70=""),"",IF(OR('Input Laying'!AF71="",'Input Laying'!AF71=0),"",'Input Laying'!AF71/(N70*'Input Laying'!$G$6)))</f>
        <v/>
      </c>
      <c r="W70" s="107" t="str">
        <f>IF('Input Laying'!V71="","",IF('Input Laying'!V71=0,"",('Input Laying'!V71)/'Input Laying'!N71*100))</f>
        <v/>
      </c>
      <c r="X70" s="126" t="str">
        <f>IF('Input Laying'!V71=0,"",IF('Input Laying'!V71="","",'Input Laying'!W71/'Input Laying'!O71*100))</f>
        <v/>
      </c>
      <c r="Y70" s="128" t="str">
        <f>IF(OR('Input Laying'!AH71="",'Input Laying'!AH71=0),"",'Input Laying'!AH71)</f>
        <v/>
      </c>
      <c r="Z70" s="118">
        <f>IF(Std!D76=0,"",Std!D76)</f>
        <v>1961.0200763220321</v>
      </c>
    </row>
    <row r="71" spans="1:26" ht="15.75" customHeight="1" x14ac:dyDescent="0.2">
      <c r="A71" s="316">
        <f>IF('Input Laying'!A72="","",'Input Laying'!A72)</f>
        <v>511</v>
      </c>
      <c r="B71" s="321">
        <v>74</v>
      </c>
      <c r="C71" s="241" t="str">
        <f>IF(OR('Input Laying'!D72="",'Input Laying'!$G$6="",'Input Laying'!$G$6=0),"",'Input Laying'!D72/'Input Laying'!$G$6*100)</f>
        <v/>
      </c>
      <c r="D71" s="242" t="str">
        <f>IF('Input Laying'!E72="","",IF('Input Laying'!N72="","",'Input Laying'!N72/7/'Input Laying'!D72*100))</f>
        <v/>
      </c>
      <c r="E71" s="243">
        <f>IF(OR(Std!B77=0,Std!B77=""),"",Std!B77)</f>
        <v>81.947492600771255</v>
      </c>
      <c r="F71" s="244" t="str">
        <f>IF('Input Laying'!E72="","",IF('Input Laying'!N72="","",'Input Laying'!O72/'Input Laying'!$G$6))</f>
        <v/>
      </c>
      <c r="G71" s="245">
        <f>IF(OR(Std!G77=0,Std!G77=""),"",Std!G77)</f>
        <v>331.86584014681785</v>
      </c>
      <c r="H71" s="244" t="str">
        <f>IF('Input Laying'!X72="","",'Input Laying'!X72)</f>
        <v/>
      </c>
      <c r="I71" s="243">
        <f>IF(Std!C77=0,"",Std!C77)</f>
        <v>64.241627515298958</v>
      </c>
      <c r="J71" s="244" t="str">
        <f t="shared" si="2"/>
        <v/>
      </c>
      <c r="K71" s="243">
        <f>'Graph values'!AX64/'Graph values'!AU64*1000</f>
        <v>62.488122443755543</v>
      </c>
      <c r="L71" s="246" t="str">
        <f>IF('Input Laying'!N72="","",IF('Input Laying'!N72=0,"",IF('Production data'!H71="","",H71*D71/100)))</f>
        <v/>
      </c>
      <c r="M71" s="247">
        <f>ROUND(IF(Std!E77=0,"",Std!E77),2)</f>
        <v>52.64</v>
      </c>
      <c r="N71" s="248">
        <f>IF('Input Laying'!X72=0,0,('Input Laying'!N72*'Production data'!H71)/'Input Laying'!$G$6/1000+N70)</f>
        <v>0</v>
      </c>
      <c r="O71" s="249">
        <f>IF(Std!F77=0,"",Std!F77)</f>
        <v>20.728197911540121</v>
      </c>
      <c r="P71" s="413" t="str">
        <f>IF('Input Laying'!AD72="","",((('Input Laying'!AE71+'Input Laying'!AD72-'Input Laying'!AE72)/'Input Laying'!D72))/7*1000)</f>
        <v/>
      </c>
      <c r="Q71" s="413" t="str">
        <f>'Input Laying'!AA72</f>
        <v/>
      </c>
      <c r="R71" s="241" t="str">
        <f>'Input Laying'!AB72</f>
        <v/>
      </c>
      <c r="S71" s="250" t="str">
        <f>IF(OR('Input Laying'!N72=0,'Input Laying'!N72="",'Input Laying'!AD72=""),"",('Input Laying'!AD72*1000/'Input Laying'!N72))</f>
        <v/>
      </c>
      <c r="T71" s="408" t="str">
        <f>IF(OR('Input Laying'!O72="",'Input Laying'!O72=0),"",'Input Laying'!AF72*1000/'Input Laying'!O72)</f>
        <v/>
      </c>
      <c r="U71" s="246" t="str">
        <f t="shared" si="3"/>
        <v/>
      </c>
      <c r="V71" s="252" t="str">
        <f>IF(OR(N71=0,N71=""),"",IF(OR('Input Laying'!AF72="",'Input Laying'!AF72=0),"",'Input Laying'!AF72/(N71*'Input Laying'!$G$6)))</f>
        <v/>
      </c>
      <c r="W71" s="244" t="str">
        <f>IF('Input Laying'!V72="","",IF('Input Laying'!V72=0,"",('Input Laying'!V72)/'Input Laying'!N72*100))</f>
        <v/>
      </c>
      <c r="X71" s="251" t="str">
        <f>IF('Input Laying'!V72=0,"",IF('Input Laying'!V72="","",'Input Laying'!W72/'Input Laying'!O72*100))</f>
        <v/>
      </c>
      <c r="Y71" s="253" t="str">
        <f>IF(OR('Input Laying'!AH72="",'Input Laying'!AH72=0),"",'Input Laying'!AH72)</f>
        <v/>
      </c>
      <c r="Z71" s="254">
        <f>IF(Std!D77=0,"",Std!D77)</f>
        <v>1961.7767073778152</v>
      </c>
    </row>
    <row r="72" spans="1:26" ht="15.75" customHeight="1" x14ac:dyDescent="0.2">
      <c r="A72" s="317">
        <f>IF('Input Laying'!A73="","",'Input Laying'!A73)</f>
        <v>518</v>
      </c>
      <c r="B72" s="322">
        <v>75</v>
      </c>
      <c r="C72" s="112" t="str">
        <f>IF(OR('Input Laying'!D73="",'Input Laying'!$G$6="",'Input Laying'!$G$6=0),"",'Input Laying'!D73/'Input Laying'!$G$6*100)</f>
        <v/>
      </c>
      <c r="D72" s="119" t="str">
        <f>IF('Input Laying'!E73="","",IF('Input Laying'!N73="","",'Input Laying'!N73/7/'Input Laying'!D73*100))</f>
        <v/>
      </c>
      <c r="E72" s="120">
        <f>IF(OR(Std!B78=0,Std!B78=""),"",Std!B78)</f>
        <v>81.464217268409868</v>
      </c>
      <c r="F72" s="107" t="str">
        <f>IF('Input Laying'!E73="","",IF('Input Laying'!N73="","",'Input Laying'!O73/'Input Laying'!$G$6))</f>
        <v/>
      </c>
      <c r="G72" s="121">
        <f>IF(OR(Std!G78=0,Std!G78=""),"",Std!G78)</f>
        <v>337.2508204223812</v>
      </c>
      <c r="H72" s="107" t="str">
        <f>IF('Input Laying'!X73="","",'Input Laying'!X73)</f>
        <v/>
      </c>
      <c r="I72" s="120">
        <f>IF(Std!C78=0,"",Std!C78)</f>
        <v>64.272489233368617</v>
      </c>
      <c r="J72" s="107" t="str">
        <f t="shared" si="2"/>
        <v/>
      </c>
      <c r="K72" s="120">
        <f>'Graph values'!AX65/'Graph values'!AU65*1000</f>
        <v>62.517410485010501</v>
      </c>
      <c r="L72" s="108" t="str">
        <f>IF('Input Laying'!N73="","",IF('Input Laying'!N73=0,"",IF('Production data'!H72="","",H72*D72/100)))</f>
        <v/>
      </c>
      <c r="M72" s="122">
        <f>ROUND(IF(Std!E78=0,"",Std!E78),2)</f>
        <v>52.36</v>
      </c>
      <c r="N72" s="123">
        <f>IF('Input Laying'!X73=0,0,('Input Laying'!N73*'Production data'!H72)/'Input Laying'!$G$6/1000+N71)</f>
        <v>0</v>
      </c>
      <c r="O72" s="124">
        <f>IF(Std!F78=0,"",Std!F78)</f>
        <v>21.074303998323167</v>
      </c>
      <c r="P72" s="411" t="str">
        <f>IF('Input Laying'!AD73="","",((('Input Laying'!AE72+'Input Laying'!AD73-'Input Laying'!AE73)/'Input Laying'!D73))/7*1000)</f>
        <v/>
      </c>
      <c r="Q72" s="411" t="str">
        <f>'Input Laying'!AA73</f>
        <v/>
      </c>
      <c r="R72" s="112" t="str">
        <f>'Input Laying'!AB73</f>
        <v/>
      </c>
      <c r="S72" s="125" t="str">
        <f>IF(OR('Input Laying'!N73=0,'Input Laying'!N73="",'Input Laying'!AD73=""),"",('Input Laying'!AD73*1000/'Input Laying'!N73))</f>
        <v/>
      </c>
      <c r="T72" s="409" t="str">
        <f>IF(OR('Input Laying'!O73="",'Input Laying'!O73=0),"",'Input Laying'!AF73*1000/'Input Laying'!O73)</f>
        <v/>
      </c>
      <c r="U72" s="108" t="str">
        <f t="shared" si="3"/>
        <v/>
      </c>
      <c r="V72" s="127" t="str">
        <f>IF(OR(N72=0,N72=""),"",IF(OR('Input Laying'!AF73="",'Input Laying'!AF73=0),"",'Input Laying'!AF73/(N72*'Input Laying'!$G$6)))</f>
        <v/>
      </c>
      <c r="W72" s="107" t="str">
        <f>IF('Input Laying'!V73="","",IF('Input Laying'!V73=0,"",('Input Laying'!V73)/'Input Laying'!N73*100))</f>
        <v/>
      </c>
      <c r="X72" s="126" t="str">
        <f>IF('Input Laying'!V73=0,"",IF('Input Laying'!V73="","",'Input Laying'!W73/'Input Laying'!O73*100))</f>
        <v/>
      </c>
      <c r="Y72" s="128" t="str">
        <f>IF(OR('Input Laying'!AH73="",'Input Laying'!AH73=0),"",'Input Laying'!AH73)</f>
        <v/>
      </c>
      <c r="Z72" s="118">
        <f>IF(Std!D78=0,"",Std!D78)</f>
        <v>1962.4826505698759</v>
      </c>
    </row>
    <row r="73" spans="1:26" ht="15.75" customHeight="1" x14ac:dyDescent="0.2">
      <c r="A73" s="316">
        <f>IF('Input Laying'!A74="","",'Input Laying'!A74)</f>
        <v>525</v>
      </c>
      <c r="B73" s="321">
        <v>76</v>
      </c>
      <c r="C73" s="241" t="str">
        <f>IF(OR('Input Laying'!D74="",'Input Laying'!$G$6="",'Input Laying'!$G$6=0),"",'Input Laying'!D74/'Input Laying'!$G$6*100)</f>
        <v/>
      </c>
      <c r="D73" s="242" t="str">
        <f>IF('Input Laying'!E74="","",IF('Input Laying'!N74="","",'Input Laying'!N74/7/'Input Laying'!D74*100))</f>
        <v/>
      </c>
      <c r="E73" s="243">
        <f>IF(OR(Std!B79=0,Std!B79=""),"",Std!B79)</f>
        <v>80.981218232276845</v>
      </c>
      <c r="F73" s="244" t="str">
        <f>IF('Input Laying'!E74="","",IF('Input Laying'!N74="","",'Input Laying'!O74/'Input Laying'!$G$6))</f>
        <v/>
      </c>
      <c r="G73" s="245">
        <f>IF(OR(Std!G79=0,Std!G79=""),"",Std!G79)</f>
        <v>342.59843136459324</v>
      </c>
      <c r="H73" s="244" t="str">
        <f>IF('Input Laying'!X74="","",'Input Laying'!X74)</f>
        <v/>
      </c>
      <c r="I73" s="243">
        <f>IF(Std!C79=0,"",Std!C79)</f>
        <v>64.303350951438276</v>
      </c>
      <c r="J73" s="244" t="str">
        <f t="shared" si="2"/>
        <v/>
      </c>
      <c r="K73" s="243">
        <f>'Graph values'!AX66/'Graph values'!AU66*1000</f>
        <v>62.546082727997664</v>
      </c>
      <c r="L73" s="246" t="str">
        <f>IF('Input Laying'!N74="","",IF('Input Laying'!N74=0,"",IF('Production data'!H73="","",H73*D73/100)))</f>
        <v/>
      </c>
      <c r="M73" s="247">
        <f>ROUND(IF(Std!E79=0,"",Std!E79),2)</f>
        <v>52.07</v>
      </c>
      <c r="N73" s="248">
        <f>IF('Input Laying'!X74=0,0,('Input Laying'!N74*'Production data'!H73)/'Input Laying'!$G$6/1000+N72)</f>
        <v>0</v>
      </c>
      <c r="O73" s="249">
        <f>IF(Std!F79=0,"",Std!F79)</f>
        <v>21.418173301491979</v>
      </c>
      <c r="P73" s="413" t="str">
        <f>IF('Input Laying'!AD74="","",((('Input Laying'!AE73+'Input Laying'!AD74-'Input Laying'!AE74)/'Input Laying'!D74))/7*1000)</f>
        <v/>
      </c>
      <c r="Q73" s="413" t="str">
        <f>'Input Laying'!AA74</f>
        <v/>
      </c>
      <c r="R73" s="241" t="str">
        <f>'Input Laying'!AB74</f>
        <v/>
      </c>
      <c r="S73" s="250" t="str">
        <f>IF(OR('Input Laying'!N74=0,'Input Laying'!N74="",'Input Laying'!AD74=""),"",('Input Laying'!AD74*1000/'Input Laying'!N74))</f>
        <v/>
      </c>
      <c r="T73" s="408" t="str">
        <f>IF(OR('Input Laying'!O74="",'Input Laying'!O74=0),"",'Input Laying'!AF74*1000/'Input Laying'!O74)</f>
        <v/>
      </c>
      <c r="U73" s="246" t="str">
        <f t="shared" si="3"/>
        <v/>
      </c>
      <c r="V73" s="252" t="str">
        <f>IF(OR(N73=0,N73=""),"",IF(OR('Input Laying'!AF74="",'Input Laying'!AF74=0),"",'Input Laying'!AF74/(N73*'Input Laying'!$G$6)))</f>
        <v/>
      </c>
      <c r="W73" s="244" t="str">
        <f>IF('Input Laying'!V74="","",IF('Input Laying'!V74=0,"",('Input Laying'!V74)/'Input Laying'!N74*100))</f>
        <v/>
      </c>
      <c r="X73" s="251" t="str">
        <f>IF('Input Laying'!V74=0,"",IF('Input Laying'!V74="","",'Input Laying'!W74/'Input Laying'!O74*100))</f>
        <v/>
      </c>
      <c r="Y73" s="253" t="str">
        <f>IF(OR('Input Laying'!AH74="",'Input Laying'!AH74=0),"",'Input Laying'!AH74)</f>
        <v/>
      </c>
      <c r="Z73" s="254">
        <f>IF(Std!D79=0,"",Std!D79)</f>
        <v>1963.1418633415285</v>
      </c>
    </row>
    <row r="74" spans="1:26" ht="15.75" customHeight="1" x14ac:dyDescent="0.2">
      <c r="A74" s="317">
        <f>IF('Input Laying'!A75="","",'Input Laying'!A75)</f>
        <v>532</v>
      </c>
      <c r="B74" s="322">
        <v>77</v>
      </c>
      <c r="C74" s="112" t="str">
        <f>IF(OR('Input Laying'!D75="",'Input Laying'!$G$6="",'Input Laying'!$G$6=0),"",'Input Laying'!D75/'Input Laying'!$G$6*100)</f>
        <v/>
      </c>
      <c r="D74" s="119" t="str">
        <f>IF('Input Laying'!E75="","",IF('Input Laying'!N75="","",'Input Laying'!N75/7/'Input Laying'!D75*100))</f>
        <v/>
      </c>
      <c r="E74" s="120">
        <f>IF(OR(Std!B80=0,Std!B80=""),"",Std!B80)</f>
        <v>80.49886673474667</v>
      </c>
      <c r="F74" s="107" t="str">
        <f>IF('Input Laying'!E75="","",IF('Input Laying'!N75="","",'Input Laying'!O75/'Input Laying'!$G$6))</f>
        <v/>
      </c>
      <c r="G74" s="121">
        <f>IF(OR(Std!G80=0,Std!G80=""),"",Std!G80)</f>
        <v>347.90878060535101</v>
      </c>
      <c r="H74" s="107" t="str">
        <f>IF('Input Laying'!X75="","",'Input Laying'!X75)</f>
        <v/>
      </c>
      <c r="I74" s="120">
        <f>IF(Std!C80=0,"",Std!C80)</f>
        <v>64.334212669507949</v>
      </c>
      <c r="J74" s="107" t="str">
        <f t="shared" si="2"/>
        <v/>
      </c>
      <c r="K74" s="120">
        <f>'Graph values'!AX67/'Graph values'!AU67*1000</f>
        <v>62.574170877725749</v>
      </c>
      <c r="L74" s="108" t="str">
        <f>IF('Input Laying'!N75="","",IF('Input Laying'!N75=0,"",IF('Production data'!H74="","",H74*D74/100)))</f>
        <v/>
      </c>
      <c r="M74" s="122">
        <f>ROUND(IF(Std!E80=0,"",Std!E80),2)</f>
        <v>51.79</v>
      </c>
      <c r="N74" s="123">
        <f>IF('Input Laying'!X75=0,0,('Input Laying'!N75*'Production data'!H74)/'Input Laying'!$G$6/1000+N73)</f>
        <v>0</v>
      </c>
      <c r="O74" s="124">
        <f>IF(Std!F80=0,"",Std!F80)</f>
        <v>21.759810438896249</v>
      </c>
      <c r="P74" s="411" t="str">
        <f>IF('Input Laying'!AD75="","",((('Input Laying'!AE74+'Input Laying'!AD75-'Input Laying'!AE75)/'Input Laying'!D75))/7*1000)</f>
        <v/>
      </c>
      <c r="Q74" s="411" t="str">
        <f>'Input Laying'!AA75</f>
        <v/>
      </c>
      <c r="R74" s="112" t="str">
        <f>'Input Laying'!AB75</f>
        <v/>
      </c>
      <c r="S74" s="125" t="str">
        <f>IF(OR('Input Laying'!N75=0,'Input Laying'!N75="",'Input Laying'!AD75=""),"",('Input Laying'!AD75*1000/'Input Laying'!N75))</f>
        <v/>
      </c>
      <c r="T74" s="409" t="str">
        <f>IF(OR('Input Laying'!O75="",'Input Laying'!O75=0),"",'Input Laying'!AF75*1000/'Input Laying'!O75)</f>
        <v/>
      </c>
      <c r="U74" s="108" t="str">
        <f t="shared" si="3"/>
        <v/>
      </c>
      <c r="V74" s="127" t="str">
        <f>IF(OR(N74=0,N74=""),"",IF(OR('Input Laying'!AF75="",'Input Laying'!AF75=0),"",'Input Laying'!AF75/(N74*'Input Laying'!$G$6)))</f>
        <v/>
      </c>
      <c r="W74" s="107" t="str">
        <f>IF('Input Laying'!V75="","",IF('Input Laying'!V75=0,"",('Input Laying'!V75)/'Input Laying'!N75*100))</f>
        <v/>
      </c>
      <c r="X74" s="126" t="str">
        <f>IF('Input Laying'!V75=0,"",IF('Input Laying'!V75="","",'Input Laying'!W75/'Input Laying'!O75*100))</f>
        <v/>
      </c>
      <c r="Y74" s="128" t="str">
        <f>IF(OR('Input Laying'!AH75="",'Input Laying'!AH75=0),"",'Input Laying'!AH75)</f>
        <v/>
      </c>
      <c r="Z74" s="118">
        <f>IF(Std!D80=0,"",Std!D80)</f>
        <v>1963.7582990201167</v>
      </c>
    </row>
    <row r="75" spans="1:26" ht="15.75" customHeight="1" x14ac:dyDescent="0.2">
      <c r="A75" s="316">
        <f>IF('Input Laying'!A76="","",'Input Laying'!A76)</f>
        <v>539</v>
      </c>
      <c r="B75" s="321">
        <v>78</v>
      </c>
      <c r="C75" s="241" t="str">
        <f>IF(OR('Input Laying'!D76="",'Input Laying'!$G$6="",'Input Laying'!$G$6=0),"",'Input Laying'!D76/'Input Laying'!$G$6*100)</f>
        <v/>
      </c>
      <c r="D75" s="242" t="str">
        <f>IF('Input Laying'!E76="","",IF('Input Laying'!N76="","",'Input Laying'!N76/7/'Input Laying'!D76*100))</f>
        <v/>
      </c>
      <c r="E75" s="243">
        <f>IF(OR(Std!B81=0,Std!B81=""),"",Std!B81)</f>
        <v>80.017488592449368</v>
      </c>
      <c r="F75" s="244" t="str">
        <f>IF('Input Laying'!E76="","",IF('Input Laying'!N76="","",'Input Laying'!O76/'Input Laying'!$G$6))</f>
        <v/>
      </c>
      <c r="G75" s="245">
        <f>IF(OR(Std!G81=0,Std!G81=""),"",Std!G81)</f>
        <v>353.18199711758427</v>
      </c>
      <c r="H75" s="244" t="str">
        <f>IF('Input Laying'!X76="","",'Input Laying'!X76)</f>
        <v/>
      </c>
      <c r="I75" s="243">
        <f>IF(Std!C81=0,"",Std!C81)</f>
        <v>64.365074387577607</v>
      </c>
      <c r="J75" s="244" t="str">
        <f t="shared" si="2"/>
        <v/>
      </c>
      <c r="K75" s="243">
        <f>'Graph values'!AX68/'Graph values'!AU68*1000</f>
        <v>62.601704454835485</v>
      </c>
      <c r="L75" s="246" t="str">
        <f>IF('Input Laying'!N76="","",IF('Input Laying'!N76=0,"",IF('Production data'!H75="","",H75*D75/100)))</f>
        <v/>
      </c>
      <c r="M75" s="247">
        <f>ROUND(IF(Std!E81=0,"",Std!E81),2)</f>
        <v>51.5</v>
      </c>
      <c r="N75" s="248">
        <f>IF('Input Laying'!X76=0,0,('Input Laying'!N76*'Production data'!H75)/'Input Laying'!$G$6/1000+N74)</f>
        <v>0</v>
      </c>
      <c r="O75" s="249">
        <f>IF(Std!F81=0,"",Std!F81)</f>
        <v>22.099221411967946</v>
      </c>
      <c r="P75" s="413" t="str">
        <f>IF('Input Laying'!AD76="","",((('Input Laying'!AE75+'Input Laying'!AD76-'Input Laying'!AE76)/'Input Laying'!D76))/7*1000)</f>
        <v/>
      </c>
      <c r="Q75" s="413" t="str">
        <f>'Input Laying'!AA76</f>
        <v/>
      </c>
      <c r="R75" s="241" t="str">
        <f>'Input Laying'!AB76</f>
        <v/>
      </c>
      <c r="S75" s="250" t="str">
        <f>IF(OR('Input Laying'!N76=0,'Input Laying'!N76="",'Input Laying'!AD76=""),"",('Input Laying'!AD76*1000/'Input Laying'!N76))</f>
        <v/>
      </c>
      <c r="T75" s="408" t="str">
        <f>IF(OR('Input Laying'!O76="",'Input Laying'!O76=0),"",'Input Laying'!AF76*1000/'Input Laying'!O76)</f>
        <v/>
      </c>
      <c r="U75" s="246" t="str">
        <f t="shared" si="3"/>
        <v/>
      </c>
      <c r="V75" s="252" t="str">
        <f>IF(OR(N75=0,N75=""),"",IF(OR('Input Laying'!AF76="",'Input Laying'!AF76=0),"",'Input Laying'!AF76/(N75*'Input Laying'!$G$6)))</f>
        <v/>
      </c>
      <c r="W75" s="244" t="str">
        <f>IF('Input Laying'!V76="","",IF('Input Laying'!V76=0,"",('Input Laying'!V76)/'Input Laying'!N76*100))</f>
        <v/>
      </c>
      <c r="X75" s="251" t="str">
        <f>IF('Input Laying'!V76=0,"",IF('Input Laying'!V76="","",'Input Laying'!W76/'Input Laying'!O76*100))</f>
        <v/>
      </c>
      <c r="Y75" s="253" t="str">
        <f>IF(OR('Input Laying'!AH76="",'Input Laying'!AH76=0),"",'Input Laying'!AH76)</f>
        <v/>
      </c>
      <c r="Z75" s="254">
        <f>IF(Std!D81=0,"",Std!D81)</f>
        <v>1964.3359068170082</v>
      </c>
    </row>
    <row r="76" spans="1:26" ht="15.75" customHeight="1" x14ac:dyDescent="0.2">
      <c r="A76" s="317">
        <f>IF('Input Laying'!A77="","",'Input Laying'!A77)</f>
        <v>546</v>
      </c>
      <c r="B76" s="322">
        <v>79</v>
      </c>
      <c r="C76" s="112" t="str">
        <f>IF(OR('Input Laying'!D77="",'Input Laying'!$G$6="",'Input Laying'!$G$6=0),"",'Input Laying'!D77/'Input Laying'!$G$6*100)</f>
        <v/>
      </c>
      <c r="D76" s="119" t="str">
        <f>IF('Input Laying'!E77="","",IF('Input Laying'!N77="","",'Input Laying'!N77/7/'Input Laying'!D77*100))</f>
        <v/>
      </c>
      <c r="E76" s="120">
        <f>IF(OR(Std!B82=0,Std!B82=""),"",Std!B82)</f>
        <v>79.537364196270815</v>
      </c>
      <c r="F76" s="107" t="str">
        <f>IF('Input Laying'!E77="","",IF('Input Laying'!N77="","",'Input Laying'!O77/'Input Laying'!$G$6))</f>
        <v/>
      </c>
      <c r="G76" s="121">
        <f>IF(OR(Std!G82=0,Std!G82=""),"",Std!G82)</f>
        <v>358.41822813713588</v>
      </c>
      <c r="H76" s="107" t="str">
        <f>IF('Input Laying'!X77="","",'Input Laying'!X77)</f>
        <v/>
      </c>
      <c r="I76" s="120">
        <f>IF(Std!C82=0,"",Std!C82)</f>
        <v>64.395936105647266</v>
      </c>
      <c r="J76" s="107" t="str">
        <f t="shared" si="2"/>
        <v/>
      </c>
      <c r="K76" s="120">
        <f>'Graph values'!AX69/'Graph values'!AU69*1000</f>
        <v>62.628710973702439</v>
      </c>
      <c r="L76" s="108" t="str">
        <f>IF('Input Laying'!N77="","",IF('Input Laying'!N77=0,"",IF('Production data'!H76="","",H76*D76/100)))</f>
        <v/>
      </c>
      <c r="M76" s="122">
        <f>ROUND(IF(Std!E82=0,"",Std!E82),2)</f>
        <v>51.22</v>
      </c>
      <c r="N76" s="123">
        <f>IF('Input Laying'!X77=0,0,('Input Laying'!N77*'Production data'!H76)/'Input Laying'!$G$6/1000+N75)</f>
        <v>0</v>
      </c>
      <c r="O76" s="124">
        <f>IF(Std!F82=0,"",Std!F82)</f>
        <v>22.436413410137398</v>
      </c>
      <c r="P76" s="411" t="str">
        <f>IF('Input Laying'!AD77="","",((('Input Laying'!AE76+'Input Laying'!AD77-'Input Laying'!AE77)/'Input Laying'!D77))/7*1000)</f>
        <v/>
      </c>
      <c r="Q76" s="411" t="str">
        <f>'Input Laying'!AA77</f>
        <v/>
      </c>
      <c r="R76" s="112" t="str">
        <f>'Input Laying'!AB77</f>
        <v/>
      </c>
      <c r="S76" s="125" t="str">
        <f>IF(OR('Input Laying'!N77=0,'Input Laying'!N77="",'Input Laying'!AD77=""),"",('Input Laying'!AD77*1000/'Input Laying'!N77))</f>
        <v/>
      </c>
      <c r="T76" s="409" t="str">
        <f>IF(OR('Input Laying'!O77="",'Input Laying'!O77=0),"",'Input Laying'!AF77*1000/'Input Laying'!O77)</f>
        <v/>
      </c>
      <c r="U76" s="108" t="str">
        <f t="shared" si="3"/>
        <v/>
      </c>
      <c r="V76" s="127" t="str">
        <f>IF(OR(N76=0,N76=""),"",IF(OR('Input Laying'!AF77="",'Input Laying'!AF77=0),"",'Input Laying'!AF77/(N76*'Input Laying'!$G$6)))</f>
        <v/>
      </c>
      <c r="W76" s="107" t="str">
        <f>IF('Input Laying'!V77="","",IF('Input Laying'!V77=0,"",('Input Laying'!V77)/'Input Laying'!N77*100))</f>
        <v/>
      </c>
      <c r="X76" s="126" t="str">
        <f>IF('Input Laying'!V77=0,"",IF('Input Laying'!V77="","",'Input Laying'!W77/'Input Laying'!O77*100))</f>
        <v/>
      </c>
      <c r="Y76" s="128" t="str">
        <f>IF(OR('Input Laying'!AH77="",'Input Laying'!AH77=0),"",'Input Laying'!AH77)</f>
        <v/>
      </c>
      <c r="Z76" s="118">
        <f>IF(Std!D82=0,"",Std!D82)</f>
        <v>1964.8786318275993</v>
      </c>
    </row>
    <row r="77" spans="1:26" ht="15.75" customHeight="1" x14ac:dyDescent="0.2">
      <c r="A77" s="316">
        <f>IF('Input Laying'!A78="","",'Input Laying'!A78)</f>
        <v>553</v>
      </c>
      <c r="B77" s="321">
        <v>80</v>
      </c>
      <c r="C77" s="241" t="str">
        <f>IF(OR('Input Laying'!D78="",'Input Laying'!$G$6="",'Input Laying'!$G$6=0),"",'Input Laying'!D78/'Input Laying'!$G$6*100)</f>
        <v/>
      </c>
      <c r="D77" s="242" t="str">
        <f>IF('Input Laying'!E78="","",IF('Input Laying'!N78="","",'Input Laying'!N78/7/'Input Laying'!D78*100))</f>
        <v/>
      </c>
      <c r="E77" s="243">
        <f>IF(OR(Std!B83=0,Std!B83=""),"",Std!B83)</f>
        <v>79.058728511352655</v>
      </c>
      <c r="F77" s="244" t="str">
        <f>IF('Input Laying'!E78="","",IF('Input Laying'!N78="","",'Input Laying'!O78/'Input Laying'!$G$6))</f>
        <v/>
      </c>
      <c r="G77" s="245">
        <f>IF(OR(Std!G83=0,Std!G83=""),"",Std!G83)</f>
        <v>363.61763609990487</v>
      </c>
      <c r="H77" s="244" t="str">
        <f>IF('Input Laying'!X78="","",'Input Laying'!X78)</f>
        <v/>
      </c>
      <c r="I77" s="243">
        <f>IF(Std!C83=0,"",Std!C83)</f>
        <v>64.426797823716939</v>
      </c>
      <c r="J77" s="244" t="str">
        <f t="shared" si="2"/>
        <v/>
      </c>
      <c r="K77" s="243">
        <f>'Graph values'!AX70/'Graph values'!AU70*1000</f>
        <v>62.65521610227372</v>
      </c>
      <c r="L77" s="246" t="str">
        <f>IF('Input Laying'!N78="","",IF('Input Laying'!N78=0,"",IF('Production data'!H77="","",H77*D77/100)))</f>
        <v/>
      </c>
      <c r="M77" s="247">
        <f>ROUND(IF(Std!E83=0,"",Std!E83),2)</f>
        <v>50.94</v>
      </c>
      <c r="N77" s="248">
        <f>IF('Input Laying'!X78=0,0,('Input Laying'!N78*'Production data'!H77)/'Input Laying'!$G$6/1000+N76)</f>
        <v>0</v>
      </c>
      <c r="O77" s="249">
        <f>IF(Std!F83=0,"",Std!F83)</f>
        <v>22.771394615757742</v>
      </c>
      <c r="P77" s="413" t="str">
        <f>IF('Input Laying'!AD78="","",((('Input Laying'!AE77+'Input Laying'!AD78-'Input Laying'!AE78)/'Input Laying'!D78))/7*1000)</f>
        <v/>
      </c>
      <c r="Q77" s="413" t="str">
        <f>'Input Laying'!AA78</f>
        <v/>
      </c>
      <c r="R77" s="241" t="str">
        <f>'Input Laying'!AB78</f>
        <v/>
      </c>
      <c r="S77" s="250" t="str">
        <f>IF(OR('Input Laying'!N78=0,'Input Laying'!N78="",'Input Laying'!AD78=""),"",('Input Laying'!AD78*1000/'Input Laying'!N78))</f>
        <v/>
      </c>
      <c r="T77" s="408" t="str">
        <f>IF(OR('Input Laying'!O78="",'Input Laying'!O78=0),"",'Input Laying'!AF78*1000/'Input Laying'!O78)</f>
        <v/>
      </c>
      <c r="U77" s="246" t="str">
        <f t="shared" si="3"/>
        <v/>
      </c>
      <c r="V77" s="252" t="str">
        <f>IF(OR(N77=0,N77=""),"",IF(OR('Input Laying'!AF78="",'Input Laying'!AF78=0),"",'Input Laying'!AF78/(N77*'Input Laying'!$G$6)))</f>
        <v/>
      </c>
      <c r="W77" s="244" t="str">
        <f>IF('Input Laying'!V78="","",IF('Input Laying'!V78=0,"",('Input Laying'!V78)/'Input Laying'!N78*100))</f>
        <v/>
      </c>
      <c r="X77" s="251" t="str">
        <f>IF('Input Laying'!V78=0,"",IF('Input Laying'!V78="","",'Input Laying'!W78/'Input Laying'!O78*100))</f>
        <v/>
      </c>
      <c r="Y77" s="253" t="str">
        <f>IF(OR('Input Laying'!AH78="",'Input Laying'!AH78=0),"",'Input Laying'!AH78)</f>
        <v/>
      </c>
      <c r="Z77" s="254">
        <f>IF(Std!D83=0,"",Std!D83)</f>
        <v>1965.3904150313112</v>
      </c>
    </row>
    <row r="78" spans="1:26" ht="15.75" customHeight="1" x14ac:dyDescent="0.2">
      <c r="A78" s="317">
        <f>IF('Input Laying'!A79="","",'Input Laying'!A79)</f>
        <v>560</v>
      </c>
      <c r="B78" s="322">
        <v>81</v>
      </c>
      <c r="C78" s="112" t="str">
        <f>IF(OR('Input Laying'!D79="",'Input Laying'!$G$6="",'Input Laying'!$G$6=0),"",'Input Laying'!D79/'Input Laying'!$G$6*100)</f>
        <v/>
      </c>
      <c r="D78" s="119" t="str">
        <f>IF('Input Laying'!E79="","",IF('Input Laying'!N79="","",'Input Laying'!N79/7/'Input Laying'!D79*100))</f>
        <v/>
      </c>
      <c r="E78" s="120">
        <f>IF(OR(Std!B84=0,Std!B84=""),"",Std!B84)</f>
        <v>78.581771077092313</v>
      </c>
      <c r="F78" s="107" t="str">
        <f>IF('Input Laying'!E79="","",IF('Input Laying'!N79="","",'Input Laying'!O79/'Input Laying'!$G$6))</f>
        <v/>
      </c>
      <c r="G78" s="121">
        <f>IF(OR(Std!G84=0,Std!G84=""),"",Std!G84)</f>
        <v>368.78039559425298</v>
      </c>
      <c r="H78" s="107" t="str">
        <f>IF('Input Laying'!X79="","",'Input Laying'!X79)</f>
        <v/>
      </c>
      <c r="I78" s="120">
        <f>IF(Std!C84=0,"",Std!C84)</f>
        <v>64.457659541786597</v>
      </c>
      <c r="J78" s="107" t="str">
        <f t="shared" si="2"/>
        <v/>
      </c>
      <c r="K78" s="120">
        <f>'Graph values'!AX71/'Graph values'!AU71*1000</f>
        <v>62.681243805689427</v>
      </c>
      <c r="L78" s="108" t="str">
        <f>IF('Input Laying'!N79="","",IF('Input Laying'!N79=0,"",IF('Production data'!H78="","",H78*D78/100)))</f>
        <v/>
      </c>
      <c r="M78" s="122">
        <f>ROUND(IF(Std!E84=0,"",Std!E84),2)</f>
        <v>50.65</v>
      </c>
      <c r="N78" s="123">
        <f>IF('Input Laying'!X79=0,0,('Input Laying'!N79*'Production data'!H78)/'Input Laying'!$G$6/1000+N77)</f>
        <v>0</v>
      </c>
      <c r="O78" s="124">
        <f>IF(Std!F84=0,"",Std!F84)</f>
        <v>23.104174009540557</v>
      </c>
      <c r="P78" s="411" t="str">
        <f>IF('Input Laying'!AD79="","",((('Input Laying'!AE78+'Input Laying'!AD79-'Input Laying'!AE79)/'Input Laying'!D79))/7*1000)</f>
        <v/>
      </c>
      <c r="Q78" s="411" t="str">
        <f>'Input Laying'!AA79</f>
        <v/>
      </c>
      <c r="R78" s="112" t="str">
        <f>'Input Laying'!AB79</f>
        <v/>
      </c>
      <c r="S78" s="125" t="str">
        <f>IF(OR('Input Laying'!N79=0,'Input Laying'!N79="",'Input Laying'!AD79=""),"",('Input Laying'!AD79*1000/'Input Laying'!N79))</f>
        <v/>
      </c>
      <c r="T78" s="409" t="str">
        <f>IF(OR('Input Laying'!O79="",'Input Laying'!O79=0),"",'Input Laying'!AF79*1000/'Input Laying'!O79)</f>
        <v/>
      </c>
      <c r="U78" s="108" t="str">
        <f t="shared" si="3"/>
        <v/>
      </c>
      <c r="V78" s="127" t="str">
        <f>IF(OR(N78=0,N78=""),"",IF(OR('Input Laying'!AF79="",'Input Laying'!AF79=0),"",'Input Laying'!AF79/(N78*'Input Laying'!$G$6)))</f>
        <v/>
      </c>
      <c r="W78" s="107" t="str">
        <f>IF('Input Laying'!V79="","",IF('Input Laying'!V79=0,"",('Input Laying'!V79)/'Input Laying'!N79*100))</f>
        <v/>
      </c>
      <c r="X78" s="126" t="str">
        <f>IF('Input Laying'!V79=0,"",IF('Input Laying'!V79="","",'Input Laying'!W79/'Input Laying'!O79*100))</f>
        <v/>
      </c>
      <c r="Y78" s="128" t="str">
        <f>IF(OR('Input Laying'!AH79="",'Input Laying'!AH79=0),"",'Input Laying'!AH79)</f>
        <v/>
      </c>
      <c r="Z78" s="118">
        <f>IF(Std!D84=0,"",Std!D84)</f>
        <v>1965.8751932915932</v>
      </c>
    </row>
    <row r="79" spans="1:26" ht="15.75" customHeight="1" x14ac:dyDescent="0.2">
      <c r="A79" s="316">
        <f>IF('Input Laying'!A80="","",'Input Laying'!A80)</f>
        <v>567</v>
      </c>
      <c r="B79" s="321">
        <v>82</v>
      </c>
      <c r="C79" s="241" t="str">
        <f>IF(OR('Input Laying'!D80="",'Input Laying'!$G$6="",'Input Laying'!$G$6=0),"",'Input Laying'!D80/'Input Laying'!$G$6*100)</f>
        <v/>
      </c>
      <c r="D79" s="242" t="str">
        <f>IF('Input Laying'!E80="","",IF('Input Laying'!N80="","",'Input Laying'!N80/7/'Input Laying'!D80*100))</f>
        <v/>
      </c>
      <c r="E79" s="243">
        <f>IF(OR(Std!B85=0,Std!B85=""),"",Std!B85)</f>
        <v>78.106636007142811</v>
      </c>
      <c r="F79" s="244" t="str">
        <f>IF('Input Laying'!E80="","",IF('Input Laying'!N80="","",'Input Laying'!O80/'Input Laying'!$G$6))</f>
        <v/>
      </c>
      <c r="G79" s="245">
        <f>IF(OR(Std!G85=0,Std!G85=""),"",Std!G85)</f>
        <v>373.90669032867379</v>
      </c>
      <c r="H79" s="244" t="str">
        <f>IF('Input Laying'!X80="","",'Input Laying'!X80)</f>
        <v/>
      </c>
      <c r="I79" s="243">
        <f>IF(Std!C85=0,"",Std!C85)</f>
        <v>64.488521259856256</v>
      </c>
      <c r="J79" s="244" t="str">
        <f t="shared" ref="J79:J87" si="4">IF(OR(N79="",F79="",N79=0,F79=0),"",N79/F79*1000)</f>
        <v/>
      </c>
      <c r="K79" s="243">
        <f>'Graph values'!AX72/'Graph values'!AU72*1000</f>
        <v>62.706816475479613</v>
      </c>
      <c r="L79" s="246" t="str">
        <f>IF('Input Laying'!N80="","",IF('Input Laying'!N80=0,"",IF('Production data'!H79="","",H79*D79/100)))</f>
        <v/>
      </c>
      <c r="M79" s="247">
        <f>ROUND(IF(Std!E85=0,"",Std!E85),2)</f>
        <v>50.37</v>
      </c>
      <c r="N79" s="248">
        <f>IF('Input Laying'!X80=0,0,('Input Laying'!N80*'Production data'!H79)/'Input Laying'!$G$6/1000+N78)</f>
        <v>0</v>
      </c>
      <c r="O79" s="249">
        <f>IF(Std!F85=0,"",Std!F85)</f>
        <v>23.434761176505543</v>
      </c>
      <c r="P79" s="413" t="str">
        <f>IF('Input Laying'!AD80="","",((('Input Laying'!AE79+'Input Laying'!AD80-'Input Laying'!AE80)/'Input Laying'!D80))/7*1000)</f>
        <v/>
      </c>
      <c r="Q79" s="413" t="str">
        <f>'Input Laying'!AA80</f>
        <v/>
      </c>
      <c r="R79" s="241" t="str">
        <f>'Input Laying'!AB80</f>
        <v/>
      </c>
      <c r="S79" s="250" t="str">
        <f>IF(OR('Input Laying'!N80=0,'Input Laying'!N80="",'Input Laying'!AD80=""),"",('Input Laying'!AD80*1000/'Input Laying'!N80))</f>
        <v/>
      </c>
      <c r="T79" s="408" t="str">
        <f>IF(OR('Input Laying'!O80="",'Input Laying'!O80=0),"",'Input Laying'!AF80*1000/'Input Laying'!O80)</f>
        <v/>
      </c>
      <c r="U79" s="246" t="str">
        <f t="shared" si="3"/>
        <v/>
      </c>
      <c r="V79" s="252" t="str">
        <f>IF(OR(N79=0,N79=""),"",IF(OR('Input Laying'!AF80="",'Input Laying'!AF80=0),"",'Input Laying'!AF80/(N79*'Input Laying'!$G$6)))</f>
        <v/>
      </c>
      <c r="W79" s="244" t="str">
        <f>IF('Input Laying'!V80="","",IF('Input Laying'!V80=0,"",('Input Laying'!V80)/'Input Laying'!N80*100))</f>
        <v/>
      </c>
      <c r="X79" s="251" t="str">
        <f>IF('Input Laying'!V80=0,"",IF('Input Laying'!V80="","",'Input Laying'!W80/'Input Laying'!O80*100))</f>
        <v/>
      </c>
      <c r="Y79" s="253" t="str">
        <f>IF(OR('Input Laying'!AH80="",'Input Laying'!AH80=0),"",'Input Laying'!AH80)</f>
        <v/>
      </c>
      <c r="Z79" s="254">
        <f>IF(Std!D85=0,"",Std!D85)</f>
        <v>1966.3368993559193</v>
      </c>
    </row>
    <row r="80" spans="1:26" ht="15.75" customHeight="1" x14ac:dyDescent="0.2">
      <c r="A80" s="317">
        <f>IF('Input Laying'!A81="","",'Input Laying'!A81)</f>
        <v>574</v>
      </c>
      <c r="B80" s="322">
        <v>83</v>
      </c>
      <c r="C80" s="112" t="str">
        <f>IF(OR('Input Laying'!D81="",'Input Laying'!$G$6="",'Input Laying'!$G$6=0),"",'Input Laying'!D81/'Input Laying'!$G$6*100)</f>
        <v/>
      </c>
      <c r="D80" s="119" t="str">
        <f>IF('Input Laying'!E81="","",IF('Input Laying'!N81="","",'Input Laying'!N81/7/'Input Laying'!D81*100))</f>
        <v/>
      </c>
      <c r="E80" s="120">
        <f>IF(OR(Std!B86=0,Std!B86=""),"",Std!B86)</f>
        <v>77.633421989413165</v>
      </c>
      <c r="F80" s="107" t="str">
        <f>IF('Input Laying'!E81="","",IF('Input Laying'!N81="","",'Input Laying'!O81/'Input Laying'!$G$6))</f>
        <v/>
      </c>
      <c r="G80" s="121">
        <f>IF(OR(Std!G86=0,Std!G86=""),"",Std!G86)</f>
        <v>378.99671011472526</v>
      </c>
      <c r="H80" s="107" t="str">
        <f>IF('Input Laying'!X81="","",'Input Laying'!X81)</f>
        <v/>
      </c>
      <c r="I80" s="120">
        <f>IF(Std!C86=0,"",Std!C86)</f>
        <v>64.519382977925929</v>
      </c>
      <c r="J80" s="107" t="str">
        <f t="shared" si="4"/>
        <v/>
      </c>
      <c r="K80" s="120">
        <f>'Graph values'!AX73/'Graph values'!AU73*1000</f>
        <v>62.731955045902176</v>
      </c>
      <c r="L80" s="108" t="str">
        <f>IF('Input Laying'!N81="","",IF('Input Laying'!N81=0,"",IF('Production data'!H80="","",H80*D80/100)))</f>
        <v/>
      </c>
      <c r="M80" s="122">
        <f>ROUND(IF(Std!E86=0,"",Std!E86),2)</f>
        <v>50.09</v>
      </c>
      <c r="N80" s="123">
        <f>IF('Input Laying'!X81=0,0,('Input Laying'!N81*'Production data'!H80)/'Input Laying'!$G$6/1000+N79)</f>
        <v>0</v>
      </c>
      <c r="O80" s="124">
        <f>IF(Std!F86=0,"",Std!F86)</f>
        <v>23.763166112447017</v>
      </c>
      <c r="P80" s="411" t="str">
        <f>IF('Input Laying'!AD81="","",((('Input Laying'!AE80+'Input Laying'!AD81-'Input Laying'!AE81)/'Input Laying'!D81))/7*1000)</f>
        <v/>
      </c>
      <c r="Q80" s="411" t="str">
        <f>'Input Laying'!AA81</f>
        <v/>
      </c>
      <c r="R80" s="112" t="str">
        <f>'Input Laying'!AB81</f>
        <v/>
      </c>
      <c r="S80" s="125" t="str">
        <f>IF(OR('Input Laying'!N81=0,'Input Laying'!N81="",'Input Laying'!AD81=""),"",('Input Laying'!AD81*1000/'Input Laying'!N81))</f>
        <v/>
      </c>
      <c r="T80" s="409" t="str">
        <f>IF(OR('Input Laying'!O81="",'Input Laying'!O81=0),"",'Input Laying'!AF81*1000/'Input Laying'!O81)</f>
        <v/>
      </c>
      <c r="U80" s="108" t="str">
        <f t="shared" ref="U80:U87" si="5">IF(OR(P80=0,P80="",L80=""),"",P80/L80)</f>
        <v/>
      </c>
      <c r="V80" s="127" t="str">
        <f>IF(OR(N80=0,N80=""),"",IF(OR('Input Laying'!AF81="",'Input Laying'!AF81=0),"",'Input Laying'!AF81/(N80*'Input Laying'!$G$6)))</f>
        <v/>
      </c>
      <c r="W80" s="107" t="str">
        <f>IF('Input Laying'!V81="","",IF('Input Laying'!V81=0,"",('Input Laying'!V81)/'Input Laying'!N81*100))</f>
        <v/>
      </c>
      <c r="X80" s="126" t="str">
        <f>IF('Input Laying'!V81=0,"",IF('Input Laying'!V81="","",'Input Laying'!W81/'Input Laying'!O81*100))</f>
        <v/>
      </c>
      <c r="Y80" s="128" t="str">
        <f>IF(OR('Input Laying'!AH81="",'Input Laying'!AH81=0),"",'Input Laying'!AH81)</f>
        <v/>
      </c>
      <c r="Z80" s="118">
        <f>IF(Std!D86=0,"",Std!D86)</f>
        <v>1966.7794618557923</v>
      </c>
    </row>
    <row r="81" spans="1:26" ht="15.75" customHeight="1" x14ac:dyDescent="0.2">
      <c r="A81" s="316">
        <f>IF('Input Laying'!A82="","",'Input Laying'!A82)</f>
        <v>581</v>
      </c>
      <c r="B81" s="321">
        <v>84</v>
      </c>
      <c r="C81" s="241" t="str">
        <f>IF(OR('Input Laying'!D82="",'Input Laying'!$G$6="",'Input Laying'!$G$6=0),"",'Input Laying'!D82/'Input Laying'!$G$6*100)</f>
        <v/>
      </c>
      <c r="D81" s="242" t="str">
        <f>IF('Input Laying'!E82="","",IF('Input Laying'!N82="","",'Input Laying'!N82/7/'Input Laying'!D82*100))</f>
        <v/>
      </c>
      <c r="E81" s="243">
        <f>IF(OR(Std!B87=0,Std!B87=""),"",Std!B87)</f>
        <v>77.162182286067889</v>
      </c>
      <c r="F81" s="244" t="str">
        <f>IF('Input Laying'!E82="","",IF('Input Laying'!N82="","",'Input Laying'!O82/'Input Laying'!$G$6))</f>
        <v/>
      </c>
      <c r="G81" s="245">
        <f>IF(OR(Std!G87=0,Std!G87=""),"",Std!G87)</f>
        <v>384.05064786522519</v>
      </c>
      <c r="H81" s="244" t="str">
        <f>IF('Input Laying'!X82="","",'Input Laying'!X82)</f>
        <v/>
      </c>
      <c r="I81" s="243">
        <f>IF(Std!C87=0,"",Std!C87)</f>
        <v>64.550244695995588</v>
      </c>
      <c r="J81" s="244" t="str">
        <f t="shared" si="4"/>
        <v/>
      </c>
      <c r="K81" s="243">
        <f>'Graph values'!AX74/'Graph values'!AU74*1000</f>
        <v>62.756679098795303</v>
      </c>
      <c r="L81" s="246" t="str">
        <f>IF('Input Laying'!N82="","",IF('Input Laying'!N82=0,"",IF('Production data'!H81="","",H81*D81/100)))</f>
        <v/>
      </c>
      <c r="M81" s="247">
        <f>ROUND(IF(Std!E87=0,"",Std!E87),2)</f>
        <v>49.81</v>
      </c>
      <c r="N81" s="248">
        <f>IF('Input Laying'!X82=0,0,('Input Laying'!N82*'Production data'!H81)/'Input Laying'!$G$6/1000+N80)</f>
        <v>0</v>
      </c>
      <c r="O81" s="249">
        <f>IF(Std!F87=0,"",Std!F87)</f>
        <v>24.089399030920116</v>
      </c>
      <c r="P81" s="413" t="str">
        <f>IF('Input Laying'!AD82="","",((('Input Laying'!AE81+'Input Laying'!AD82-'Input Laying'!AE82)/'Input Laying'!D82))/7*1000)</f>
        <v/>
      </c>
      <c r="Q81" s="413" t="str">
        <f>'Input Laying'!AA82</f>
        <v/>
      </c>
      <c r="R81" s="241" t="str">
        <f>'Input Laying'!AB82</f>
        <v/>
      </c>
      <c r="S81" s="250" t="str">
        <f>IF(OR('Input Laying'!N82=0,'Input Laying'!N82="",'Input Laying'!AD82=""),"",('Input Laying'!AD82*1000/'Input Laying'!N82))</f>
        <v/>
      </c>
      <c r="T81" s="408" t="str">
        <f>IF(OR('Input Laying'!O82="",'Input Laying'!O82=0),"",'Input Laying'!AF82*1000/'Input Laying'!O82)</f>
        <v/>
      </c>
      <c r="U81" s="246" t="str">
        <f t="shared" si="5"/>
        <v/>
      </c>
      <c r="V81" s="252" t="str">
        <f>IF(OR(N81=0,N81=""),"",IF(OR('Input Laying'!AF82="",'Input Laying'!AF82=0),"",'Input Laying'!AF82/(N81*'Input Laying'!$G$6)))</f>
        <v/>
      </c>
      <c r="W81" s="244" t="str">
        <f>IF('Input Laying'!V82="","",IF('Input Laying'!V82=0,"",('Input Laying'!V82)/'Input Laying'!N82*100))</f>
        <v/>
      </c>
      <c r="X81" s="251" t="str">
        <f>IF('Input Laying'!V82=0,"",IF('Input Laying'!V82="","",'Input Laying'!W82/'Input Laying'!O82*100))</f>
        <v/>
      </c>
      <c r="Y81" s="253" t="str">
        <f>IF(OR('Input Laying'!AH82="",'Input Laying'!AH82=0),"",'Input Laying'!AH82)</f>
        <v/>
      </c>
      <c r="Z81" s="254">
        <f>IF(Std!D87=0,"",Std!D87)</f>
        <v>1967.2068053067403</v>
      </c>
    </row>
    <row r="82" spans="1:26" ht="15.75" customHeight="1" x14ac:dyDescent="0.2">
      <c r="A82" s="317">
        <f>IF('Input Laying'!A83="","",'Input Laying'!A83)</f>
        <v>588</v>
      </c>
      <c r="B82" s="322">
        <v>85</v>
      </c>
      <c r="C82" s="112" t="str">
        <f>IF(OR('Input Laying'!D83="",'Input Laying'!$G$6="",'Input Laying'!$G$6=0),"",'Input Laying'!D83/'Input Laying'!$G$6*100)</f>
        <v/>
      </c>
      <c r="D82" s="119" t="str">
        <f>IF('Input Laying'!E83="","",IF('Input Laying'!N83="","",'Input Laying'!N83/7/'Input Laying'!D83*100))</f>
        <v/>
      </c>
      <c r="E82" s="120">
        <f>IF(OR(Std!B88=0,Std!B88=""),"",Std!B88)</f>
        <v>76.692924733527533</v>
      </c>
      <c r="F82" s="107" t="str">
        <f>IF('Input Laying'!E83="","",IF('Input Laying'!N83="","",'Input Laying'!O83/'Input Laying'!$G$6))</f>
        <v/>
      </c>
      <c r="G82" s="121">
        <f>IF(OR(Std!G88=0,Std!G88=""),"",Std!G88)</f>
        <v>389.0686966077098</v>
      </c>
      <c r="H82" s="107" t="str">
        <f>IF('Input Laying'!X83="","",'Input Laying'!X83)</f>
        <v/>
      </c>
      <c r="I82" s="120">
        <f>IF(Std!C88=0,"",Std!C88)</f>
        <v>64.581106414065246</v>
      </c>
      <c r="J82" s="107" t="str">
        <f t="shared" si="4"/>
        <v/>
      </c>
      <c r="K82" s="120">
        <f>'Graph values'!AX75/'Graph values'!AU75*1000</f>
        <v>62.781006958149973</v>
      </c>
      <c r="L82" s="108" t="str">
        <f>IF('Input Laying'!N83="","",IF('Input Laying'!N83=0,"",IF('Production data'!H82="","",H82*D82/100)))</f>
        <v/>
      </c>
      <c r="M82" s="122">
        <f>ROUND(IF(Std!E88=0,"",Std!E88),2)</f>
        <v>49.53</v>
      </c>
      <c r="N82" s="123">
        <f>IF('Input Laying'!X83=0,0,('Input Laying'!N83*'Production data'!H82)/'Input Laying'!$G$6/1000+N81)</f>
        <v>0</v>
      </c>
      <c r="O82" s="124">
        <f>IF(Std!F88=0,"",Std!F88)</f>
        <v>24.413470170749481</v>
      </c>
      <c r="P82" s="411" t="str">
        <f>IF('Input Laying'!AD83="","",((('Input Laying'!AE82+'Input Laying'!AD83-'Input Laying'!AE83)/'Input Laying'!D83))/7*1000)</f>
        <v/>
      </c>
      <c r="Q82" s="411" t="str">
        <f>'Input Laying'!AA83</f>
        <v/>
      </c>
      <c r="R82" s="112" t="str">
        <f>'Input Laying'!AB83</f>
        <v/>
      </c>
      <c r="S82" s="125" t="str">
        <f>IF(OR('Input Laying'!N83=0,'Input Laying'!N83="",'Input Laying'!AD83=""),"",('Input Laying'!AD83*1000/'Input Laying'!N83))</f>
        <v/>
      </c>
      <c r="T82" s="409" t="str">
        <f>IF(OR('Input Laying'!O83="",'Input Laying'!O83=0),"",'Input Laying'!AF83*1000/'Input Laying'!O83)</f>
        <v/>
      </c>
      <c r="U82" s="108" t="str">
        <f t="shared" si="5"/>
        <v/>
      </c>
      <c r="V82" s="127" t="str">
        <f>IF(OR(N82=0,N82=""),"",IF(OR('Input Laying'!AF83="",'Input Laying'!AF83=0),"",'Input Laying'!AF83/(N82*'Input Laying'!$G$6)))</f>
        <v/>
      </c>
      <c r="W82" s="107" t="str">
        <f>IF('Input Laying'!V83="","",IF('Input Laying'!V83=0,"",('Input Laying'!V83)/'Input Laying'!N83*100))</f>
        <v/>
      </c>
      <c r="X82" s="126" t="str">
        <f>IF('Input Laying'!V83=0,"",IF('Input Laying'!V83="","",'Input Laying'!W83/'Input Laying'!O83*100))</f>
        <v/>
      </c>
      <c r="Y82" s="128" t="str">
        <f>IF(OR('Input Laying'!AH83="",'Input Laying'!AH83=0),"",'Input Laying'!AH83)</f>
        <v/>
      </c>
      <c r="Z82" s="118">
        <f>IF(Std!D88=0,"",Std!D88)</f>
        <v>1968.2524748679448</v>
      </c>
    </row>
    <row r="83" spans="1:26" ht="15.75" customHeight="1" x14ac:dyDescent="0.2">
      <c r="A83" s="316">
        <f>IF('Input Laying'!A84="","",'Input Laying'!A84)</f>
        <v>595</v>
      </c>
      <c r="B83" s="321">
        <v>86</v>
      </c>
      <c r="C83" s="241" t="str">
        <f>IF(OR('Input Laying'!D84="",'Input Laying'!$G$6="",'Input Laying'!$G$6=0),"",'Input Laying'!D84/'Input Laying'!$G$6*100)</f>
        <v/>
      </c>
      <c r="D83" s="242" t="str">
        <f>IF('Input Laying'!E84="","",IF('Input Laying'!N84="","",'Input Laying'!N84/7/'Input Laying'!D84*100))</f>
        <v/>
      </c>
      <c r="E83" s="243">
        <f>IF(OR(Std!B89=0,Std!B89=""),"",Std!B89)</f>
        <v>76.22561174246826</v>
      </c>
      <c r="F83" s="244" t="str">
        <f>IF('Input Laying'!E84="","",IF('Input Laying'!N84="","",'Input Laying'!O84/'Input Laying'!$G$6))</f>
        <v/>
      </c>
      <c r="G83" s="245">
        <f>IF(OR(Std!G89=0,Std!G89=""),"",Std!G89)</f>
        <v>394.05104651315509</v>
      </c>
      <c r="H83" s="244" t="str">
        <f>IF('Input Laying'!X84="","",'Input Laying'!X84)</f>
        <v/>
      </c>
      <c r="I83" s="243">
        <f>IF(Std!C89=0,"",Std!C89)</f>
        <v>64.611968132134919</v>
      </c>
      <c r="J83" s="244" t="str">
        <f t="shared" si="4"/>
        <v/>
      </c>
      <c r="K83" s="243">
        <f>'Graph values'!AX76/'Graph values'!AU76*1000</f>
        <v>62.804955775464663</v>
      </c>
      <c r="L83" s="246" t="str">
        <f>IF('Input Laying'!N84="","",IF('Input Laying'!N84=0,"",IF('Production data'!H83="","",H83*D83/100)))</f>
        <v/>
      </c>
      <c r="M83" s="247">
        <f>ROUND(IF(Std!E89=0,"",Std!E89),2)</f>
        <v>49.25</v>
      </c>
      <c r="N83" s="248">
        <f>IF('Input Laying'!X84=0,0,('Input Laying'!N84*'Production data'!H83)/'Input Laying'!$G$6/1000+N82)</f>
        <v>0</v>
      </c>
      <c r="O83" s="249">
        <f>IF(Std!F89=0,"",Std!F89)</f>
        <v>24.735389604063258</v>
      </c>
      <c r="P83" s="413" t="str">
        <f>IF('Input Laying'!AD84="","",((('Input Laying'!AE83+'Input Laying'!AD84-'Input Laying'!AE84)/'Input Laying'!D84))/7*1000)</f>
        <v/>
      </c>
      <c r="Q83" s="413" t="str">
        <f>'Input Laying'!AA84</f>
        <v/>
      </c>
      <c r="R83" s="241" t="str">
        <f>'Input Laying'!AB84</f>
        <v/>
      </c>
      <c r="S83" s="250" t="str">
        <f>IF(OR('Input Laying'!N84=0,'Input Laying'!N84="",'Input Laying'!AD84=""),"",('Input Laying'!AD84*1000/'Input Laying'!N84))</f>
        <v/>
      </c>
      <c r="T83" s="408" t="str">
        <f>IF(OR('Input Laying'!O84="",'Input Laying'!O84=0),"",'Input Laying'!AF84*1000/'Input Laying'!O84)</f>
        <v/>
      </c>
      <c r="U83" s="246" t="str">
        <f t="shared" si="5"/>
        <v/>
      </c>
      <c r="V83" s="252" t="str">
        <f>IF(OR(N83=0,N83=""),"",IF(OR('Input Laying'!AF84="",'Input Laying'!AF84=0),"",'Input Laying'!AF84/(N83*'Input Laying'!$G$6)))</f>
        <v/>
      </c>
      <c r="W83" s="244" t="str">
        <f>IF('Input Laying'!V84="","",IF('Input Laying'!V84=0,"",('Input Laying'!V84)/'Input Laying'!N84*100))</f>
        <v/>
      </c>
      <c r="X83" s="251" t="str">
        <f>IF('Input Laying'!V84=0,"",IF('Input Laying'!V84="","",'Input Laying'!W84/'Input Laying'!O84*100))</f>
        <v/>
      </c>
      <c r="Y83" s="253" t="str">
        <f>IF(OR('Input Laying'!AH84="",'Input Laying'!AH84=0),"",'Input Laying'!AH84)</f>
        <v/>
      </c>
      <c r="Z83" s="254">
        <f>IF(Std!D89=0,"",Std!D89)</f>
        <v>1968.7198617363865</v>
      </c>
    </row>
    <row r="84" spans="1:26" ht="15.75" customHeight="1" x14ac:dyDescent="0.2">
      <c r="A84" s="317">
        <f>IF('Input Laying'!A85="","",'Input Laying'!A85)</f>
        <v>602</v>
      </c>
      <c r="B84" s="322">
        <v>87</v>
      </c>
      <c r="C84" s="112" t="str">
        <f>IF(OR('Input Laying'!D85="",'Input Laying'!$G$6="",'Input Laying'!$G$6=0),"",'Input Laying'!D85/'Input Laying'!$G$6*100)</f>
        <v/>
      </c>
      <c r="D84" s="119" t="str">
        <f>IF('Input Laying'!E85="","",IF('Input Laying'!N85="","",'Input Laying'!N85/7/'Input Laying'!D85*100))</f>
        <v/>
      </c>
      <c r="E84" s="120">
        <f>IF(OR(Std!B90=0,Std!B90=""),"",Std!B90)</f>
        <v>75.760160297821784</v>
      </c>
      <c r="F84" s="107" t="str">
        <f>IF('Input Laying'!E85="","",IF('Input Laying'!N85="","",'Input Laying'!O85/'Input Laying'!$G$6))</f>
        <v/>
      </c>
      <c r="G84" s="121">
        <f>IF(OR(Std!G90=0,Std!G90=""),"",Std!G90)</f>
        <v>398.99788193996164</v>
      </c>
      <c r="H84" s="107" t="str">
        <f>IF('Input Laying'!X85="","",'Input Laying'!X85)</f>
        <v/>
      </c>
      <c r="I84" s="120">
        <f>IF(Std!C90=0,"",Std!C90)</f>
        <v>64.642829850204578</v>
      </c>
      <c r="J84" s="107" t="str">
        <f t="shared" si="4"/>
        <v/>
      </c>
      <c r="K84" s="120">
        <f>'Graph values'!AX77/'Graph values'!AU77*1000</f>
        <v>62.828541606818234</v>
      </c>
      <c r="L84" s="108" t="str">
        <f>IF('Input Laying'!N85="","",IF('Input Laying'!N85=0,"",IF('Production data'!H84="","",H84*D84/100)))</f>
        <v/>
      </c>
      <c r="M84" s="122">
        <f>ROUND(IF(Std!E90=0,"",Std!E90),2)</f>
        <v>48.97</v>
      </c>
      <c r="N84" s="123">
        <f>IF('Input Laying'!X85=0,0,('Input Laying'!N85*'Production data'!H84)/'Input Laying'!$G$6/1000+N83)</f>
        <v>0</v>
      </c>
      <c r="O84" s="124">
        <f>IF(Std!F90=0,"",Std!F90)</f>
        <v>25.055167044855278</v>
      </c>
      <c r="P84" s="411" t="str">
        <f>IF('Input Laying'!AD85="","",((('Input Laying'!AE84+'Input Laying'!AD85-'Input Laying'!AE85)/'Input Laying'!D85))/7*1000)</f>
        <v/>
      </c>
      <c r="Q84" s="411" t="str">
        <f>'Input Laying'!AA85</f>
        <v/>
      </c>
      <c r="R84" s="112" t="str">
        <f>'Input Laying'!AB85</f>
        <v/>
      </c>
      <c r="S84" s="125" t="str">
        <f>IF(OR('Input Laying'!N85=0,'Input Laying'!N85="",'Input Laying'!AD85=""),"",('Input Laying'!AD85*1000/'Input Laying'!N85))</f>
        <v/>
      </c>
      <c r="T84" s="409" t="str">
        <f>IF(OR('Input Laying'!O85="",'Input Laying'!O85=0),"",'Input Laying'!AF85*1000/'Input Laying'!O85)</f>
        <v/>
      </c>
      <c r="U84" s="108" t="str">
        <f t="shared" si="5"/>
        <v/>
      </c>
      <c r="V84" s="127" t="str">
        <f>IF(OR(N84=0,N84=""),"",IF(OR('Input Laying'!AF85="",'Input Laying'!AF85=0),"",'Input Laying'!AF85/(N84*'Input Laying'!$G$6)))</f>
        <v/>
      </c>
      <c r="W84" s="107" t="str">
        <f>IF('Input Laying'!V85="","",IF('Input Laying'!V85=0,"",('Input Laying'!V85)/'Input Laying'!N85*100))</f>
        <v/>
      </c>
      <c r="X84" s="126" t="str">
        <f>IF('Input Laying'!V85=0,"",IF('Input Laying'!V85="","",'Input Laying'!W85/'Input Laying'!O85*100))</f>
        <v/>
      </c>
      <c r="Y84" s="128" t="str">
        <f>IF(OR('Input Laying'!AH85="",'Input Laying'!AH85=0),"",'Input Laying'!AH85)</f>
        <v/>
      </c>
      <c r="Z84" s="118">
        <f>IF(Std!D90=0,"",Std!D90)</f>
        <v>1969.1872486048283</v>
      </c>
    </row>
    <row r="85" spans="1:26" ht="15.75" customHeight="1" x14ac:dyDescent="0.2">
      <c r="A85" s="316">
        <f>IF('Input Laying'!A86="","",'Input Laying'!A86)</f>
        <v>609</v>
      </c>
      <c r="B85" s="321">
        <v>88</v>
      </c>
      <c r="C85" s="241" t="str">
        <f>IF(OR('Input Laying'!D86="",'Input Laying'!$G$6="",'Input Laying'!$G$6=0),"",'Input Laying'!D86/'Input Laying'!$G$6*100)</f>
        <v/>
      </c>
      <c r="D85" s="242" t="str">
        <f>IF('Input Laying'!E86="","",IF('Input Laying'!N86="","",'Input Laying'!N86/7/'Input Laying'!D86*100))</f>
        <v/>
      </c>
      <c r="E85" s="243">
        <f>IF(OR(Std!B91=0,Std!B91=""),"",Std!B91)</f>
        <v>75.296441958776086</v>
      </c>
      <c r="F85" s="244" t="str">
        <f>IF('Input Laying'!E86="","",IF('Input Laying'!N86="","",'Input Laying'!O86/'Input Laying'!$G$6))</f>
        <v/>
      </c>
      <c r="G85" s="245">
        <f>IF(OR(Std!G91=0,Std!G91=""),"",Std!G91)</f>
        <v>403.90937849320227</v>
      </c>
      <c r="H85" s="244" t="str">
        <f>IF('Input Laying'!X86="","",'Input Laying'!X86)</f>
        <v/>
      </c>
      <c r="I85" s="243">
        <f>IF(Std!C91=0,"",Std!C91)</f>
        <v>64.673691568274251</v>
      </c>
      <c r="J85" s="244" t="str">
        <f t="shared" si="4"/>
        <v/>
      </c>
      <c r="K85" s="243">
        <f>'Graph values'!AX78/'Graph values'!AU78*1000</f>
        <v>62.85177948248878</v>
      </c>
      <c r="L85" s="246" t="str">
        <f>IF('Input Laying'!N86="","",IF('Input Laying'!N86=0,"",IF('Production data'!H85="","",H85*D85/100)))</f>
        <v/>
      </c>
      <c r="M85" s="247">
        <f>ROUND(IF(Std!E91=0,"",Std!E91),2)</f>
        <v>48.7</v>
      </c>
      <c r="N85" s="248">
        <f>IF('Input Laying'!X86=0,0,('Input Laying'!N86*'Production data'!H85)/'Input Laying'!$G$6/1000+N84)</f>
        <v>0</v>
      </c>
      <c r="O85" s="249">
        <f>IF(Std!F91=0,"",Std!F91)</f>
        <v>25.372811658078202</v>
      </c>
      <c r="P85" s="413" t="str">
        <f>IF('Input Laying'!AD86="","",((('Input Laying'!AE85+'Input Laying'!AD86-'Input Laying'!AE86)/'Input Laying'!D86))/7*1000)</f>
        <v/>
      </c>
      <c r="Q85" s="413" t="str">
        <f>'Input Laying'!AA86</f>
        <v/>
      </c>
      <c r="R85" s="241" t="str">
        <f>'Input Laying'!AB86</f>
        <v/>
      </c>
      <c r="S85" s="250" t="str">
        <f>IF(OR('Input Laying'!N86=0,'Input Laying'!N86="",'Input Laying'!AD86=""),"",('Input Laying'!AD86*1000/'Input Laying'!N86))</f>
        <v/>
      </c>
      <c r="T85" s="408" t="str">
        <f>IF(OR('Input Laying'!O86="",'Input Laying'!O86=0),"",'Input Laying'!AF86*1000/'Input Laying'!O86)</f>
        <v/>
      </c>
      <c r="U85" s="246" t="str">
        <f t="shared" si="5"/>
        <v/>
      </c>
      <c r="V85" s="252" t="str">
        <f>IF(OR(N85=0,N85=""),"",IF(OR('Input Laying'!AF86="",'Input Laying'!AF86=0),"",'Input Laying'!AF86/(N85*'Input Laying'!$G$6)))</f>
        <v/>
      </c>
      <c r="W85" s="244" t="str">
        <f>IF('Input Laying'!V86="","",IF('Input Laying'!V86=0,"",('Input Laying'!V86)/'Input Laying'!N86*100))</f>
        <v/>
      </c>
      <c r="X85" s="251" t="str">
        <f>IF('Input Laying'!V86=0,"",IF('Input Laying'!V86="","",'Input Laying'!W86/'Input Laying'!O86*100))</f>
        <v/>
      </c>
      <c r="Y85" s="253" t="str">
        <f>IF(OR('Input Laying'!AH86="",'Input Laying'!AH86=0),"",'Input Laying'!AH86)</f>
        <v/>
      </c>
      <c r="Z85" s="254">
        <f>IF(Std!D91=0,"",Std!D91)</f>
        <v>1969.65463547327</v>
      </c>
    </row>
    <row r="86" spans="1:26" ht="15.75" customHeight="1" x14ac:dyDescent="0.2">
      <c r="A86" s="317">
        <f>IF('Input Laying'!A87="","",'Input Laying'!A87)</f>
        <v>616</v>
      </c>
      <c r="B86" s="322">
        <v>89</v>
      </c>
      <c r="C86" s="112" t="str">
        <f>IF(OR('Input Laying'!D87="",'Input Laying'!$G$6="",'Input Laying'!$G$6=0),"",'Input Laying'!D87/'Input Laying'!$G$6*100)</f>
        <v/>
      </c>
      <c r="D86" s="119" t="str">
        <f>IF('Input Laying'!E87="","",IF('Input Laying'!N87="","",'Input Laying'!N87/7/'Input Laying'!D87*100))</f>
        <v/>
      </c>
      <c r="E86" s="120">
        <f>IF(OR(Std!B92=0,Std!B92=""),"",Std!B92)</f>
        <v>74.834282858774387</v>
      </c>
      <c r="F86" s="107" t="str">
        <f>IF('Input Laying'!E87="","",IF('Input Laying'!N87="","",'Input Laying'!O87/'Input Laying'!$G$6))</f>
        <v/>
      </c>
      <c r="G86" s="121">
        <f>IF(OR(Std!G92=0,Std!G92=""),"",Std!G92)</f>
        <v>408.78570009913255</v>
      </c>
      <c r="H86" s="107" t="str">
        <f>IF('Input Laying'!X87="","",'Input Laying'!X87)</f>
        <v/>
      </c>
      <c r="I86" s="120">
        <f>IF(Std!C92=0,"",Std!C92)</f>
        <v>64.704553286343909</v>
      </c>
      <c r="J86" s="107" t="str">
        <f t="shared" si="4"/>
        <v/>
      </c>
      <c r="K86" s="120">
        <f>'Graph values'!AX79/'Graph values'!AU79*1000</f>
        <v>62.874683469850176</v>
      </c>
      <c r="L86" s="108" t="str">
        <f>IF('Input Laying'!N87="","",IF('Input Laying'!N87=0,"",IF('Production data'!H86="","",H86*D86/100)))</f>
        <v/>
      </c>
      <c r="M86" s="122">
        <f>ROUND(IF(Std!E92=0,"",Std!E92),2)</f>
        <v>48.42</v>
      </c>
      <c r="N86" s="123">
        <f>IF('Input Laying'!X87=0,0,('Input Laying'!N87*'Production data'!H86)/'Input Laying'!$G$6/1000+N85)</f>
        <v>0</v>
      </c>
      <c r="O86" s="124">
        <f>IF(Std!F92=0,"",Std!F92)</f>
        <v>25.688331869270471</v>
      </c>
      <c r="P86" s="411" t="str">
        <f>IF('Input Laying'!AD87="","",((('Input Laying'!AE86+'Input Laying'!AD87-'Input Laying'!AE87)/'Input Laying'!D87))/7*1000)</f>
        <v/>
      </c>
      <c r="Q86" s="411" t="str">
        <f>'Input Laying'!AA87</f>
        <v/>
      </c>
      <c r="R86" s="112" t="str">
        <f>'Input Laying'!AB87</f>
        <v/>
      </c>
      <c r="S86" s="125" t="str">
        <f>IF(OR('Input Laying'!N87=0,'Input Laying'!N87="",'Input Laying'!AD87=""),"",('Input Laying'!AD87*1000/'Input Laying'!N87))</f>
        <v/>
      </c>
      <c r="T86" s="409" t="str">
        <f>IF(OR('Input Laying'!O87="",'Input Laying'!O87=0),"",'Input Laying'!AF87*1000/'Input Laying'!O87)</f>
        <v/>
      </c>
      <c r="U86" s="108" t="str">
        <f t="shared" si="5"/>
        <v/>
      </c>
      <c r="V86" s="127" t="str">
        <f>IF(OR(N86=0,N86=""),"",IF(OR('Input Laying'!AF87="",'Input Laying'!AF87=0),"",'Input Laying'!AF87/(N86*'Input Laying'!$G$6)))</f>
        <v/>
      </c>
      <c r="W86" s="107" t="str">
        <f>IF('Input Laying'!V87="","",IF('Input Laying'!V87=0,"",('Input Laying'!V87)/'Input Laying'!N87*100))</f>
        <v/>
      </c>
      <c r="X86" s="126" t="str">
        <f>IF('Input Laying'!V87=0,"",IF('Input Laying'!V87="","",'Input Laying'!W87/'Input Laying'!O87*100))</f>
        <v/>
      </c>
      <c r="Y86" s="128" t="str">
        <f>IF(OR('Input Laying'!AH87="",'Input Laying'!AH87=0),"",'Input Laying'!AH87)</f>
        <v/>
      </c>
      <c r="Z86" s="118">
        <f>IF(Std!D92=0,"",Std!D92)</f>
        <v>1970.1220223417117</v>
      </c>
    </row>
    <row r="87" spans="1:26" ht="15.75" customHeight="1" x14ac:dyDescent="0.2">
      <c r="A87" s="316">
        <f>IF('Input Laying'!A88="","",'Input Laying'!A88)</f>
        <v>623</v>
      </c>
      <c r="B87" s="321">
        <v>90</v>
      </c>
      <c r="C87" s="241" t="str">
        <f>IF(OR('Input Laying'!D88="",'Input Laying'!$G$6="",'Input Laying'!$G$6=0),"",'Input Laying'!D88/'Input Laying'!$G$6*100)</f>
        <v/>
      </c>
      <c r="D87" s="242" t="str">
        <f>IF('Input Laying'!E88="","",IF('Input Laying'!N88="","",'Input Laying'!N88/7/'Input Laying'!D88*100))</f>
        <v/>
      </c>
      <c r="E87" s="243">
        <f>IF(OR(Std!B93=0,Std!B93=""),"",Std!B93)</f>
        <v>74.373463705515775</v>
      </c>
      <c r="F87" s="244" t="str">
        <f>IF('Input Laying'!E88="","",IF('Input Laying'!N88="","",'Input Laying'!O88/'Input Laying'!$G$6))</f>
        <v/>
      </c>
      <c r="G87" s="245">
        <f>IF(OR(Std!G93=0,Std!G93=""),"",Std!G93)</f>
        <v>413.62699609496485</v>
      </c>
      <c r="H87" s="244" t="str">
        <f>IF('Input Laying'!X88="","",'Input Laying'!X88)</f>
        <v/>
      </c>
      <c r="I87" s="243">
        <f>IF(Std!C93=0,"",Std!C93)</f>
        <v>64.735415004413568</v>
      </c>
      <c r="J87" s="244" t="str">
        <f t="shared" si="4"/>
        <v/>
      </c>
      <c r="K87" s="243">
        <f>'Graph values'!AX80/'Graph values'!AU80*1000</f>
        <v>62.897266730196122</v>
      </c>
      <c r="L87" s="246" t="str">
        <f>IF('Input Laying'!N88="","",IF('Input Laying'!N88=0,"",IF('Production data'!H87="","",H87*D87/100)))</f>
        <v/>
      </c>
      <c r="M87" s="247">
        <f>ROUND(IF(Std!E93=0,"",Std!E93),2)</f>
        <v>48.15</v>
      </c>
      <c r="N87" s="248">
        <f>IF('Input Laying'!X88=0,0,('Input Laying'!N88*'Production data'!H87)/'Input Laying'!$G$6/1000+N86)</f>
        <v>0</v>
      </c>
      <c r="O87" s="249">
        <f>IF(Std!F93=0,"",Std!F93)</f>
        <v>26.001735174719879</v>
      </c>
      <c r="P87" s="413" t="str">
        <f>IF('Input Laying'!AD88="","",((('Input Laying'!AE87+'Input Laying'!AD88-'Input Laying'!AE88)/'Input Laying'!D88))/7*1000)</f>
        <v/>
      </c>
      <c r="Q87" s="413" t="str">
        <f>'Input Laying'!AA88</f>
        <v/>
      </c>
      <c r="R87" s="241" t="str">
        <f>'Input Laying'!AB88</f>
        <v/>
      </c>
      <c r="S87" s="250" t="str">
        <f>IF(OR('Input Laying'!N88=0,'Input Laying'!N88="",'Input Laying'!AD88=""),"",('Input Laying'!AD88*1000/'Input Laying'!N88))</f>
        <v/>
      </c>
      <c r="T87" s="408" t="str">
        <f>IF(OR('Input Laying'!O88="",'Input Laying'!O88=0),"",'Input Laying'!AF88*1000/'Input Laying'!O88)</f>
        <v/>
      </c>
      <c r="U87" s="246" t="str">
        <f t="shared" si="5"/>
        <v/>
      </c>
      <c r="V87" s="252" t="str">
        <f>IF(OR(N87=0,N87=""),"",IF(OR('Input Laying'!AF88="",'Input Laying'!AF88=0),"",'Input Laying'!AF88/(N87*'Input Laying'!$G$6)))</f>
        <v/>
      </c>
      <c r="W87" s="244" t="str">
        <f>IF('Input Laying'!V88="","",IF('Input Laying'!V88=0,"",('Input Laying'!V88)/'Input Laying'!N88*100))</f>
        <v/>
      </c>
      <c r="X87" s="251" t="str">
        <f>IF('Input Laying'!V88=0,"",IF('Input Laying'!V88="","",'Input Laying'!W88/'Input Laying'!O88*100))</f>
        <v/>
      </c>
      <c r="Y87" s="253" t="str">
        <f>IF(OR('Input Laying'!AH88="",'Input Laying'!AH88=0),"",'Input Laying'!AH88)</f>
        <v/>
      </c>
      <c r="Z87" s="254">
        <f>IF(Std!D93=0,"",Std!D93)</f>
        <v>1970.5894092101535</v>
      </c>
    </row>
    <row r="88" spans="1:26" ht="15.75" customHeight="1" x14ac:dyDescent="0.2">
      <c r="A88" s="317">
        <f>IF('Input Laying'!A89="","",'Input Laying'!A89)</f>
        <v>630</v>
      </c>
      <c r="B88" s="322">
        <v>91</v>
      </c>
      <c r="C88" s="112" t="str">
        <f>IF(OR('Input Laying'!D89="",'Input Laying'!$G$6="",'Input Laying'!$G$6=0),"",'Input Laying'!D89/'Input Laying'!$G$6*100)</f>
        <v/>
      </c>
      <c r="D88" s="119" t="str">
        <f>IF('Input Laying'!E89="","",IF('Input Laying'!N89="","",'Input Laying'!N89/7/'Input Laying'!D89*100))</f>
        <v/>
      </c>
      <c r="E88" s="120">
        <f>IF(OR(Std!B94=0,Std!B94=""),"",Std!B94)</f>
        <v>73.913719780955503</v>
      </c>
      <c r="F88" s="107" t="str">
        <f>IF('Input Laying'!E89="","",IF('Input Laying'!N89="","",'Input Laying'!O89/'Input Laying'!$G$6))</f>
        <v/>
      </c>
      <c r="G88" s="121">
        <f>IF(OR(Std!G94=0,Std!G94=""),"",Std!G94)</f>
        <v>418.43339833390496</v>
      </c>
      <c r="H88" s="107" t="str">
        <f>IF('Input Laying'!X89="","",'Input Laying'!X89)</f>
        <v/>
      </c>
      <c r="I88" s="120">
        <f>IF(Std!C94=0,"",Std!C94)</f>
        <v>64.766276722483241</v>
      </c>
      <c r="J88" s="107" t="str">
        <f t="shared" ref="J88:J95" si="6">IF(OR(N88="",F88="",N88=0,F88=0),"",N88/F88*1000)</f>
        <v/>
      </c>
      <c r="K88" s="120">
        <f>'Graph values'!AX81/'Graph values'!AU81*1000</f>
        <v>62.9195415700677</v>
      </c>
      <c r="L88" s="108" t="str">
        <f>IF('Input Laying'!N89="","",IF('Input Laying'!N89=0,"",IF('Production data'!H88="","",H88*D88/100)))</f>
        <v/>
      </c>
      <c r="M88" s="122">
        <f>ROUND(IF(Std!E94=0,"",Std!E94),2)</f>
        <v>47.87</v>
      </c>
      <c r="N88" s="123">
        <f>IF('Input Laying'!X89=0,0,('Input Laying'!N89*'Production data'!H88)/'Input Laying'!$G$6/1000+N87)</f>
        <v>0</v>
      </c>
      <c r="O88" s="124">
        <f>IF(Std!F94=0,"",Std!F94)</f>
        <v>26.313027952166639</v>
      </c>
      <c r="P88" s="411" t="str">
        <f>IF('Input Laying'!AD89="","",((('Input Laying'!AE88+'Input Laying'!AD89-'Input Laying'!AE89)/'Input Laying'!D89))/7*1000)</f>
        <v/>
      </c>
      <c r="Q88" s="411" t="str">
        <f>'Input Laying'!AA89</f>
        <v/>
      </c>
      <c r="R88" s="112" t="str">
        <f>'Input Laying'!AB89</f>
        <v/>
      </c>
      <c r="S88" s="125" t="str">
        <f>IF(OR('Input Laying'!N89=0,'Input Laying'!N89="",'Input Laying'!AD89=""),"",('Input Laying'!AD89*1000/'Input Laying'!N89))</f>
        <v/>
      </c>
      <c r="T88" s="409" t="str">
        <f>IF(OR('Input Laying'!O89="",'Input Laying'!O89=0),"",'Input Laying'!AF89*1000/'Input Laying'!O89)</f>
        <v/>
      </c>
      <c r="U88" s="108" t="str">
        <f t="shared" ref="U88:U95" si="7">IF(OR(P88=0,P88="",L88=""),"",P88/L88)</f>
        <v/>
      </c>
      <c r="V88" s="127" t="str">
        <f>IF(OR(N88=0,N88=""),"",IF(OR('Input Laying'!AF89="",'Input Laying'!AF89=0),"",'Input Laying'!AF89/(N88*'Input Laying'!$G$6)))</f>
        <v/>
      </c>
      <c r="W88" s="107" t="str">
        <f>IF('Input Laying'!V89="","",IF('Input Laying'!V89=0,"",('Input Laying'!V89)/'Input Laying'!N89*100))</f>
        <v/>
      </c>
      <c r="X88" s="126" t="str">
        <f>IF('Input Laying'!V89=0,"",IF('Input Laying'!V89="","",'Input Laying'!W89/'Input Laying'!O89*100))</f>
        <v/>
      </c>
      <c r="Y88" s="128" t="str">
        <f>IF(OR('Input Laying'!AH89="",'Input Laying'!AH89=0),"",'Input Laying'!AH89)</f>
        <v/>
      </c>
      <c r="Z88" s="118">
        <f>IF(Std!D94=0,"",Std!D94)</f>
        <v>1971.0567960785952</v>
      </c>
    </row>
    <row r="89" spans="1:26" ht="15.75" customHeight="1" x14ac:dyDescent="0.2">
      <c r="A89" s="316">
        <f>IF('Input Laying'!A90="","",'Input Laying'!A90)</f>
        <v>637</v>
      </c>
      <c r="B89" s="321">
        <v>92</v>
      </c>
      <c r="C89" s="241" t="str">
        <f>IF(OR('Input Laying'!D90="",'Input Laying'!$G$6="",'Input Laying'!$G$6=0),"",'Input Laying'!D90/'Input Laying'!$G$6*100)</f>
        <v/>
      </c>
      <c r="D89" s="242" t="str">
        <f>IF('Input Laying'!E90="","",IF('Input Laying'!N90="","",'Input Laying'!N90/7/'Input Laying'!D90*100))</f>
        <v/>
      </c>
      <c r="E89" s="243">
        <f>IF(OR(Std!B95=0,Std!B95=""),"",Std!B95)</f>
        <v>73.454740941304152</v>
      </c>
      <c r="F89" s="244" t="str">
        <f>IF('Input Laying'!E90="","",IF('Input Laying'!N90="","",'Input Laying'!O90/'Input Laying'!$G$6))</f>
        <v/>
      </c>
      <c r="G89" s="245">
        <f>IF(OR(Std!G95=0,Std!G95=""),"",Std!G95)</f>
        <v>423.20501830545209</v>
      </c>
      <c r="H89" s="244" t="str">
        <f>IF('Input Laying'!X90="","",'Input Laying'!X90)</f>
        <v/>
      </c>
      <c r="I89" s="243">
        <f>IF(Std!C95=0,"",Std!C95)</f>
        <v>64.797138440552899</v>
      </c>
      <c r="J89" s="244" t="str">
        <f t="shared" si="6"/>
        <v/>
      </c>
      <c r="K89" s="243">
        <f>'Graph values'!AX82/'Graph values'!AU82*1000</f>
        <v>62.941519487597105</v>
      </c>
      <c r="L89" s="246" t="str">
        <f>IF('Input Laying'!N90="","",IF('Input Laying'!N90=0,"",IF('Production data'!H89="","",H89*D89/100)))</f>
        <v/>
      </c>
      <c r="M89" s="247">
        <f>ROUND(IF(Std!E95=0,"",Std!E95),2)</f>
        <v>47.6</v>
      </c>
      <c r="N89" s="248">
        <f>IF('Input Laying'!X90=0,0,('Input Laying'!N90*'Production data'!H89)/'Input Laying'!$G$6/1000+N88)</f>
        <v>0</v>
      </c>
      <c r="O89" s="249">
        <f>IF(Std!F95=0,"",Std!F95)</f>
        <v>26.622215272048685</v>
      </c>
      <c r="P89" s="413" t="str">
        <f>IF('Input Laying'!AD90="","",((('Input Laying'!AE89+'Input Laying'!AD90-'Input Laying'!AE90)/'Input Laying'!D90))/7*1000)</f>
        <v/>
      </c>
      <c r="Q89" s="413" t="str">
        <f>'Input Laying'!AA90</f>
        <v/>
      </c>
      <c r="R89" s="241" t="str">
        <f>'Input Laying'!AB90</f>
        <v/>
      </c>
      <c r="S89" s="250" t="str">
        <f>IF(OR('Input Laying'!N90=0,'Input Laying'!N90="",'Input Laying'!AD90=""),"",('Input Laying'!AD90*1000/'Input Laying'!N90))</f>
        <v/>
      </c>
      <c r="T89" s="408" t="str">
        <f>IF(OR('Input Laying'!O90="",'Input Laying'!O90=0),"",'Input Laying'!AF90*1000/'Input Laying'!O90)</f>
        <v/>
      </c>
      <c r="U89" s="246" t="str">
        <f t="shared" si="7"/>
        <v/>
      </c>
      <c r="V89" s="252" t="str">
        <f>IF(OR(N89=0,N89=""),"",IF(OR('Input Laying'!AF90="",'Input Laying'!AF90=0),"",'Input Laying'!AF90/(N89*'Input Laying'!$G$6)))</f>
        <v/>
      </c>
      <c r="W89" s="244" t="str">
        <f>IF('Input Laying'!V90="","",IF('Input Laying'!V90=0,"",('Input Laying'!V90)/'Input Laying'!N90*100))</f>
        <v/>
      </c>
      <c r="X89" s="251" t="str">
        <f>IF('Input Laying'!V90=0,"",IF('Input Laying'!V90="","",'Input Laying'!W90/'Input Laying'!O90*100))</f>
        <v/>
      </c>
      <c r="Y89" s="253" t="str">
        <f>IF(OR('Input Laying'!AH90="",'Input Laying'!AH90=0),"",'Input Laying'!AH90)</f>
        <v/>
      </c>
      <c r="Z89" s="254">
        <f>IF(Std!D95=0,"",Std!D95)</f>
        <v>1971.5241829470369</v>
      </c>
    </row>
    <row r="90" spans="1:26" ht="15.75" customHeight="1" x14ac:dyDescent="0.2">
      <c r="A90" s="317">
        <f>IF('Input Laying'!A91="","",'Input Laying'!A91)</f>
        <v>644</v>
      </c>
      <c r="B90" s="322">
        <v>93</v>
      </c>
      <c r="C90" s="112" t="str">
        <f>IF(OR('Input Laying'!D91="",'Input Laying'!$G$6="",'Input Laying'!$G$6=0),"",'Input Laying'!D91/'Input Laying'!$G$6*100)</f>
        <v/>
      </c>
      <c r="D90" s="119" t="str">
        <f>IF('Input Laying'!E91="","",IF('Input Laying'!N91="","",'Input Laying'!N91/7/'Input Laying'!D91*100))</f>
        <v/>
      </c>
      <c r="E90" s="120">
        <f>IF(OR(Std!B96=0,Std!B96=""),"",Std!B96)</f>
        <v>72.99617161702804</v>
      </c>
      <c r="F90" s="107" t="str">
        <f>IF('Input Laying'!E91="","",IF('Input Laying'!N91="","",'Input Laying'!O91/'Input Laying'!$G$6))</f>
        <v/>
      </c>
      <c r="G90" s="121">
        <f>IF(OR(Std!G96=0,Std!G96=""),"",Std!G96)</f>
        <v>427.94194427096153</v>
      </c>
      <c r="H90" s="107" t="str">
        <f>IF('Input Laying'!X91="","",'Input Laying'!X91)</f>
        <v/>
      </c>
      <c r="I90" s="120">
        <f>IF(Std!C96=0,"",Std!C96)</f>
        <v>64.828000158622558</v>
      </c>
      <c r="J90" s="107" t="str">
        <f t="shared" si="6"/>
        <v/>
      </c>
      <c r="K90" s="120">
        <f>'Graph values'!AX83/'Graph values'!AU83*1000</f>
        <v>62.963211214324133</v>
      </c>
      <c r="L90" s="108" t="str">
        <f>IF('Input Laying'!N91="","",IF('Input Laying'!N91=0,"",IF('Production data'!H90="","",H90*D90/100)))</f>
        <v/>
      </c>
      <c r="M90" s="122">
        <f>ROUND(IF(Std!E96=0,"",Std!E96),2)</f>
        <v>47.32</v>
      </c>
      <c r="N90" s="123">
        <f>IF('Input Laying'!X91=0,0,('Input Laying'!N91*'Production data'!H90)/'Input Laying'!$G$6/1000+N89)</f>
        <v>0</v>
      </c>
      <c r="O90" s="124">
        <f>IF(Std!F96=0,"",Std!F96)</f>
        <v>26.929300709292114</v>
      </c>
      <c r="P90" s="411" t="str">
        <f>IF('Input Laying'!AD91="","",((('Input Laying'!AE90+'Input Laying'!AD91-'Input Laying'!AE91)/'Input Laying'!D91))/7*1000)</f>
        <v/>
      </c>
      <c r="Q90" s="411" t="str">
        <f>'Input Laying'!AA91</f>
        <v/>
      </c>
      <c r="R90" s="112" t="str">
        <f>'Input Laying'!AB91</f>
        <v/>
      </c>
      <c r="S90" s="125" t="str">
        <f>IF(OR('Input Laying'!N91=0,'Input Laying'!N91="",'Input Laying'!AD91=""),"",('Input Laying'!AD91*1000/'Input Laying'!N91))</f>
        <v/>
      </c>
      <c r="T90" s="409" t="str">
        <f>IF(OR('Input Laying'!O91="",'Input Laying'!O91=0),"",'Input Laying'!AF91*1000/'Input Laying'!O91)</f>
        <v/>
      </c>
      <c r="U90" s="108" t="str">
        <f t="shared" si="7"/>
        <v/>
      </c>
      <c r="V90" s="127" t="str">
        <f>IF(OR(N90=0,N90=""),"",IF(OR('Input Laying'!AF91="",'Input Laying'!AF91=0),"",'Input Laying'!AF91/(N90*'Input Laying'!$G$6)))</f>
        <v/>
      </c>
      <c r="W90" s="107" t="str">
        <f>IF('Input Laying'!V91="","",IF('Input Laying'!V91=0,"",('Input Laying'!V91)/'Input Laying'!N91*100))</f>
        <v/>
      </c>
      <c r="X90" s="126" t="str">
        <f>IF('Input Laying'!V91=0,"",IF('Input Laying'!V91="","",'Input Laying'!W91/'Input Laying'!O91*100))</f>
        <v/>
      </c>
      <c r="Y90" s="128" t="str">
        <f>IF(OR('Input Laying'!AH91="",'Input Laying'!AH91=0),"",'Input Laying'!AH91)</f>
        <v/>
      </c>
      <c r="Z90" s="118">
        <f>IF(Std!D96=0,"",Std!D96)</f>
        <v>1971.9915698154787</v>
      </c>
    </row>
    <row r="91" spans="1:26" ht="15.75" customHeight="1" x14ac:dyDescent="0.2">
      <c r="A91" s="316">
        <f>IF('Input Laying'!A92="","",'Input Laying'!A92)</f>
        <v>651</v>
      </c>
      <c r="B91" s="321">
        <v>94</v>
      </c>
      <c r="C91" s="241" t="str">
        <f>IF(OR('Input Laying'!D92="",'Input Laying'!$G$6="",'Input Laying'!$G$6=0),"",'Input Laying'!D92/'Input Laying'!$G$6*100)</f>
        <v/>
      </c>
      <c r="D91" s="242" t="str">
        <f>IF('Input Laying'!E92="","",IF('Input Laying'!N92="","",'Input Laying'!N92/7/'Input Laying'!D92*100))</f>
        <v/>
      </c>
      <c r="E91" s="243">
        <f>IF(OR(Std!B97=0,Std!B97=""),"",Std!B97)</f>
        <v>72.537610812849536</v>
      </c>
      <c r="F91" s="244" t="str">
        <f>IF('Input Laying'!E92="","",IF('Input Laying'!N92="","",'Input Laying'!O92/'Input Laying'!$G$6))</f>
        <v/>
      </c>
      <c r="G91" s="245">
        <f>IF(OR(Std!G97=0,Std!G97=""),"",Std!G97)</f>
        <v>432.64423841447098</v>
      </c>
      <c r="H91" s="244" t="str">
        <f>IF('Input Laying'!X92="","",'Input Laying'!X92)</f>
        <v/>
      </c>
      <c r="I91" s="243">
        <f>IF(Std!C97=0,"",Std!C97)</f>
        <v>64.858861876692231</v>
      </c>
      <c r="J91" s="244" t="str">
        <f t="shared" si="6"/>
        <v/>
      </c>
      <c r="K91" s="243">
        <f>'Graph values'!AX84/'Graph values'!AU84*1000</f>
        <v>62.984626752891749</v>
      </c>
      <c r="L91" s="246" t="str">
        <f>IF('Input Laying'!N92="","",IF('Input Laying'!N92=0,"",IF('Production data'!H91="","",H91*D91/100)))</f>
        <v/>
      </c>
      <c r="M91" s="247">
        <f>ROUND(IF(Std!E97=0,"",Std!E97),2)</f>
        <v>47.05</v>
      </c>
      <c r="N91" s="248">
        <f>IF('Input Laying'!X92=0,0,('Input Laying'!N92*'Production data'!H91)/'Input Laying'!$G$6/1000+N90)</f>
        <v>0</v>
      </c>
      <c r="O91" s="249">
        <f>IF(Std!F97=0,"",Std!F97)</f>
        <v>27.234286155649571</v>
      </c>
      <c r="P91" s="413" t="str">
        <f>IF('Input Laying'!AD92="","",((('Input Laying'!AE91+'Input Laying'!AD92-'Input Laying'!AE92)/'Input Laying'!D92))/7*1000)</f>
        <v/>
      </c>
      <c r="Q91" s="413" t="str">
        <f>'Input Laying'!AA92</f>
        <v/>
      </c>
      <c r="R91" s="241" t="str">
        <f>'Input Laying'!AB92</f>
        <v/>
      </c>
      <c r="S91" s="250" t="str">
        <f>IF(OR('Input Laying'!N92=0,'Input Laying'!N92="",'Input Laying'!AD92=""),"",('Input Laying'!AD92*1000/'Input Laying'!N92))</f>
        <v/>
      </c>
      <c r="T91" s="408" t="str">
        <f>IF(OR('Input Laying'!O92="",'Input Laying'!O92=0),"",'Input Laying'!AF92*1000/'Input Laying'!O92)</f>
        <v/>
      </c>
      <c r="U91" s="246" t="str">
        <f t="shared" si="7"/>
        <v/>
      </c>
      <c r="V91" s="252" t="str">
        <f>IF(OR(N91=0,N91=""),"",IF(OR('Input Laying'!AF92="",'Input Laying'!AF92=0),"",'Input Laying'!AF92/(N91*'Input Laying'!$G$6)))</f>
        <v/>
      </c>
      <c r="W91" s="244" t="str">
        <f>IF('Input Laying'!V92="","",IF('Input Laying'!V92=0,"",('Input Laying'!V92)/'Input Laying'!N92*100))</f>
        <v/>
      </c>
      <c r="X91" s="251" t="str">
        <f>IF('Input Laying'!V92=0,"",IF('Input Laying'!V92="","",'Input Laying'!W92/'Input Laying'!O92*100))</f>
        <v/>
      </c>
      <c r="Y91" s="253" t="str">
        <f>IF(OR('Input Laying'!AH92="",'Input Laying'!AH92=0),"",'Input Laying'!AH92)</f>
        <v/>
      </c>
      <c r="Z91" s="254">
        <f>IF(Std!D97=0,"",Std!D97)</f>
        <v>1972.4589566839204</v>
      </c>
    </row>
    <row r="92" spans="1:26" ht="15.75" customHeight="1" x14ac:dyDescent="0.2">
      <c r="A92" s="317">
        <f>IF('Input Laying'!A93="","",'Input Laying'!A93)</f>
        <v>658</v>
      </c>
      <c r="B92" s="322">
        <v>95</v>
      </c>
      <c r="C92" s="112" t="str">
        <f>IF(OR('Input Laying'!D93="",'Input Laying'!$G$6="",'Input Laying'!$G$6=0),"",'Input Laying'!D93/'Input Laying'!$G$6*100)</f>
        <v/>
      </c>
      <c r="D92" s="119" t="str">
        <f>IF('Input Laying'!E93="","",IF('Input Laying'!N93="","",'Input Laying'!N93/7/'Input Laying'!D93*100))</f>
        <v/>
      </c>
      <c r="E92" s="120">
        <f>IF(OR(Std!B98=0,Std!B98=""),"",Std!B98)</f>
        <v>72.078612107746565</v>
      </c>
      <c r="F92" s="107" t="str">
        <f>IF('Input Laying'!E93="","",IF('Input Laying'!N93="","",'Input Laying'!O93/'Input Laying'!$G$6))</f>
        <v/>
      </c>
      <c r="G92" s="121">
        <f>IF(OR(Std!G98=0,Std!G98=""),"",Std!G98)</f>
        <v>437.31193400878925</v>
      </c>
      <c r="H92" s="107" t="str">
        <f>IF('Input Laying'!X93="","",'Input Laying'!X93)</f>
        <v/>
      </c>
      <c r="I92" s="120">
        <f>IF(Std!C98=0,"",Std!C98)</f>
        <v>64.88972359476189</v>
      </c>
      <c r="J92" s="107" t="str">
        <f t="shared" si="6"/>
        <v/>
      </c>
      <c r="K92" s="120">
        <f>'Graph values'!AX85/'Graph values'!AU85*1000</f>
        <v>63.005775410984022</v>
      </c>
      <c r="L92" s="108" t="str">
        <f>IF('Input Laying'!N93="","",IF('Input Laying'!N93=0,"",IF('Production data'!H92="","",H92*D92/100)))</f>
        <v/>
      </c>
      <c r="M92" s="122">
        <f>ROUND(IF(Std!E98=0,"",Std!E98),2)</f>
        <v>46.77</v>
      </c>
      <c r="N92" s="123">
        <f>IF('Input Laying'!X93=0,0,('Input Laying'!N93*'Production data'!H92)/'Input Laying'!$G$6/1000+N91)</f>
        <v>0</v>
      </c>
      <c r="O92" s="124">
        <f>IF(Std!F98=0,"",Std!F98)</f>
        <v>27.53717163258937</v>
      </c>
      <c r="P92" s="411" t="str">
        <f>IF('Input Laying'!AD93="","",((('Input Laying'!AE92+'Input Laying'!AD93-'Input Laying'!AE93)/'Input Laying'!D93))/7*1000)</f>
        <v/>
      </c>
      <c r="Q92" s="411" t="str">
        <f>'Input Laying'!AA93</f>
        <v/>
      </c>
      <c r="R92" s="112" t="str">
        <f>'Input Laying'!AB93</f>
        <v/>
      </c>
      <c r="S92" s="125" t="str">
        <f>IF(OR('Input Laying'!N93=0,'Input Laying'!N93="",'Input Laying'!AD93=""),"",('Input Laying'!AD93*1000/'Input Laying'!N93))</f>
        <v/>
      </c>
      <c r="T92" s="409" t="str">
        <f>IF(OR('Input Laying'!O93="",'Input Laying'!O93=0),"",'Input Laying'!AF93*1000/'Input Laying'!O93)</f>
        <v/>
      </c>
      <c r="U92" s="108" t="str">
        <f t="shared" si="7"/>
        <v/>
      </c>
      <c r="V92" s="127" t="str">
        <f>IF(OR(N92=0,N92=""),"",IF(OR('Input Laying'!AF93="",'Input Laying'!AF93=0),"",'Input Laying'!AF93/(N92*'Input Laying'!$G$6)))</f>
        <v/>
      </c>
      <c r="W92" s="107" t="str">
        <f>IF('Input Laying'!V93="","",IF('Input Laying'!V93=0,"",('Input Laying'!V93)/'Input Laying'!N93*100))</f>
        <v/>
      </c>
      <c r="X92" s="126" t="str">
        <f>IF('Input Laying'!V93=0,"",IF('Input Laying'!V93="","",'Input Laying'!W93/'Input Laying'!O93*100))</f>
        <v/>
      </c>
      <c r="Y92" s="128" t="str">
        <f>IF(OR('Input Laying'!AH93="",'Input Laying'!AH93=0),"",'Input Laying'!AH93)</f>
        <v/>
      </c>
      <c r="Z92" s="118">
        <f>IF(Std!D98=0,"",Std!D98)</f>
        <v>1972.9263435523621</v>
      </c>
    </row>
    <row r="93" spans="1:26" ht="15.75" customHeight="1" x14ac:dyDescent="0.2">
      <c r="A93" s="316">
        <f>IF('Input Laying'!A94="","",'Input Laying'!A94)</f>
        <v>665</v>
      </c>
      <c r="B93" s="321">
        <v>96</v>
      </c>
      <c r="C93" s="241" t="str">
        <f>IF(OR('Input Laying'!D94="",'Input Laying'!$G$6="",'Input Laying'!$G$6=0),"",'Input Laying'!D94/'Input Laying'!$G$6*100)</f>
        <v/>
      </c>
      <c r="D93" s="242" t="str">
        <f>IF('Input Laying'!E94="","",IF('Input Laying'!N94="","",'Input Laying'!N94/7/'Input Laying'!D94*100))</f>
        <v/>
      </c>
      <c r="E93" s="243">
        <f>IF(OR(Std!B99=0,Std!B99=""),"",Std!B99)</f>
        <v>71.618683654952662</v>
      </c>
      <c r="F93" s="244" t="str">
        <f>IF('Input Laying'!E94="","",IF('Input Laying'!N94="","",'Input Laying'!O94/'Input Laying'!$G$6))</f>
        <v/>
      </c>
      <c r="G93" s="245">
        <f>IF(OR(Std!G99=0,Std!G99=""),"",Std!G99)</f>
        <v>441.94503259684853</v>
      </c>
      <c r="H93" s="244" t="str">
        <f>IF('Input Laying'!X94="","",'Input Laying'!X94)</f>
        <v/>
      </c>
      <c r="I93" s="243">
        <f>IF(Std!C99=0,"",Std!C99)</f>
        <v>64.920585312831548</v>
      </c>
      <c r="J93" s="244" t="str">
        <f t="shared" si="6"/>
        <v/>
      </c>
      <c r="K93" s="243">
        <f>'Graph values'!AX86/'Graph values'!AU86*1000</f>
        <v>63.02666583183013</v>
      </c>
      <c r="L93" s="246" t="str">
        <f>IF('Input Laying'!N94="","",IF('Input Laying'!N94=0,"",IF('Production data'!H93="","",H93*D93/100)))</f>
        <v/>
      </c>
      <c r="M93" s="247">
        <f>ROUND(IF(Std!E99=0,"",Std!E99),2)</f>
        <v>46.5</v>
      </c>
      <c r="N93" s="248">
        <f>IF('Input Laying'!X94=0,0,('Input Laying'!N94*'Production data'!H93)/'Input Laying'!$G$6/1000+N92)</f>
        <v>0</v>
      </c>
      <c r="O93" s="249">
        <f>IF(Std!F99=0,"",Std!F99)</f>
        <v>27.837955104738231</v>
      </c>
      <c r="P93" s="413" t="str">
        <f>IF('Input Laying'!AD94="","",((('Input Laying'!AE93+'Input Laying'!AD94-'Input Laying'!AE94)/'Input Laying'!D94))/7*1000)</f>
        <v/>
      </c>
      <c r="Q93" s="413" t="str">
        <f>'Input Laying'!AA94</f>
        <v/>
      </c>
      <c r="R93" s="241" t="str">
        <f>'Input Laying'!AB94</f>
        <v/>
      </c>
      <c r="S93" s="250" t="str">
        <f>IF(OR('Input Laying'!N94=0,'Input Laying'!N94="",'Input Laying'!AD94=""),"",('Input Laying'!AD94*1000/'Input Laying'!N94))</f>
        <v/>
      </c>
      <c r="T93" s="408" t="str">
        <f>IF(OR('Input Laying'!O94="",'Input Laying'!O94=0),"",'Input Laying'!AF94*1000/'Input Laying'!O94)</f>
        <v/>
      </c>
      <c r="U93" s="246" t="str">
        <f t="shared" si="7"/>
        <v/>
      </c>
      <c r="V93" s="252" t="str">
        <f>IF(OR(N93=0,N93=""),"",IF(OR('Input Laying'!AF94="",'Input Laying'!AF94=0),"",'Input Laying'!AF94/(N93*'Input Laying'!$G$6)))</f>
        <v/>
      </c>
      <c r="W93" s="244" t="str">
        <f>IF('Input Laying'!V94="","",IF('Input Laying'!V94=0,"",('Input Laying'!V94)/'Input Laying'!N94*100))</f>
        <v/>
      </c>
      <c r="X93" s="251" t="str">
        <f>IF('Input Laying'!V94=0,"",IF('Input Laying'!V94="","",'Input Laying'!W94/'Input Laying'!O94*100))</f>
        <v/>
      </c>
      <c r="Y93" s="253" t="str">
        <f>IF(OR('Input Laying'!AH94="",'Input Laying'!AH94=0),"",'Input Laying'!AH94)</f>
        <v/>
      </c>
      <c r="Z93" s="254">
        <f>IF(Std!D99=0,"",Std!D99)</f>
        <v>1973.3937304208039</v>
      </c>
    </row>
    <row r="94" spans="1:26" ht="15.75" customHeight="1" x14ac:dyDescent="0.2">
      <c r="A94" s="317">
        <f>IF('Input Laying'!A95="","",'Input Laying'!A95)</f>
        <v>672</v>
      </c>
      <c r="B94" s="322">
        <v>97</v>
      </c>
      <c r="C94" s="112" t="str">
        <f>IF(OR('Input Laying'!D95="",'Input Laying'!$G$6="",'Input Laying'!$G$6=0),"",'Input Laying'!D95/'Input Laying'!$G$6*100)</f>
        <v/>
      </c>
      <c r="D94" s="119" t="str">
        <f>IF('Input Laying'!E95="","",IF('Input Laying'!N95="","",'Input Laying'!N95/7/'Input Laying'!D95*100))</f>
        <v/>
      </c>
      <c r="E94" s="120">
        <f>IF(OR(Std!B100=0,Std!B100=""),"",Std!B100)</f>
        <v>71.157288181957654</v>
      </c>
      <c r="F94" s="107" t="str">
        <f>IF('Input Laying'!E95="","",IF('Input Laying'!N95="","",'Input Laying'!O95/'Input Laying'!$G$6))</f>
        <v/>
      </c>
      <c r="G94" s="121">
        <f>IF(OR(Std!G100=0,Std!G100=""),"",Std!G100)</f>
        <v>446.54350118831934</v>
      </c>
      <c r="H94" s="107" t="str">
        <f>IF('Input Laying'!X95="","",'Input Laying'!X95)</f>
        <v/>
      </c>
      <c r="I94" s="120">
        <f>IF(Std!C100=0,"",Std!C100)</f>
        <v>64.951447030901221</v>
      </c>
      <c r="J94" s="107" t="str">
        <f t="shared" si="6"/>
        <v/>
      </c>
      <c r="K94" s="120">
        <f>'Graph values'!AX87/'Graph values'!AU87*1000</f>
        <v>63.047306021563848</v>
      </c>
      <c r="L94" s="108" t="str">
        <f>IF('Input Laying'!N95="","",IF('Input Laying'!N95=0,"",IF('Production data'!H94="","",H94*D94/100)))</f>
        <v/>
      </c>
      <c r="M94" s="122">
        <f>ROUND(IF(Std!E100=0,"",Std!E100),2)</f>
        <v>46.22</v>
      </c>
      <c r="N94" s="123">
        <f>IF('Input Laying'!X95=0,0,('Input Laying'!N95*'Production data'!H94)/'Input Laying'!$G$6/1000+N93)</f>
        <v>0</v>
      </c>
      <c r="O94" s="124">
        <f>IF(Std!F100=0,"",Std!F100)</f>
        <v>28.13663229388041</v>
      </c>
      <c r="P94" s="411" t="str">
        <f>IF('Input Laying'!AD95="","",((('Input Laying'!AE94+'Input Laying'!AD95-'Input Laying'!AE95)/'Input Laying'!D95))/7*1000)</f>
        <v/>
      </c>
      <c r="Q94" s="411" t="str">
        <f>'Input Laying'!AA95</f>
        <v/>
      </c>
      <c r="R94" s="112" t="str">
        <f>'Input Laying'!AB95</f>
        <v/>
      </c>
      <c r="S94" s="125" t="str">
        <f>IF(OR('Input Laying'!N95=0,'Input Laying'!N95="",'Input Laying'!AD95=""),"",('Input Laying'!AD95*1000/'Input Laying'!N95))</f>
        <v/>
      </c>
      <c r="T94" s="409" t="str">
        <f>IF(OR('Input Laying'!O95="",'Input Laying'!O95=0),"",'Input Laying'!AF95*1000/'Input Laying'!O95)</f>
        <v/>
      </c>
      <c r="U94" s="108" t="str">
        <f t="shared" si="7"/>
        <v/>
      </c>
      <c r="V94" s="127" t="str">
        <f>IF(OR(N94=0,N94=""),"",IF(OR('Input Laying'!AF95="",'Input Laying'!AF95=0),"",'Input Laying'!AF95/(N94*'Input Laying'!$G$6)))</f>
        <v/>
      </c>
      <c r="W94" s="107" t="str">
        <f>IF('Input Laying'!V95="","",IF('Input Laying'!V95=0,"",('Input Laying'!V95)/'Input Laying'!N95*100))</f>
        <v/>
      </c>
      <c r="X94" s="126" t="str">
        <f>IF('Input Laying'!V95=0,"",IF('Input Laying'!V95="","",'Input Laying'!W95/'Input Laying'!O95*100))</f>
        <v/>
      </c>
      <c r="Y94" s="128" t="str">
        <f>IF(OR('Input Laying'!AH95="",'Input Laying'!AH95=0),"",'Input Laying'!AH95)</f>
        <v/>
      </c>
      <c r="Z94" s="118">
        <f>IF(Std!D100=0,"",Std!D100)</f>
        <v>1973.8611172892458</v>
      </c>
    </row>
    <row r="95" spans="1:26" ht="15.75" customHeight="1" x14ac:dyDescent="0.2">
      <c r="A95" s="316">
        <f>IF('Input Laying'!A96="","",'Input Laying'!A96)</f>
        <v>679</v>
      </c>
      <c r="B95" s="321">
        <v>98</v>
      </c>
      <c r="C95" s="241" t="str">
        <f>IF(OR('Input Laying'!D96="",'Input Laying'!$G$6="",'Input Laying'!$G$6=0),"",'Input Laying'!D96/'Input Laying'!$G$6*100)</f>
        <v/>
      </c>
      <c r="D95" s="242" t="str">
        <f>IF('Input Laying'!E96="","",IF('Input Laying'!N96="","",'Input Laying'!N96/7/'Input Laying'!D96*100))</f>
        <v/>
      </c>
      <c r="E95" s="243">
        <f>IF(OR(Std!B101=0,Std!B101=""),"",Std!B101)</f>
        <v>70.693842990506596</v>
      </c>
      <c r="F95" s="244" t="str">
        <f>IF('Input Laying'!E96="","",IF('Input Laying'!N96="","",'Input Laying'!O96/'Input Laying'!$G$6))</f>
        <v/>
      </c>
      <c r="G95" s="245">
        <f>IF(OR(Std!G101=0,Std!G101=""),"",Std!G101)</f>
        <v>451.10726947148885</v>
      </c>
      <c r="H95" s="244" t="str">
        <f>IF('Input Laying'!X96="","",'Input Laying'!X96)</f>
        <v/>
      </c>
      <c r="I95" s="243">
        <f>IF(Std!C101=0,"",Std!C101)</f>
        <v>64.98230874897088</v>
      </c>
      <c r="J95" s="244" t="str">
        <f t="shared" si="6"/>
        <v/>
      </c>
      <c r="K95" s="243">
        <f>'Graph values'!AX88/'Graph values'!AU88*1000</f>
        <v>63.067703373697299</v>
      </c>
      <c r="L95" s="246" t="str">
        <f>IF('Input Laying'!N96="","",IF('Input Laying'!N96=0,"",IF('Production data'!H95="","",H95*D95/100)))</f>
        <v/>
      </c>
      <c r="M95" s="247">
        <f>ROUND(IF(Std!E101=0,"",Std!E101),2)</f>
        <v>45.94</v>
      </c>
      <c r="N95" s="248">
        <f>IF('Input Laying'!X96=0,0,('Input Laying'!N96*'Production data'!H95)/'Input Laying'!$G$6/1000+N94)</f>
        <v>0</v>
      </c>
      <c r="O95" s="249">
        <f>IF(Std!F101=0,"",Std!F101)</f>
        <v>28.433196493516093</v>
      </c>
      <c r="P95" s="413" t="str">
        <f>IF('Input Laying'!AD96="","",((('Input Laying'!AE95+'Input Laying'!AD96-'Input Laying'!AE96)/'Input Laying'!D96))/7*1000)</f>
        <v/>
      </c>
      <c r="Q95" s="413" t="str">
        <f>'Input Laying'!AA96</f>
        <v/>
      </c>
      <c r="R95" s="241" t="str">
        <f>'Input Laying'!AB96</f>
        <v/>
      </c>
      <c r="S95" s="250" t="str">
        <f>IF(OR('Input Laying'!N96=0,'Input Laying'!N96="",'Input Laying'!AD96=""),"",('Input Laying'!AD96*1000/'Input Laying'!N96))</f>
        <v/>
      </c>
      <c r="T95" s="408" t="str">
        <f>IF(OR('Input Laying'!O96="",'Input Laying'!O96=0),"",'Input Laying'!AF96*1000/'Input Laying'!O96)</f>
        <v/>
      </c>
      <c r="U95" s="246" t="str">
        <f t="shared" si="7"/>
        <v/>
      </c>
      <c r="V95" s="252" t="str">
        <f>IF(OR(N95=0,N95=""),"",IF(OR('Input Laying'!AF96="",'Input Laying'!AF96=0),"",'Input Laying'!AF96/(N95*'Input Laying'!$G$6)))</f>
        <v/>
      </c>
      <c r="W95" s="244" t="str">
        <f>IF('Input Laying'!V96="","",IF('Input Laying'!V96=0,"",('Input Laying'!V96)/'Input Laying'!N96*100))</f>
        <v/>
      </c>
      <c r="X95" s="251" t="str">
        <f>IF('Input Laying'!V96=0,"",IF('Input Laying'!V96="","",'Input Laying'!W96/'Input Laying'!O96*100))</f>
        <v/>
      </c>
      <c r="Y95" s="253" t="str">
        <f>IF(OR('Input Laying'!AH96="",'Input Laying'!AH96=0),"",'Input Laying'!AH96)</f>
        <v/>
      </c>
      <c r="Z95" s="254">
        <f>IF(Std!D101=0,"",Std!D101)</f>
        <v>1974.3285041576876</v>
      </c>
    </row>
    <row r="96" spans="1:26" ht="15.75" customHeight="1" x14ac:dyDescent="0.2">
      <c r="A96" s="317">
        <f>IF('Input Laying'!A97="","",'Input Laying'!A97)</f>
        <v>686</v>
      </c>
      <c r="B96" s="322">
        <v>99</v>
      </c>
      <c r="C96" s="112" t="str">
        <f>IF(OR('Input Laying'!D97="",'Input Laying'!$G$6="",'Input Laying'!$G$6=0),"",'Input Laying'!D97/'Input Laying'!$G$6*100)</f>
        <v/>
      </c>
      <c r="D96" s="119" t="str">
        <f>IF('Input Laying'!E97="","",IF('Input Laying'!N97="","",'Input Laying'!N97/7/'Input Laying'!D97*100))</f>
        <v/>
      </c>
      <c r="E96" s="120">
        <f>IF(OR(Std!B102=0,Std!B102=""),"",Std!B102)</f>
        <v>70.227719956600424</v>
      </c>
      <c r="F96" s="107" t="str">
        <f>IF('Input Laying'!E97="","",IF('Input Laying'!N97="","",'Input Laying'!O97/'Input Laying'!$G$6))</f>
        <v/>
      </c>
      <c r="G96" s="121">
        <f>IF(OR(Std!G102=0,Std!G102=""),"",Std!G102)</f>
        <v>455.63622704040199</v>
      </c>
      <c r="H96" s="107" t="str">
        <f>IF('Input Laying'!X97="","",'Input Laying'!X97)</f>
        <v/>
      </c>
      <c r="I96" s="120">
        <f>IF(Std!C102=0,"",Std!C102)</f>
        <v>65.013170467040538</v>
      </c>
      <c r="J96" s="107" t="str">
        <f>IF(OR(N96="",F96="",N96=0,F96=0),"",N96/F96*1000)</f>
        <v/>
      </c>
      <c r="K96" s="120">
        <f>'Graph values'!AX89/'Graph values'!AU89*1000</f>
        <v>63.087864690939782</v>
      </c>
      <c r="L96" s="108" t="str">
        <f>IF('Input Laying'!N97="","",IF('Input Laying'!N97=0,"",IF('Production data'!H96="","",H96*D96/100)))</f>
        <v/>
      </c>
      <c r="M96" s="122">
        <f>ROUND(IF(Std!E102=0,"",Std!E102),2)</f>
        <v>45.66</v>
      </c>
      <c r="N96" s="123">
        <f>IF('Input Laying'!X97=0,0,('Input Laying'!N97*'Production data'!H96)/'Input Laying'!$G$6/1000+N95)</f>
        <v>0</v>
      </c>
      <c r="O96" s="124">
        <f>IF(Std!F102=0,"",Std!F102)</f>
        <v>28.727638383981837</v>
      </c>
      <c r="P96" s="411" t="str">
        <f>IF('Input Laying'!AD97="","",((('Input Laying'!AE96+'Input Laying'!AD97-'Input Laying'!AE97)/'Input Laying'!D97))/7*1000)</f>
        <v/>
      </c>
      <c r="Q96" s="411" t="str">
        <f>'Input Laying'!AA97</f>
        <v/>
      </c>
      <c r="R96" s="112" t="str">
        <f>'Input Laying'!AB97</f>
        <v/>
      </c>
      <c r="S96" s="125" t="str">
        <f>IF(OR('Input Laying'!N97=0,'Input Laying'!N97="",'Input Laying'!AD97=""),"",('Input Laying'!AD97*1000/'Input Laying'!N97))</f>
        <v/>
      </c>
      <c r="T96" s="409" t="str">
        <f>IF(OR('Input Laying'!O97="",'Input Laying'!O97=0),"",'Input Laying'!AF97*1000/'Input Laying'!O97)</f>
        <v/>
      </c>
      <c r="U96" s="108" t="str">
        <f>IF(OR(P96=0,P96="",L96=""),"",P96/L96)</f>
        <v/>
      </c>
      <c r="V96" s="127" t="str">
        <f>IF(OR(N96=0,N96=""),"",IF(OR('Input Laying'!AF97="",'Input Laying'!AF97=0),"",'Input Laying'!AF97/(N96*'Input Laying'!$G$6)))</f>
        <v/>
      </c>
      <c r="W96" s="107" t="str">
        <f>IF('Input Laying'!V97="","",IF('Input Laying'!V97=0,"",('Input Laying'!V97)/'Input Laying'!N97*100))</f>
        <v/>
      </c>
      <c r="X96" s="126" t="str">
        <f>IF('Input Laying'!V97=0,"",IF('Input Laying'!V97="","",'Input Laying'!W97/'Input Laying'!O97*100))</f>
        <v/>
      </c>
      <c r="Y96" s="128" t="str">
        <f>IF(OR('Input Laying'!AH97="",'Input Laying'!AH97=0),"",'Input Laying'!AH97)</f>
        <v/>
      </c>
      <c r="Z96" s="118">
        <f>IF(Std!D102=0,"",Std!D102)</f>
        <v>1974.7958910261293</v>
      </c>
    </row>
    <row r="97" spans="1:26" ht="15.75" customHeight="1" thickBot="1" x14ac:dyDescent="0.25">
      <c r="A97" s="318">
        <f>IF('Input Laying'!A98="","",'Input Laying'!A98)</f>
        <v>693</v>
      </c>
      <c r="B97" s="323">
        <v>100</v>
      </c>
      <c r="C97" s="255" t="str">
        <f>IF(OR('Input Laying'!D98="",'Input Laying'!$G$6="",'Input Laying'!$G$6=0),"",'Input Laying'!D98/'Input Laying'!$G$6*100)</f>
        <v/>
      </c>
      <c r="D97" s="256" t="str">
        <f>IF('Input Laying'!E98="","",IF('Input Laying'!N98="","",'Input Laying'!N98/7/'Input Laying'!D98*100))</f>
        <v/>
      </c>
      <c r="E97" s="257">
        <f>IF(OR(Std!B103=0,Std!B103=""),"",Std!B103)</f>
        <v>69.75824553049604</v>
      </c>
      <c r="F97" s="258" t="str">
        <f>IF('Input Laying'!E98="","",IF('Input Laying'!N98="","",'Input Laying'!O98/'Input Laying'!$G$6))</f>
        <v/>
      </c>
      <c r="G97" s="259">
        <f>IF(OR(Std!G103=0,Std!G103=""),"",Std!G103)</f>
        <v>460.13022063726578</v>
      </c>
      <c r="H97" s="258" t="str">
        <f>IF('Input Laying'!X98="","",'Input Laying'!X98)</f>
        <v/>
      </c>
      <c r="I97" s="260">
        <f>IF(Std!C103=0,"",Std!C103)</f>
        <v>65.044032185110211</v>
      </c>
      <c r="J97" s="258" t="str">
        <f>IF(OR(N97="",F97="",N97=0,F97=0),"",N97/F97*1000)</f>
        <v/>
      </c>
      <c r="K97" s="257">
        <f>'Graph values'!AX90/'Graph values'!AU90*1000</f>
        <v>63.107796204567855</v>
      </c>
      <c r="L97" s="261" t="str">
        <f>IF('Input Laying'!N98="","",IF('Input Laying'!N98=0,"",IF('Production data'!H97="","",H97*D97/100)))</f>
        <v/>
      </c>
      <c r="M97" s="262">
        <f>ROUND(IF(Std!E103=0,"",Std!E103),2)</f>
        <v>45.37</v>
      </c>
      <c r="N97" s="263">
        <f>IF('Input Laying'!X98=0,0,('Input Laying'!N98*'Production data'!H97)/'Input Laying'!$G$6/1000+N96)</f>
        <v>0</v>
      </c>
      <c r="O97" s="264">
        <f>IF(Std!F103=0,"",Std!F103)</f>
        <v>29.019945848135926</v>
      </c>
      <c r="P97" s="414" t="str">
        <f>IF('Input Laying'!AD98="","",((('Input Laying'!AE97+'Input Laying'!AD98-'Input Laying'!AE98)/'Input Laying'!D98))/7*1000)</f>
        <v/>
      </c>
      <c r="Q97" s="414" t="str">
        <f>'Input Laying'!AA98</f>
        <v/>
      </c>
      <c r="R97" s="265" t="str">
        <f>'Input Laying'!AB98</f>
        <v/>
      </c>
      <c r="S97" s="266" t="str">
        <f>IF(OR('Input Laying'!N98=0,'Input Laying'!N98="",'Input Laying'!AD98=""),"",('Input Laying'!AD98*1000/'Input Laying'!N98))</f>
        <v/>
      </c>
      <c r="T97" s="410" t="str">
        <f>IF(OR('Input Laying'!O98="",'Input Laying'!O98=0),"",'Input Laying'!AF98*1000/'Input Laying'!O98)</f>
        <v/>
      </c>
      <c r="U97" s="261" t="str">
        <f>IF(OR(P97=0,P97="",L97=""),"",P97/L97)</f>
        <v/>
      </c>
      <c r="V97" s="268" t="str">
        <f>IF(OR(N97=0,N97=""),"",IF(OR('Input Laying'!AF98="",'Input Laying'!AF98=0),"",'Input Laying'!AF98/(N97*'Input Laying'!$G$6)))</f>
        <v/>
      </c>
      <c r="W97" s="258" t="str">
        <f>IF('Input Laying'!V98="","",IF('Input Laying'!V98=0,"",('Input Laying'!V98)/'Input Laying'!N98*100))</f>
        <v/>
      </c>
      <c r="X97" s="267" t="str">
        <f>IF('Input Laying'!V98=0,"",IF('Input Laying'!V98="","",'Input Laying'!W98/'Input Laying'!O98*100))</f>
        <v/>
      </c>
      <c r="Y97" s="269" t="str">
        <f>IF(OR('Input Laying'!AH98="",'Input Laying'!AH98=0),"",'Input Laying'!AH98)</f>
        <v/>
      </c>
      <c r="Z97" s="270">
        <f>IF(Std!D103=0,"",Std!D103)</f>
        <v>1975.263277894571</v>
      </c>
    </row>
  </sheetData>
  <sheetProtection selectLockedCells="1"/>
  <mergeCells count="50">
    <mergeCell ref="O1:X6"/>
    <mergeCell ref="A1:D1"/>
    <mergeCell ref="L9:M9"/>
    <mergeCell ref="O10:O12"/>
    <mergeCell ref="E4:J4"/>
    <mergeCell ref="E3:J3"/>
    <mergeCell ref="E6:J6"/>
    <mergeCell ref="A7:A12"/>
    <mergeCell ref="C7:C12"/>
    <mergeCell ref="E1:J1"/>
    <mergeCell ref="D7:E9"/>
    <mergeCell ref="D10:D12"/>
    <mergeCell ref="E10:E12"/>
    <mergeCell ref="F10:F12"/>
    <mergeCell ref="F7:G9"/>
    <mergeCell ref="G10:G12"/>
    <mergeCell ref="S10:S12"/>
    <mergeCell ref="T10:T12"/>
    <mergeCell ref="H10:H12"/>
    <mergeCell ref="K10:K12"/>
    <mergeCell ref="I10:I12"/>
    <mergeCell ref="P7:P12"/>
    <mergeCell ref="N9:O9"/>
    <mergeCell ref="J10:J12"/>
    <mergeCell ref="Z10:Z12"/>
    <mergeCell ref="U10:U12"/>
    <mergeCell ref="L10:L12"/>
    <mergeCell ref="R7:R12"/>
    <mergeCell ref="W7:X9"/>
    <mergeCell ref="V10:V12"/>
    <mergeCell ref="Y7:Z9"/>
    <mergeCell ref="Y10:Y12"/>
    <mergeCell ref="X10:X12"/>
    <mergeCell ref="L7:O8"/>
    <mergeCell ref="W10:W12"/>
    <mergeCell ref="Q7:Q12"/>
    <mergeCell ref="N10:N12"/>
    <mergeCell ref="M10:M12"/>
    <mergeCell ref="U7:V9"/>
    <mergeCell ref="S7:T9"/>
    <mergeCell ref="E5:J5"/>
    <mergeCell ref="A6:D6"/>
    <mergeCell ref="I2:J2"/>
    <mergeCell ref="F2:G2"/>
    <mergeCell ref="B7:B12"/>
    <mergeCell ref="A2:D2"/>
    <mergeCell ref="A3:D3"/>
    <mergeCell ref="A4:D4"/>
    <mergeCell ref="A5:D5"/>
    <mergeCell ref="H7:K9"/>
  </mergeCells>
  <phoneticPr fontId="0" type="noConversion"/>
  <printOptions horizontalCentered="1" verticalCentered="1"/>
  <pageMargins left="0" right="0" top="0" bottom="0" header="0" footer="0"/>
  <pageSetup paperSize="9" scale="51" fitToHeight="2" orientation="landscape" horizontalDpi="1200" verticalDpi="1200" r:id="rId1"/>
  <headerFooter alignWithMargins="0"/>
  <rowBreaks count="1" manualBreakCount="1">
    <brk id="57" max="25" man="1"/>
  </rowBreaks>
  <ignoredErrors>
    <ignoredError sqref="U10:W10 T10 F10:H10 E10 N10" 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0">
    <tabColor theme="2"/>
    <pageSetUpPr fitToPage="1"/>
  </sheetPr>
  <dimension ref="A1:O30"/>
  <sheetViews>
    <sheetView showGridLines="0" zoomScale="85" zoomScaleNormal="85" workbookViewId="0"/>
  </sheetViews>
  <sheetFormatPr defaultColWidth="10.28515625" defaultRowHeight="15.75" customHeight="1" x14ac:dyDescent="0.2"/>
  <cols>
    <col min="1" max="1" width="15.7109375" style="1" customWidth="1"/>
    <col min="2" max="16" width="10.7109375" style="1" customWidth="1"/>
    <col min="17" max="16384" width="10.28515625" style="1"/>
  </cols>
  <sheetData>
    <row r="1" spans="1:15" ht="15.75" customHeight="1" x14ac:dyDescent="0.2">
      <c r="B1" s="330"/>
      <c r="C1" s="837" t="str">
        <f>Language!B215&amp;" - "&amp;Std!B1</f>
        <v>Summary - ISA BROWN Baiada ALT 2021</v>
      </c>
      <c r="D1" s="837"/>
      <c r="E1" s="837"/>
      <c r="F1" s="837"/>
      <c r="G1" s="837"/>
      <c r="H1" s="837"/>
      <c r="I1" s="837"/>
      <c r="J1" s="837"/>
      <c r="K1" s="837"/>
      <c r="L1" s="837"/>
      <c r="M1" s="837"/>
      <c r="N1" s="330"/>
    </row>
    <row r="2" spans="1:15" ht="15.75" customHeight="1" x14ac:dyDescent="0.2">
      <c r="A2" s="330"/>
      <c r="B2" s="330"/>
      <c r="C2" s="837"/>
      <c r="D2" s="837"/>
      <c r="E2" s="837"/>
      <c r="F2" s="837"/>
      <c r="G2" s="837"/>
      <c r="H2" s="837"/>
      <c r="I2" s="837"/>
      <c r="J2" s="837"/>
      <c r="K2" s="837"/>
      <c r="L2" s="837"/>
      <c r="M2" s="837"/>
      <c r="N2" s="330"/>
    </row>
    <row r="3" spans="1:15" ht="15.75" customHeight="1" x14ac:dyDescent="0.2">
      <c r="A3" s="330"/>
      <c r="B3" s="330"/>
      <c r="C3" s="837"/>
      <c r="D3" s="837"/>
      <c r="E3" s="837"/>
      <c r="F3" s="837"/>
      <c r="G3" s="837"/>
      <c r="H3" s="837"/>
      <c r="I3" s="837"/>
      <c r="J3" s="837"/>
      <c r="K3" s="837"/>
      <c r="L3" s="837"/>
      <c r="M3" s="837"/>
      <c r="N3" s="330"/>
      <c r="O3" s="37"/>
    </row>
    <row r="4" spans="1:15" ht="15.75" customHeight="1" thickBot="1" x14ac:dyDescent="0.25">
      <c r="A4" s="330"/>
      <c r="B4" s="330"/>
      <c r="C4" s="837"/>
      <c r="D4" s="837"/>
      <c r="E4" s="837"/>
      <c r="F4" s="837"/>
      <c r="G4" s="837"/>
      <c r="H4" s="837"/>
      <c r="I4" s="837"/>
      <c r="J4" s="837"/>
      <c r="K4" s="837"/>
      <c r="L4" s="837"/>
      <c r="M4" s="837"/>
      <c r="N4" s="330"/>
    </row>
    <row r="5" spans="1:15" ht="15.75" customHeight="1" x14ac:dyDescent="0.2">
      <c r="A5" s="819" t="str">
        <f>Language!B216</f>
        <v>Name :</v>
      </c>
      <c r="B5" s="820"/>
      <c r="C5" s="821" t="str">
        <f>'Input Laying'!G1</f>
        <v/>
      </c>
      <c r="D5" s="822"/>
      <c r="E5" s="823"/>
      <c r="F5" s="819" t="str">
        <f>Language!B220</f>
        <v>Date at 18 weeks old :</v>
      </c>
      <c r="G5" s="820"/>
      <c r="H5" s="838">
        <f>'Input Laying'!G4</f>
        <v>119</v>
      </c>
      <c r="I5" s="839"/>
      <c r="J5" s="839"/>
      <c r="K5" s="839"/>
      <c r="L5" s="839"/>
      <c r="M5" s="840"/>
      <c r="N5" s="330"/>
    </row>
    <row r="6" spans="1:15" ht="15.75" customHeight="1" x14ac:dyDescent="0.2">
      <c r="A6" s="835" t="str">
        <f>Language!B217</f>
        <v>House No. :</v>
      </c>
      <c r="B6" s="836"/>
      <c r="C6" s="824" t="str">
        <f>'Input Laying'!G2</f>
        <v/>
      </c>
      <c r="D6" s="825"/>
      <c r="E6" s="826"/>
      <c r="F6" s="835" t="str">
        <f>Language!B221</f>
        <v>Feed company :</v>
      </c>
      <c r="G6" s="836"/>
      <c r="H6" s="824">
        <f>'General Input'!B19</f>
        <v>0</v>
      </c>
      <c r="I6" s="825"/>
      <c r="J6" s="825"/>
      <c r="K6" s="825"/>
      <c r="L6" s="825"/>
      <c r="M6" s="826"/>
      <c r="N6" s="330"/>
    </row>
    <row r="7" spans="1:15" ht="15.75" customHeight="1" x14ac:dyDescent="0.2">
      <c r="A7" s="835" t="str">
        <f>Language!B218</f>
        <v>Transfer date :</v>
      </c>
      <c r="B7" s="836"/>
      <c r="C7" s="827">
        <f>'Production data'!E4</f>
        <v>0</v>
      </c>
      <c r="D7" s="828"/>
      <c r="E7" s="829"/>
      <c r="F7" s="835" t="str">
        <f>Language!B222</f>
        <v>Number of layers :</v>
      </c>
      <c r="G7" s="836"/>
      <c r="H7" s="841" t="str">
        <f>IF('Input Laying'!G6=0,"",'Input Laying'!G6)</f>
        <v/>
      </c>
      <c r="I7" s="842"/>
      <c r="J7" s="842"/>
      <c r="K7" s="842"/>
      <c r="L7" s="842"/>
      <c r="M7" s="843"/>
    </row>
    <row r="8" spans="1:15" ht="15.75" customHeight="1" thickBot="1" x14ac:dyDescent="0.25">
      <c r="A8" s="833" t="str">
        <f>Language!B219</f>
        <v>Hatch date:</v>
      </c>
      <c r="B8" s="834"/>
      <c r="C8" s="830">
        <f>'Production data'!E3</f>
        <v>0</v>
      </c>
      <c r="D8" s="831"/>
      <c r="E8" s="832"/>
      <c r="F8" s="833" t="str">
        <f>Language!B223</f>
        <v>Housing system:</v>
      </c>
      <c r="G8" s="834"/>
      <c r="H8" s="830">
        <f>'General Input'!B18</f>
        <v>0</v>
      </c>
      <c r="I8" s="831"/>
      <c r="J8" s="831"/>
      <c r="K8" s="831"/>
      <c r="L8" s="831"/>
      <c r="M8" s="832"/>
    </row>
    <row r="9" spans="1:15" ht="15.75" customHeight="1" x14ac:dyDescent="0.2">
      <c r="A9" s="816" t="str">
        <f>Language!B225</f>
        <v>Age</v>
      </c>
      <c r="B9" s="816" t="str">
        <f>Language!B226</f>
        <v>% Mortality</v>
      </c>
      <c r="C9" s="813" t="str">
        <f>Language!B227</f>
        <v>% Laying rate</v>
      </c>
      <c r="D9" s="810" t="str">
        <f>Language!B228</f>
        <v>Std.</v>
      </c>
      <c r="E9" s="813" t="str">
        <f>Language!B229</f>
        <v>Egg number per hh</v>
      </c>
      <c r="F9" s="810" t="str">
        <f>Language!B228</f>
        <v>Std.</v>
      </c>
      <c r="G9" s="813" t="str">
        <f>Language!B230</f>
        <v>Egg weight (g)</v>
      </c>
      <c r="H9" s="810" t="str">
        <f>Language!B228</f>
        <v>Std.</v>
      </c>
      <c r="I9" s="813" t="str">
        <f>Language!B231</f>
        <v>Egg mass per hh (kg)</v>
      </c>
      <c r="J9" s="810" t="str">
        <f>Language!B228</f>
        <v>Std.</v>
      </c>
      <c r="K9" s="813" t="str">
        <f>Language!B232</f>
        <v>F.C.R. 18 wks kg/kg</v>
      </c>
      <c r="L9" s="810" t="str">
        <f>Language!B233</f>
        <v xml:space="preserve">F.C. / egg 18 wks (g) </v>
      </c>
      <c r="M9" s="816" t="str">
        <f>Language!B234</f>
        <v>Cum seconds %</v>
      </c>
    </row>
    <row r="10" spans="1:15" s="2" customFormat="1" ht="15.75" customHeight="1" x14ac:dyDescent="0.2">
      <c r="A10" s="817"/>
      <c r="B10" s="817"/>
      <c r="C10" s="814"/>
      <c r="D10" s="811"/>
      <c r="E10" s="814"/>
      <c r="F10" s="811"/>
      <c r="G10" s="814"/>
      <c r="H10" s="811"/>
      <c r="I10" s="814"/>
      <c r="J10" s="811"/>
      <c r="K10" s="814"/>
      <c r="L10" s="811"/>
      <c r="M10" s="817"/>
    </row>
    <row r="11" spans="1:15" s="2" customFormat="1" ht="15.75" customHeight="1" x14ac:dyDescent="0.2">
      <c r="A11" s="817"/>
      <c r="B11" s="817"/>
      <c r="C11" s="814"/>
      <c r="D11" s="811"/>
      <c r="E11" s="814"/>
      <c r="F11" s="811"/>
      <c r="G11" s="814"/>
      <c r="H11" s="811"/>
      <c r="I11" s="814"/>
      <c r="J11" s="811"/>
      <c r="K11" s="814"/>
      <c r="L11" s="811"/>
      <c r="M11" s="817"/>
    </row>
    <row r="12" spans="1:15" s="2" customFormat="1" ht="15.75" customHeight="1" thickBot="1" x14ac:dyDescent="0.25">
      <c r="A12" s="818"/>
      <c r="B12" s="818"/>
      <c r="C12" s="815"/>
      <c r="D12" s="812"/>
      <c r="E12" s="815"/>
      <c r="F12" s="812"/>
      <c r="G12" s="815"/>
      <c r="H12" s="812"/>
      <c r="I12" s="815"/>
      <c r="J12" s="812"/>
      <c r="K12" s="815"/>
      <c r="L12" s="812"/>
      <c r="M12" s="818"/>
    </row>
    <row r="13" spans="1:15" ht="15.75" customHeight="1" thickBot="1" x14ac:dyDescent="0.25">
      <c r="A13" s="418" t="str">
        <f>Language!B362&amp;" : "&amp;'Production data'!B13</f>
        <v>Latest week : 0</v>
      </c>
      <c r="B13" s="420" t="e">
        <f>100-'Production data'!C13</f>
        <v>#N/A</v>
      </c>
      <c r="C13" s="419" t="e">
        <f>'Production data'!D13</f>
        <v>#N/A</v>
      </c>
      <c r="D13" s="421" t="e">
        <f>'Production data'!E13</f>
        <v>#N/A</v>
      </c>
      <c r="E13" s="419" t="e">
        <f>'Production data'!F13</f>
        <v>#N/A</v>
      </c>
      <c r="F13" s="421" t="e">
        <f>'Production data'!G13</f>
        <v>#N/A</v>
      </c>
      <c r="G13" s="419" t="e">
        <f>'Production data'!H13</f>
        <v>#N/A</v>
      </c>
      <c r="H13" s="421" t="e">
        <f>'Production data'!I13</f>
        <v>#N/A</v>
      </c>
      <c r="I13" s="431" t="e">
        <f>'Production data'!N13</f>
        <v>#N/A</v>
      </c>
      <c r="J13" s="432" t="e">
        <f>'Production data'!O13</f>
        <v>#N/A</v>
      </c>
      <c r="K13" s="420" t="e">
        <f>'Production data'!V13</f>
        <v>#N/A</v>
      </c>
      <c r="L13" s="422" t="e">
        <f>'Production data'!T13</f>
        <v>#N/A</v>
      </c>
      <c r="M13" s="420" t="e">
        <f>'Production data'!X13</f>
        <v>#N/A</v>
      </c>
    </row>
    <row r="14" spans="1:15" ht="15.75" customHeight="1" x14ac:dyDescent="0.2">
      <c r="A14" s="130">
        <v>20</v>
      </c>
      <c r="B14" s="129" t="e">
        <f>100-VLOOKUP(A14,'Production data'!$B$14:$Z$97,2,FALSE)</f>
        <v>#VALUE!</v>
      </c>
      <c r="C14" s="425" t="str">
        <f>VLOOKUP($A14,'Production data'!$B$14:$Z$97,3,FALSE)</f>
        <v/>
      </c>
      <c r="D14" s="416">
        <f>VLOOKUP($A14,'Production data'!$B$14:$Z$97,4,FALSE)</f>
        <v>31.090325793650802</v>
      </c>
      <c r="E14" s="425" t="str">
        <f>VLOOKUP($A14,'Production data'!$B$14:$Z$97,5,FALSE)</f>
        <v/>
      </c>
      <c r="F14" s="416">
        <f>VLOOKUP($A14,'Production data'!$B$14:$Z$97,6,FALSE)</f>
        <v>3.1470821218590266</v>
      </c>
      <c r="G14" s="425" t="str">
        <f>VLOOKUP($A14,'Production data'!$B$14:$Z$97,7,FALSE)</f>
        <v/>
      </c>
      <c r="H14" s="416">
        <f>VLOOKUP($A14,'Production data'!$B$14:$Z$97,8,FALSE)</f>
        <v>49.278198677597565</v>
      </c>
      <c r="I14" s="426">
        <f>VLOOKUP($A14,'Production data'!$B$14:$Z$97,13,FALSE)</f>
        <v>0</v>
      </c>
      <c r="J14" s="423">
        <f>VLOOKUP($A14,'Production data'!$B$14:$Z$97,14,FALSE)</f>
        <v>0.15127086467371742</v>
      </c>
      <c r="K14" s="427" t="str">
        <f>VLOOKUP($A14,'Production data'!$B$14:$Z$97,21,FALSE)</f>
        <v/>
      </c>
      <c r="L14" s="416" t="str">
        <f>VLOOKUP($A14,'Production data'!$B$14:$Z$97,19,FALSE)</f>
        <v/>
      </c>
      <c r="M14" s="331" t="str">
        <f>VLOOKUP($A14,'Production data'!$B$14:$Z$97,23,FALSE)</f>
        <v/>
      </c>
    </row>
    <row r="15" spans="1:15" ht="15.75" customHeight="1" x14ac:dyDescent="0.2">
      <c r="A15" s="239">
        <v>25</v>
      </c>
      <c r="B15" s="240" t="e">
        <f>100-VLOOKUP(A15,'Production data'!$B$14:$Z$97,2,FALSE)</f>
        <v>#VALUE!</v>
      </c>
      <c r="C15" s="428" t="str">
        <f>VLOOKUP($A15,'Production data'!$B$14:$Z$97,3,FALSE)</f>
        <v/>
      </c>
      <c r="D15" s="417">
        <f>VLOOKUP($A15,'Production data'!$B$14:$Z$97,4,FALSE)</f>
        <v>92.969803679609498</v>
      </c>
      <c r="E15" s="428" t="str">
        <f>VLOOKUP($A15,'Production data'!$B$14:$Z$97,5,FALSE)</f>
        <v/>
      </c>
      <c r="F15" s="417">
        <f>VLOOKUP($A15,'Production data'!$B$14:$Z$97,6,FALSE)</f>
        <v>29.690525323437512</v>
      </c>
      <c r="G15" s="428" t="str">
        <f>VLOOKUP($A15,'Production data'!$B$14:$Z$97,7,FALSE)</f>
        <v/>
      </c>
      <c r="H15" s="417">
        <f>VLOOKUP($A15,'Production data'!$B$14:$Z$97,8,FALSE)</f>
        <v>58.498822649351531</v>
      </c>
      <c r="I15" s="429">
        <f>VLOOKUP($A15,'Production data'!$B$14:$Z$97,13,FALSE)</f>
        <v>0</v>
      </c>
      <c r="J15" s="424">
        <f>VLOOKUP($A15,'Production data'!$B$14:$Z$97,14,FALSE)</f>
        <v>1.6382629998961704</v>
      </c>
      <c r="K15" s="430" t="str">
        <f>VLOOKUP($A15,'Production data'!$B$14:$Z$97,21,FALSE)</f>
        <v/>
      </c>
      <c r="L15" s="417" t="str">
        <f>VLOOKUP($A15,'Production data'!$B$14:$Z$97,19,FALSE)</f>
        <v/>
      </c>
      <c r="M15" s="332" t="str">
        <f>VLOOKUP($A15,'Production data'!$B$14:$Z$97,23,FALSE)</f>
        <v/>
      </c>
    </row>
    <row r="16" spans="1:15" ht="15.75" customHeight="1" x14ac:dyDescent="0.2">
      <c r="A16" s="130">
        <v>30</v>
      </c>
      <c r="B16" s="129" t="e">
        <f>100-VLOOKUP(A16,'Production data'!$B$14:$Z$97,2,FALSE)</f>
        <v>#VALUE!</v>
      </c>
      <c r="C16" s="425" t="str">
        <f>VLOOKUP($A16,'Production data'!$B$14:$Z$97,3,FALSE)</f>
        <v/>
      </c>
      <c r="D16" s="416">
        <f>VLOOKUP($A16,'Production data'!$B$14:$Z$97,4,FALSE)</f>
        <v>95.951840364275711</v>
      </c>
      <c r="E16" s="425" t="str">
        <f>VLOOKUP($A16,'Production data'!$B$14:$Z$97,5,FALSE)</f>
        <v/>
      </c>
      <c r="F16" s="416">
        <f>VLOOKUP($A16,'Production data'!$B$14:$Z$97,6,FALSE)</f>
        <v>62.652290580508378</v>
      </c>
      <c r="G16" s="425" t="str">
        <f>VLOOKUP($A16,'Production data'!$B$14:$Z$97,7,FALSE)</f>
        <v/>
      </c>
      <c r="H16" s="416">
        <f>VLOOKUP($A16,'Production data'!$B$14:$Z$97,8,FALSE)</f>
        <v>61.550557919029799</v>
      </c>
      <c r="I16" s="426">
        <f>VLOOKUP($A16,'Production data'!$B$14:$Z$97,13,FALSE)</f>
        <v>0</v>
      </c>
      <c r="J16" s="423">
        <f>VLOOKUP($A16,'Production data'!$B$14:$Z$97,14,FALSE)</f>
        <v>3.636674969200842</v>
      </c>
      <c r="K16" s="427" t="str">
        <f>VLOOKUP($A16,'Production data'!$B$14:$Z$97,21,FALSE)</f>
        <v/>
      </c>
      <c r="L16" s="416" t="str">
        <f>VLOOKUP($A16,'Production data'!$B$14:$Z$97,19,FALSE)</f>
        <v/>
      </c>
      <c r="M16" s="331" t="str">
        <f>VLOOKUP($A16,'Production data'!$B$14:$Z$97,23,FALSE)</f>
        <v/>
      </c>
    </row>
    <row r="17" spans="1:14" ht="15.75" customHeight="1" x14ac:dyDescent="0.2">
      <c r="A17" s="239">
        <v>35</v>
      </c>
      <c r="B17" s="240" t="e">
        <f>100-VLOOKUP(A17,'Production data'!$B$14:$Z$97,2,FALSE)</f>
        <v>#VALUE!</v>
      </c>
      <c r="C17" s="428" t="str">
        <f>VLOOKUP($A17,'Production data'!$B$14:$Z$97,3,FALSE)</f>
        <v/>
      </c>
      <c r="D17" s="417">
        <f>VLOOKUP($A17,'Production data'!$B$14:$Z$97,4,FALSE)</f>
        <v>95.63</v>
      </c>
      <c r="E17" s="428" t="str">
        <f>VLOOKUP($A17,'Production data'!$B$14:$Z$97,5,FALSE)</f>
        <v/>
      </c>
      <c r="F17" s="417">
        <f>VLOOKUP($A17,'Production data'!$B$14:$Z$97,6,FALSE)</f>
        <v>95.693113771833495</v>
      </c>
      <c r="G17" s="428" t="str">
        <f>VLOOKUP($A17,'Production data'!$B$14:$Z$97,7,FALSE)</f>
        <v/>
      </c>
      <c r="H17" s="417">
        <f>VLOOKUP($A17,'Production data'!$B$14:$Z$97,8,FALSE)</f>
        <v>62.563570692991696</v>
      </c>
      <c r="I17" s="429">
        <f>VLOOKUP($A17,'Production data'!$B$14:$Z$97,13,FALSE)</f>
        <v>0</v>
      </c>
      <c r="J17" s="424">
        <f>VLOOKUP($A17,'Production data'!$B$14:$Z$97,14,FALSE)</f>
        <v>5.6922974156143278</v>
      </c>
      <c r="K17" s="430" t="str">
        <f>VLOOKUP($A17,'Production data'!$B$14:$Z$97,21,FALSE)</f>
        <v/>
      </c>
      <c r="L17" s="417" t="str">
        <f>VLOOKUP($A17,'Production data'!$B$14:$Z$97,19,FALSE)</f>
        <v/>
      </c>
      <c r="M17" s="332" t="str">
        <f>VLOOKUP($A17,'Production data'!$B$14:$Z$97,23,FALSE)</f>
        <v/>
      </c>
    </row>
    <row r="18" spans="1:14" ht="15.75" customHeight="1" x14ac:dyDescent="0.2">
      <c r="A18" s="130">
        <v>40</v>
      </c>
      <c r="B18" s="129" t="e">
        <f>100-VLOOKUP(A18,'Production data'!$B$14:$Z$97,2,FALSE)</f>
        <v>#VALUE!</v>
      </c>
      <c r="C18" s="425" t="str">
        <f>VLOOKUP($A18,'Production data'!$B$14:$Z$97,3,FALSE)</f>
        <v/>
      </c>
      <c r="D18" s="416">
        <f>VLOOKUP($A18,'Production data'!$B$14:$Z$97,4,FALSE)</f>
        <v>94.63</v>
      </c>
      <c r="E18" s="425" t="str">
        <f>VLOOKUP($A18,'Production data'!$B$14:$Z$97,5,FALSE)</f>
        <v/>
      </c>
      <c r="F18" s="416">
        <f>VLOOKUP($A18,'Production data'!$B$14:$Z$97,6,FALSE)</f>
        <v>128.28391178783349</v>
      </c>
      <c r="G18" s="425" t="str">
        <f>VLOOKUP($A18,'Production data'!$B$14:$Z$97,7,FALSE)</f>
        <v/>
      </c>
      <c r="H18" s="416">
        <f>VLOOKUP($A18,'Production data'!$B$14:$Z$97,8,FALSE)</f>
        <v>63.3</v>
      </c>
      <c r="I18" s="426">
        <f>VLOOKUP($A18,'Production data'!$B$14:$Z$97,13,FALSE)</f>
        <v>0</v>
      </c>
      <c r="J18" s="423">
        <f>VLOOKUP($A18,'Production data'!$B$14:$Z$97,14,FALSE)</f>
        <v>7.7462826135227401</v>
      </c>
      <c r="K18" s="427" t="str">
        <f>VLOOKUP($A18,'Production data'!$B$14:$Z$97,21,FALSE)</f>
        <v/>
      </c>
      <c r="L18" s="416" t="str">
        <f>VLOOKUP($A18,'Production data'!$B$14:$Z$97,19,FALSE)</f>
        <v/>
      </c>
      <c r="M18" s="331" t="str">
        <f>VLOOKUP($A18,'Production data'!$B$14:$Z$97,23,FALSE)</f>
        <v/>
      </c>
    </row>
    <row r="19" spans="1:14" ht="15.75" customHeight="1" x14ac:dyDescent="0.2">
      <c r="A19" s="239">
        <v>45</v>
      </c>
      <c r="B19" s="240" t="e">
        <f>100-VLOOKUP(A19,'Production data'!$B$14:$Z$97,2,FALSE)</f>
        <v>#VALUE!</v>
      </c>
      <c r="C19" s="428" t="str">
        <f>VLOOKUP($A19,'Production data'!$B$14:$Z$97,3,FALSE)</f>
        <v/>
      </c>
      <c r="D19" s="417">
        <f>VLOOKUP($A19,'Production data'!$B$14:$Z$97,4,FALSE)</f>
        <v>93.556034001602939</v>
      </c>
      <c r="E19" s="428" t="str">
        <f>VLOOKUP($A19,'Production data'!$B$14:$Z$97,5,FALSE)</f>
        <v/>
      </c>
      <c r="F19" s="417">
        <f>VLOOKUP($A19,'Production data'!$B$14:$Z$97,6,FALSE)</f>
        <v>160.37125902033537</v>
      </c>
      <c r="G19" s="428" t="str">
        <f>VLOOKUP($A19,'Production data'!$B$14:$Z$97,7,FALSE)</f>
        <v/>
      </c>
      <c r="H19" s="417">
        <f>VLOOKUP($A19,'Production data'!$B$14:$Z$97,8,FALSE)</f>
        <v>63.49</v>
      </c>
      <c r="I19" s="429">
        <f>VLOOKUP($A19,'Production data'!$B$14:$Z$97,13,FALSE)</f>
        <v>0</v>
      </c>
      <c r="J19" s="424">
        <f>VLOOKUP($A19,'Production data'!$B$14:$Z$97,14,FALSE)</f>
        <v>9.7815114019790883</v>
      </c>
      <c r="K19" s="430" t="str">
        <f>VLOOKUP($A19,'Production data'!$B$14:$Z$97,21,FALSE)</f>
        <v/>
      </c>
      <c r="L19" s="417" t="str">
        <f>VLOOKUP($A19,'Production data'!$B$14:$Z$97,19,FALSE)</f>
        <v/>
      </c>
      <c r="M19" s="332" t="str">
        <f>VLOOKUP($A19,'Production data'!$B$14:$Z$97,23,FALSE)</f>
        <v/>
      </c>
    </row>
    <row r="20" spans="1:14" ht="15.75" customHeight="1" x14ac:dyDescent="0.2">
      <c r="A20" s="130">
        <v>50</v>
      </c>
      <c r="B20" s="129" t="e">
        <f>100-VLOOKUP(A20,'Production data'!$B$14:$Z$97,2,FALSE)</f>
        <v>#VALUE!</v>
      </c>
      <c r="C20" s="425" t="str">
        <f>VLOOKUP($A20,'Production data'!$B$14:$Z$97,3,FALSE)</f>
        <v/>
      </c>
      <c r="D20" s="416">
        <f>VLOOKUP($A20,'Production data'!$B$14:$Z$97,4,FALSE)</f>
        <v>91.94</v>
      </c>
      <c r="E20" s="425" t="str">
        <f>VLOOKUP($A20,'Production data'!$B$14:$Z$97,5,FALSE)</f>
        <v/>
      </c>
      <c r="F20" s="416">
        <f>VLOOKUP($A20,'Production data'!$B$14:$Z$97,6,FALSE)</f>
        <v>191.81952864186246</v>
      </c>
      <c r="G20" s="425" t="str">
        <f>VLOOKUP($A20,'Production data'!$B$14:$Z$97,7,FALSE)</f>
        <v/>
      </c>
      <c r="H20" s="416">
        <f>VLOOKUP($A20,'Production data'!$B$14:$Z$97,8,FALSE)</f>
        <v>63.62</v>
      </c>
      <c r="I20" s="426">
        <f>VLOOKUP($A20,'Production data'!$B$14:$Z$97,13,FALSE)</f>
        <v>0</v>
      </c>
      <c r="J20" s="423">
        <f>VLOOKUP($A20,'Production data'!$B$14:$Z$97,14,FALSE)</f>
        <v>11.780606534704845</v>
      </c>
      <c r="K20" s="427" t="str">
        <f>VLOOKUP($A20,'Production data'!$B$14:$Z$97,21,FALSE)</f>
        <v/>
      </c>
      <c r="L20" s="416" t="str">
        <f>VLOOKUP($A20,'Production data'!$B$14:$Z$97,19,FALSE)</f>
        <v/>
      </c>
      <c r="M20" s="331" t="str">
        <f>VLOOKUP($A20,'Production data'!$B$14:$Z$97,23,FALSE)</f>
        <v/>
      </c>
    </row>
    <row r="21" spans="1:14" ht="15.75" customHeight="1" x14ac:dyDescent="0.2">
      <c r="A21" s="239">
        <v>55</v>
      </c>
      <c r="B21" s="240" t="e">
        <f>100-VLOOKUP(A21,'Production data'!$B$14:$Z$97,2,FALSE)</f>
        <v>#VALUE!</v>
      </c>
      <c r="C21" s="428" t="str">
        <f>VLOOKUP($A21,'Production data'!$B$14:$Z$97,3,FALSE)</f>
        <v/>
      </c>
      <c r="D21" s="417">
        <f>VLOOKUP($A21,'Production data'!$B$14:$Z$97,4,FALSE)</f>
        <v>90.356178521997279</v>
      </c>
      <c r="E21" s="428" t="str">
        <f>VLOOKUP($A21,'Production data'!$B$14:$Z$97,5,FALSE)</f>
        <v/>
      </c>
      <c r="F21" s="417">
        <f>VLOOKUP($A21,'Production data'!$B$14:$Z$97,6,FALSE)</f>
        <v>222.5696308044341</v>
      </c>
      <c r="G21" s="428" t="str">
        <f>VLOOKUP($A21,'Production data'!$B$14:$Z$97,7,FALSE)</f>
        <v/>
      </c>
      <c r="H21" s="417">
        <f>VLOOKUP($A21,'Production data'!$B$14:$Z$97,8,FALSE)</f>
        <v>63.655254871975345</v>
      </c>
      <c r="I21" s="429">
        <f>VLOOKUP($A21,'Production data'!$B$14:$Z$97,13,FALSE)</f>
        <v>0</v>
      </c>
      <c r="J21" s="424">
        <f>VLOOKUP($A21,'Production data'!$B$14:$Z$97,14,FALSE)</f>
        <v>13.737820809474419</v>
      </c>
      <c r="K21" s="430" t="str">
        <f>VLOOKUP($A21,'Production data'!$B$14:$Z$97,21,FALSE)</f>
        <v/>
      </c>
      <c r="L21" s="417" t="str">
        <f>VLOOKUP($A21,'Production data'!$B$14:$Z$97,19,FALSE)</f>
        <v/>
      </c>
      <c r="M21" s="332" t="str">
        <f>VLOOKUP($A21,'Production data'!$B$14:$Z$97,23,FALSE)</f>
        <v/>
      </c>
    </row>
    <row r="22" spans="1:14" ht="15.75" customHeight="1" x14ac:dyDescent="0.2">
      <c r="A22" s="130">
        <v>60</v>
      </c>
      <c r="B22" s="129" t="e">
        <f>100-VLOOKUP(A22,'Production data'!$B$14:$Z$97,2,FALSE)</f>
        <v>#VALUE!</v>
      </c>
      <c r="C22" s="425" t="str">
        <f>VLOOKUP($A22,'Production data'!$B$14:$Z$97,3,FALSE)</f>
        <v/>
      </c>
      <c r="D22" s="416">
        <f>VLOOKUP($A22,'Production data'!$B$14:$Z$97,4,FALSE)</f>
        <v>88.426349356873871</v>
      </c>
      <c r="E22" s="425" t="str">
        <f>VLOOKUP($A22,'Production data'!$B$14:$Z$97,5,FALSE)</f>
        <v/>
      </c>
      <c r="F22" s="416">
        <f>VLOOKUP($A22,'Production data'!$B$14:$Z$97,6,FALSE)</f>
        <v>252.56964153018174</v>
      </c>
      <c r="G22" s="425" t="str">
        <f>VLOOKUP($A22,'Production data'!$B$14:$Z$97,7,FALSE)</f>
        <v/>
      </c>
      <c r="H22" s="416">
        <f>VLOOKUP($A22,'Production data'!$B$14:$Z$97,8,FALSE)</f>
        <v>63.809563462323666</v>
      </c>
      <c r="I22" s="426">
        <f>VLOOKUP($A22,'Production data'!$B$14:$Z$97,13,FALSE)</f>
        <v>0</v>
      </c>
      <c r="J22" s="423">
        <f>VLOOKUP($A22,'Production data'!$B$14:$Z$97,14,FALSE)</f>
        <v>15.650246684097212</v>
      </c>
      <c r="K22" s="427" t="str">
        <f>VLOOKUP($A22,'Production data'!$B$14:$Z$97,21,FALSE)</f>
        <v/>
      </c>
      <c r="L22" s="416" t="str">
        <f>VLOOKUP($A22,'Production data'!$B$14:$Z$97,19,FALSE)</f>
        <v/>
      </c>
      <c r="M22" s="331" t="str">
        <f>VLOOKUP($A22,'Production data'!$B$14:$Z$97,23,FALSE)</f>
        <v/>
      </c>
    </row>
    <row r="23" spans="1:14" ht="15.75" customHeight="1" x14ac:dyDescent="0.2">
      <c r="A23" s="239">
        <v>65</v>
      </c>
      <c r="B23" s="240" t="e">
        <f>100-VLOOKUP(A23,'Production data'!$B$14:$Z$97,2,FALSE)</f>
        <v>#VALUE!</v>
      </c>
      <c r="C23" s="428" t="str">
        <f>VLOOKUP($A23,'Production data'!$B$14:$Z$97,3,FALSE)</f>
        <v/>
      </c>
      <c r="D23" s="417">
        <f>VLOOKUP($A23,'Production data'!$B$14:$Z$97,4,FALSE)</f>
        <v>86.225663187132866</v>
      </c>
      <c r="E23" s="428" t="str">
        <f>VLOOKUP($A23,'Production data'!$B$14:$Z$97,5,FALSE)</f>
        <v/>
      </c>
      <c r="F23" s="417">
        <f>VLOOKUP($A23,'Production data'!$B$14:$Z$97,6,FALSE)</f>
        <v>281.71620958927264</v>
      </c>
      <c r="G23" s="428" t="str">
        <f>VLOOKUP($A23,'Production data'!$B$14:$Z$97,7,FALSE)</f>
        <v/>
      </c>
      <c r="H23" s="417">
        <f>VLOOKUP($A23,'Production data'!$B$14:$Z$97,8,FALSE)</f>
        <v>63.963872052671981</v>
      </c>
      <c r="I23" s="429">
        <f>VLOOKUP($A23,'Production data'!$B$14:$Z$97,13,FALSE)</f>
        <v>0</v>
      </c>
      <c r="J23" s="424">
        <f>VLOOKUP($A23,'Production data'!$B$14:$Z$97,14,FALSE)</f>
        <v>17.512764020833533</v>
      </c>
      <c r="K23" s="430" t="str">
        <f>VLOOKUP($A23,'Production data'!$B$14:$Z$97,21,FALSE)</f>
        <v/>
      </c>
      <c r="L23" s="417" t="str">
        <f>VLOOKUP($A23,'Production data'!$B$14:$Z$97,19,FALSE)</f>
        <v/>
      </c>
      <c r="M23" s="332" t="str">
        <f>VLOOKUP($A23,'Production data'!$B$14:$Z$97,23,FALSE)</f>
        <v/>
      </c>
    </row>
    <row r="24" spans="1:14" ht="15.75" customHeight="1" x14ac:dyDescent="0.2">
      <c r="A24" s="130">
        <v>70</v>
      </c>
      <c r="B24" s="129" t="e">
        <f>100-VLOOKUP(A24,'Production data'!$B$14:$Z$97,2,FALSE)</f>
        <v>#VALUE!</v>
      </c>
      <c r="C24" s="425" t="str">
        <f>VLOOKUP($A24,'Production data'!$B$14:$Z$97,3,FALSE)</f>
        <v/>
      </c>
      <c r="D24" s="416">
        <f>VLOOKUP($A24,'Production data'!$B$14:$Z$97,4,FALSE)</f>
        <v>83.874342143965322</v>
      </c>
      <c r="E24" s="425" t="str">
        <f>VLOOKUP($A24,'Production data'!$B$14:$Z$97,5,FALSE)</f>
        <v/>
      </c>
      <c r="F24" s="416">
        <f>VLOOKUP($A24,'Production data'!$B$14:$Z$97,6,FALSE)</f>
        <v>309.95099366606371</v>
      </c>
      <c r="G24" s="425" t="str">
        <f>VLOOKUP($A24,'Production data'!$B$14:$Z$97,7,FALSE)</f>
        <v/>
      </c>
      <c r="H24" s="416">
        <f>VLOOKUP($A24,'Production data'!$B$14:$Z$97,8,FALSE)</f>
        <v>64.118180643020295</v>
      </c>
      <c r="I24" s="426">
        <f>VLOOKUP($A24,'Production data'!$B$14:$Z$97,13,FALSE)</f>
        <v>0</v>
      </c>
      <c r="J24" s="423">
        <f>VLOOKUP($A24,'Production data'!$B$14:$Z$97,14,FALSE)</f>
        <v>19.321372791714992</v>
      </c>
      <c r="K24" s="427" t="str">
        <f>VLOOKUP($A24,'Production data'!$B$14:$Z$97,21,FALSE)</f>
        <v/>
      </c>
      <c r="L24" s="416" t="str">
        <f>VLOOKUP($A24,'Production data'!$B$14:$Z$97,19,FALSE)</f>
        <v/>
      </c>
      <c r="M24" s="331" t="str">
        <f>VLOOKUP($A24,'Production data'!$B$14:$Z$97,23,FALSE)</f>
        <v/>
      </c>
    </row>
    <row r="25" spans="1:14" ht="15.75" customHeight="1" x14ac:dyDescent="0.2">
      <c r="A25" s="239">
        <v>75</v>
      </c>
      <c r="B25" s="240" t="e">
        <f>100-VLOOKUP(A25,'Production data'!$B$14:$Z$97,2,FALSE)</f>
        <v>#VALUE!</v>
      </c>
      <c r="C25" s="428" t="str">
        <f>VLOOKUP($A25,'Production data'!$B$14:$Z$97,3,FALSE)</f>
        <v/>
      </c>
      <c r="D25" s="417">
        <f>VLOOKUP($A25,'Production data'!$B$14:$Z$97,4,FALSE)</f>
        <v>81.464217268409868</v>
      </c>
      <c r="E25" s="428" t="str">
        <f>VLOOKUP($A25,'Production data'!$B$14:$Z$97,5,FALSE)</f>
        <v/>
      </c>
      <c r="F25" s="417">
        <f>VLOOKUP($A25,'Production data'!$B$14:$Z$97,6,FALSE)</f>
        <v>337.2508204223812</v>
      </c>
      <c r="G25" s="428" t="str">
        <f>VLOOKUP($A25,'Production data'!$B$14:$Z$97,7,FALSE)</f>
        <v/>
      </c>
      <c r="H25" s="417">
        <f>VLOOKUP($A25,'Production data'!$B$14:$Z$97,8,FALSE)</f>
        <v>64.272489233368617</v>
      </c>
      <c r="I25" s="429">
        <f>VLOOKUP($A25,'Production data'!$B$14:$Z$97,13,FALSE)</f>
        <v>0</v>
      </c>
      <c r="J25" s="424">
        <f>VLOOKUP($A25,'Production data'!$B$14:$Z$97,14,FALSE)</f>
        <v>21.074303998323167</v>
      </c>
      <c r="K25" s="430" t="str">
        <f>VLOOKUP($A25,'Production data'!$B$14:$Z$97,21,FALSE)</f>
        <v/>
      </c>
      <c r="L25" s="417" t="str">
        <f>VLOOKUP($A25,'Production data'!$B$14:$Z$97,19,FALSE)</f>
        <v/>
      </c>
      <c r="M25" s="332" t="str">
        <f>VLOOKUP($A25,'Production data'!$B$14:$Z$97,23,FALSE)</f>
        <v/>
      </c>
    </row>
    <row r="26" spans="1:14" ht="15.75" customHeight="1" x14ac:dyDescent="0.2">
      <c r="A26" s="130">
        <v>80</v>
      </c>
      <c r="B26" s="129" t="e">
        <f>100-VLOOKUP(A26,'Production data'!$B$14:$Z$97,2,FALSE)</f>
        <v>#VALUE!</v>
      </c>
      <c r="C26" s="425" t="str">
        <f>VLOOKUP($A26,'Production data'!$B$14:$Z$97,3,FALSE)</f>
        <v/>
      </c>
      <c r="D26" s="416">
        <f>VLOOKUP($A26,'Production data'!$B$14:$Z$97,4,FALSE)</f>
        <v>79.058728511352655</v>
      </c>
      <c r="E26" s="425" t="str">
        <f>VLOOKUP($A26,'Production data'!$B$14:$Z$97,5,FALSE)</f>
        <v/>
      </c>
      <c r="F26" s="416">
        <f>VLOOKUP($A26,'Production data'!$B$14:$Z$97,6,FALSE)</f>
        <v>363.61763609990487</v>
      </c>
      <c r="G26" s="425" t="str">
        <f>VLOOKUP($A26,'Production data'!$B$14:$Z$97,7,FALSE)</f>
        <v/>
      </c>
      <c r="H26" s="416">
        <f>VLOOKUP($A26,'Production data'!$B$14:$Z$97,8,FALSE)</f>
        <v>64.426797823716939</v>
      </c>
      <c r="I26" s="426">
        <f>VLOOKUP($A26,'Production data'!$B$14:$Z$97,13,FALSE)</f>
        <v>0</v>
      </c>
      <c r="J26" s="423">
        <f>VLOOKUP($A26,'Production data'!$B$14:$Z$97,14,FALSE)</f>
        <v>22.771394615757742</v>
      </c>
      <c r="K26" s="427" t="str">
        <f>VLOOKUP($A26,'Production data'!$B$14:$Z$97,21,FALSE)</f>
        <v/>
      </c>
      <c r="L26" s="416" t="str">
        <f>VLOOKUP($A26,'Production data'!$B$14:$Z$97,19,FALSE)</f>
        <v/>
      </c>
      <c r="M26" s="331" t="str">
        <f>VLOOKUP($A26,'Production data'!$B$14:$Z$97,23,FALSE)</f>
        <v/>
      </c>
    </row>
    <row r="27" spans="1:14" ht="15.75" customHeight="1" x14ac:dyDescent="0.2">
      <c r="A27" s="239">
        <v>85</v>
      </c>
      <c r="B27" s="240" t="e">
        <f>100-VLOOKUP(A27,'Production data'!$B$14:$Z$97,2,FALSE)</f>
        <v>#VALUE!</v>
      </c>
      <c r="C27" s="428" t="str">
        <f>VLOOKUP($A27,'Production data'!$B$14:$Z$97,3,FALSE)</f>
        <v/>
      </c>
      <c r="D27" s="417">
        <f>VLOOKUP($A27,'Production data'!$B$14:$Z$97,4,FALSE)</f>
        <v>76.692924733527533</v>
      </c>
      <c r="E27" s="428" t="str">
        <f>VLOOKUP($A27,'Production data'!$B$14:$Z$97,5,FALSE)</f>
        <v/>
      </c>
      <c r="F27" s="417">
        <f>VLOOKUP($A27,'Production data'!$B$14:$Z$97,6,FALSE)</f>
        <v>389.0686966077098</v>
      </c>
      <c r="G27" s="428" t="str">
        <f>VLOOKUP($A27,'Production data'!$B$14:$Z$97,7,FALSE)</f>
        <v/>
      </c>
      <c r="H27" s="417">
        <f>VLOOKUP($A27,'Production data'!$B$14:$Z$97,8,FALSE)</f>
        <v>64.581106414065246</v>
      </c>
      <c r="I27" s="429">
        <f>VLOOKUP($A27,'Production data'!$B$14:$Z$97,13,FALSE)</f>
        <v>0</v>
      </c>
      <c r="J27" s="424">
        <f>VLOOKUP($A27,'Production data'!$B$14:$Z$97,14,FALSE)</f>
        <v>24.413470170749481</v>
      </c>
      <c r="K27" s="430" t="str">
        <f>VLOOKUP($A27,'Production data'!$B$14:$Z$97,21,FALSE)</f>
        <v/>
      </c>
      <c r="L27" s="417" t="str">
        <f>VLOOKUP($A27,'Production data'!$B$14:$Z$97,19,FALSE)</f>
        <v/>
      </c>
      <c r="M27" s="332" t="str">
        <f>VLOOKUP($A27,'Production data'!$B$14:$Z$97,23,FALSE)</f>
        <v/>
      </c>
    </row>
    <row r="28" spans="1:14" ht="15.75" customHeight="1" x14ac:dyDescent="0.2">
      <c r="A28" s="130">
        <v>90</v>
      </c>
      <c r="B28" s="129" t="e">
        <f>100-VLOOKUP(A28,'Production data'!$B$14:$Z$97,2,FALSE)</f>
        <v>#VALUE!</v>
      </c>
      <c r="C28" s="425" t="str">
        <f>VLOOKUP($A28,'Production data'!$B$14:$Z$97,3,FALSE)</f>
        <v/>
      </c>
      <c r="D28" s="416">
        <f>VLOOKUP($A28,'Production data'!$B$14:$Z$97,4,FALSE)</f>
        <v>74.373463705515775</v>
      </c>
      <c r="E28" s="425" t="str">
        <f>VLOOKUP($A28,'Production data'!$B$14:$Z$97,5,FALSE)</f>
        <v/>
      </c>
      <c r="F28" s="416">
        <f>VLOOKUP($A28,'Production data'!$B$14:$Z$97,6,FALSE)</f>
        <v>413.62699609496485</v>
      </c>
      <c r="G28" s="425" t="str">
        <f>VLOOKUP($A28,'Production data'!$B$14:$Z$97,7,FALSE)</f>
        <v/>
      </c>
      <c r="H28" s="416">
        <f>VLOOKUP($A28,'Production data'!$B$14:$Z$97,8,FALSE)</f>
        <v>64.735415004413568</v>
      </c>
      <c r="I28" s="426">
        <f>VLOOKUP($A28,'Production data'!$B$14:$Z$97,13,FALSE)</f>
        <v>0</v>
      </c>
      <c r="J28" s="423">
        <f>VLOOKUP($A28,'Production data'!$B$14:$Z$97,14,FALSE)</f>
        <v>26.001735174719879</v>
      </c>
      <c r="K28" s="427" t="str">
        <f>VLOOKUP($A28,'Production data'!$B$14:$Z$97,21,FALSE)</f>
        <v/>
      </c>
      <c r="L28" s="416" t="str">
        <f>VLOOKUP($A28,'Production data'!$B$14:$Z$97,19,FALSE)</f>
        <v/>
      </c>
      <c r="M28" s="331" t="str">
        <f>VLOOKUP($A28,'Production data'!$B$14:$Z$97,23,FALSE)</f>
        <v/>
      </c>
    </row>
    <row r="29" spans="1:14" ht="15.75" customHeight="1" x14ac:dyDescent="0.2">
      <c r="A29" s="239">
        <v>95</v>
      </c>
      <c r="B29" s="240" t="e">
        <f>100-VLOOKUP(A29,'Production data'!$B$14:$Z$97,2,FALSE)</f>
        <v>#VALUE!</v>
      </c>
      <c r="C29" s="428" t="str">
        <f>VLOOKUP($A29,'Production data'!$B$14:$Z$97,3,FALSE)</f>
        <v/>
      </c>
      <c r="D29" s="417">
        <f>VLOOKUP($A29,'Production data'!$B$14:$Z$97,4,FALSE)</f>
        <v>72.078612107746565</v>
      </c>
      <c r="E29" s="428" t="str">
        <f>VLOOKUP($A29,'Production data'!$B$14:$Z$97,5,FALSE)</f>
        <v/>
      </c>
      <c r="F29" s="417">
        <f>VLOOKUP($A29,'Production data'!$B$14:$Z$97,6,FALSE)</f>
        <v>437.31193400878925</v>
      </c>
      <c r="G29" s="428" t="str">
        <f>VLOOKUP($A29,'Production data'!$B$14:$Z$97,7,FALSE)</f>
        <v/>
      </c>
      <c r="H29" s="417">
        <f>VLOOKUP($A29,'Production data'!$B$14:$Z$97,8,FALSE)</f>
        <v>64.88972359476189</v>
      </c>
      <c r="I29" s="429">
        <f>VLOOKUP($A29,'Production data'!$B$14:$Z$97,13,FALSE)</f>
        <v>0</v>
      </c>
      <c r="J29" s="424">
        <f>VLOOKUP($A29,'Production data'!$B$14:$Z$97,14,FALSE)</f>
        <v>27.53717163258937</v>
      </c>
      <c r="K29" s="430" t="str">
        <f>VLOOKUP($A29,'Production data'!$B$14:$Z$97,21,FALSE)</f>
        <v/>
      </c>
      <c r="L29" s="417" t="str">
        <f>VLOOKUP($A29,'Production data'!$B$14:$Z$97,19,FALSE)</f>
        <v/>
      </c>
      <c r="M29" s="332" t="str">
        <f>VLOOKUP($A29,'Production data'!$B$14:$Z$97,23,FALSE)</f>
        <v/>
      </c>
    </row>
    <row r="30" spans="1:14" ht="15.75" customHeight="1" thickBot="1" x14ac:dyDescent="0.25">
      <c r="A30" s="433">
        <v>100</v>
      </c>
      <c r="B30" s="434" t="e">
        <f>100-VLOOKUP(A30,'Production data'!$B$14:$Z$97,2,FALSE)</f>
        <v>#VALUE!</v>
      </c>
      <c r="C30" s="435" t="str">
        <f>VLOOKUP($A30,'Production data'!$B$14:$Z$97,3,FALSE)</f>
        <v/>
      </c>
      <c r="D30" s="436">
        <f>VLOOKUP($A30,'Production data'!$B$14:$Z$97,4,FALSE)</f>
        <v>69.75824553049604</v>
      </c>
      <c r="E30" s="435" t="str">
        <f>VLOOKUP($A30,'Production data'!$B$14:$Z$97,5,FALSE)</f>
        <v/>
      </c>
      <c r="F30" s="436">
        <f>VLOOKUP($A30,'Production data'!$B$14:$Z$97,6,FALSE)</f>
        <v>460.13022063726578</v>
      </c>
      <c r="G30" s="435" t="str">
        <f>VLOOKUP($A30,'Production data'!$B$14:$Z$97,7,FALSE)</f>
        <v/>
      </c>
      <c r="H30" s="436">
        <f>VLOOKUP($A30,'Production data'!$B$14:$Z$97,8,FALSE)</f>
        <v>65.044032185110211</v>
      </c>
      <c r="I30" s="437">
        <f>VLOOKUP($A30,'Production data'!$B$14:$Z$97,13,FALSE)</f>
        <v>0</v>
      </c>
      <c r="J30" s="438">
        <f>VLOOKUP($A30,'Production data'!$B$14:$Z$97,14,FALSE)</f>
        <v>29.019945848135926</v>
      </c>
      <c r="K30" s="439" t="str">
        <f>VLOOKUP($A30,'Production data'!$B$14:$Z$97,21,FALSE)</f>
        <v/>
      </c>
      <c r="L30" s="436" t="str">
        <f>VLOOKUP($A30,'Production data'!$B$14:$Z$97,19,FALSE)</f>
        <v/>
      </c>
      <c r="M30" s="440" t="str">
        <f>VLOOKUP($A30,'Production data'!$B$14:$Z$97,23,FALSE)</f>
        <v/>
      </c>
      <c r="N30" s="11"/>
    </row>
  </sheetData>
  <sheetProtection selectLockedCells="1"/>
  <mergeCells count="30">
    <mergeCell ref="F8:G8"/>
    <mergeCell ref="C1:M4"/>
    <mergeCell ref="H5:M5"/>
    <mergeCell ref="H6:M6"/>
    <mergeCell ref="H7:M7"/>
    <mergeCell ref="H8:M8"/>
    <mergeCell ref="F5:G5"/>
    <mergeCell ref="F6:G6"/>
    <mergeCell ref="F7:G7"/>
    <mergeCell ref="M9:M12"/>
    <mergeCell ref="A5:B5"/>
    <mergeCell ref="C5:E5"/>
    <mergeCell ref="C6:E6"/>
    <mergeCell ref="C7:E7"/>
    <mergeCell ref="C8:E8"/>
    <mergeCell ref="A8:B8"/>
    <mergeCell ref="A7:B7"/>
    <mergeCell ref="A6:B6"/>
    <mergeCell ref="A9:A12"/>
    <mergeCell ref="B9:B12"/>
    <mergeCell ref="C9:C12"/>
    <mergeCell ref="D9:D12"/>
    <mergeCell ref="E9:E12"/>
    <mergeCell ref="F9:F12"/>
    <mergeCell ref="G9:G12"/>
    <mergeCell ref="H9:H12"/>
    <mergeCell ref="I9:I12"/>
    <mergeCell ref="J9:J12"/>
    <mergeCell ref="K9:K12"/>
    <mergeCell ref="L9:L12"/>
  </mergeCells>
  <phoneticPr fontId="4" type="noConversion"/>
  <printOptions horizontalCentered="1"/>
  <pageMargins left="0.78740157480314965" right="0.78740157480314965" top="0" bottom="0.19685039370078741" header="0" footer="0"/>
  <pageSetup paperSize="9" scale="8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0968091AD8040A1C4AD74591EF452" ma:contentTypeVersion="4" ma:contentTypeDescription="Een nieuw document maken." ma:contentTypeScope="" ma:versionID="746081118033dd89f810edf7a8bc0163">
  <xsd:schema xmlns:xsd="http://www.w3.org/2001/XMLSchema" xmlns:xs="http://www.w3.org/2001/XMLSchema" xmlns:p="http://schemas.microsoft.com/office/2006/metadata/properties" xmlns:ns2="2c843b2a-bd1e-40af-a6f3-7d625406f64b" xmlns:ns3="3f873ae4-5afc-4d50-83d0-83d102c23323" targetNamespace="http://schemas.microsoft.com/office/2006/metadata/properties" ma:root="true" ma:fieldsID="2bee005dd2a64dd1f6e9a95eaaafeadc" ns2:_="" ns3:_="">
    <xsd:import namespace="2c843b2a-bd1e-40af-a6f3-7d625406f64b"/>
    <xsd:import namespace="3f873ae4-5afc-4d50-83d0-83d102c233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43b2a-bd1e-40af-a6f3-7d625406f6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73ae4-5afc-4d50-83d0-83d102c2332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639511-0675-496F-A4F0-7D7AFF9EDC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FE2E22-EE2D-42F2-8B6C-2C3731A4DFC2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2c843b2a-bd1e-40af-a6f3-7d625406f64b"/>
    <ds:schemaRef ds:uri="http://schemas.openxmlformats.org/package/2006/metadata/core-properties"/>
    <ds:schemaRef ds:uri="3f873ae4-5afc-4d50-83d0-83d102c2332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286D621-7D3A-4274-8107-F3EA87717C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43b2a-bd1e-40af-a6f3-7d625406f64b"/>
    <ds:schemaRef ds:uri="3f873ae4-5afc-4d50-83d0-83d102c233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7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23</vt:i4>
      </vt:variant>
    </vt:vector>
  </HeadingPairs>
  <TitlesOfParts>
    <vt:vector size="36" baseType="lpstr">
      <vt:lpstr>General Input</vt:lpstr>
      <vt:lpstr>Input Rearing</vt:lpstr>
      <vt:lpstr>Input Laying</vt:lpstr>
      <vt:lpstr>Egg grading</vt:lpstr>
      <vt:lpstr>Financial sheet</vt:lpstr>
      <vt:lpstr>Production data</vt:lpstr>
      <vt:lpstr>Summary</vt:lpstr>
      <vt:lpstr>Rearing graph</vt:lpstr>
      <vt:lpstr>Laying graph</vt:lpstr>
      <vt:lpstr>Mass &amp; cons graph</vt:lpstr>
      <vt:lpstr>FCR graph</vt:lpstr>
      <vt:lpstr>Down grading graph</vt:lpstr>
      <vt:lpstr>Egg grading distribution graph</vt:lpstr>
      <vt:lpstr>BRANDS</vt:lpstr>
      <vt:lpstr>COUNTRIES</vt:lpstr>
      <vt:lpstr>CURRENCY</vt:lpstr>
      <vt:lpstr>DAYS</vt:lpstr>
      <vt:lpstr>DAYSTRS</vt:lpstr>
      <vt:lpstr>GRADINGS</vt:lpstr>
      <vt:lpstr>HOUSINGLAY</vt:lpstr>
      <vt:lpstr>HOUSINGREARING</vt:lpstr>
      <vt:lpstr>Languages</vt:lpstr>
      <vt:lpstr>MONTH</vt:lpstr>
      <vt:lpstr>MONTHTRS</vt:lpstr>
      <vt:lpstr>'Egg grading'!Print_Area</vt:lpstr>
      <vt:lpstr>'Financial sheet'!Print_Area</vt:lpstr>
      <vt:lpstr>'General Input'!Print_Area</vt:lpstr>
      <vt:lpstr>'Graph values'!Print_Area</vt:lpstr>
      <vt:lpstr>'Input Laying'!Print_Area</vt:lpstr>
      <vt:lpstr>'Input Rearing'!Print_Area</vt:lpstr>
      <vt:lpstr>'Production data'!Print_Area</vt:lpstr>
      <vt:lpstr>Summary!Print_Area</vt:lpstr>
      <vt:lpstr>'Input Laying'!Print_Titles</vt:lpstr>
      <vt:lpstr>'Production data'!Print_Titles</vt:lpstr>
      <vt:lpstr>YEAR</vt:lpstr>
      <vt:lpstr>YEARTRS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</dc:creator>
  <cp:lastModifiedBy>Diane McDonald</cp:lastModifiedBy>
  <cp:lastPrinted>2016-10-27T16:26:08Z</cp:lastPrinted>
  <dcterms:created xsi:type="dcterms:W3CDTF">2000-05-30T09:39:32Z</dcterms:created>
  <dcterms:modified xsi:type="dcterms:W3CDTF">2022-05-26T23:18:49Z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0x01010063A0968091AD8040A1C4AD74591EF452</vt:lpwstr>
  </property>
  <property fmtid="{D5CDD505-2E9C-101B-9397-08002B2CF9AE}" pid="3" name="Workbook id">
    <vt:lpwstr>ca010b7e-e0bc-4155-9933-4b42c9a0b673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</Properties>
</file>